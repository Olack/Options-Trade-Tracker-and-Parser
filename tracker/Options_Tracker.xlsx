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Log" sheetId="1" state="visible" r:id="rId3"/>
    <sheet name="Position Summary" sheetId="2" state="visible" r:id="rId4"/>
    <sheet name="Dashboard" sheetId="3" state="visible" r:id="rId5"/>
    <sheet name="Monthly Calend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<sst xmlns="http://schemas.openxmlformats.org/spreadsheetml/2006/main" count="1126" uniqueCount="114">
  <si>
    <t xml:space="preserve">⚡  OPTIONS TRADE LOG</t>
  </si>
  <si>
    <t xml:space="preserve">Each row = one fill  ·  Link partials &amp; runners via Position ID  ·  Set a Target Price to auto-calculate Planned R:R before you enter</t>
  </si>
  <si>
    <t xml:space="preserve">Chart Interval:</t>
  </si>
  <si>
    <t xml:space="preserve">60</t>
  </si>
  <si>
    <t xml:space="preserve">← mins  (60=1H · 240=4H · 15=15m)</t>
  </si>
  <si>
    <t xml:space="preserve">#</t>
  </si>
  <si>
    <t xml:space="preserve">Position
ID</t>
  </si>
  <si>
    <t xml:space="preserve">Entry
Date</t>
  </si>
  <si>
    <t xml:space="preserve">Entry
Time</t>
  </si>
  <si>
    <t xml:space="preserve">Exit
Date</t>
  </si>
  <si>
    <t xml:space="preserve">Exit
Time</t>
  </si>
  <si>
    <t xml:space="preserve">Ticker</t>
  </si>
  <si>
    <t xml:space="preserve">Type
(C/P)</t>
  </si>
  <si>
    <t xml:space="preserve">Strategy</t>
  </si>
  <si>
    <t xml:space="preserve">Strike
($)</t>
  </si>
  <si>
    <t xml:space="preserve">Expiry
Date</t>
  </si>
  <si>
    <t xml:space="preserve"># Contracts</t>
  </si>
  <si>
    <t xml:space="preserve">Entry
Price</t>
  </si>
  <si>
    <t xml:space="preserve">Fees ($)</t>
  </si>
  <si>
    <t xml:space="preserve">Exit
Price</t>
  </si>
  <si>
    <t xml:space="preserve">Contract
High</t>
  </si>
  <si>
    <t xml:space="preserve">Premium
Paid</t>
  </si>
  <si>
    <t xml:space="preserve">Premium
Rcvd</t>
  </si>
  <si>
    <t xml:space="preserve">Max
Value</t>
  </si>
  <si>
    <t xml:space="preserve">P&amp;L ($)</t>
  </si>
  <si>
    <t xml:space="preserve">P&amp;L (%)</t>
  </si>
  <si>
    <t xml:space="preserve">Max P&amp;L
($)</t>
  </si>
  <si>
    <t xml:space="preserve">Max P&amp;L
(%)</t>
  </si>
  <si>
    <t xml:space="preserve">Planned
R:R</t>
  </si>
  <si>
    <t xml:space="preserve">Actual
R:R</t>
  </si>
  <si>
    <t xml:space="preserve">Max
R:R</t>
  </si>
  <si>
    <t xml:space="preserve">Days
Held</t>
  </si>
  <si>
    <t xml:space="preserve">Status</t>
  </si>
  <si>
    <t xml:space="preserve">IV Rank</t>
  </si>
  <si>
    <t xml:space="preserve">Notes</t>
  </si>
  <si>
    <t xml:space="preserve">📈 1H
Chart</t>
  </si>
  <si>
    <t xml:space="preserve">📈 4H
Chart</t>
  </si>
  <si>
    <t xml:space="preserve">"—"</t>
  </si>
  <si>
    <t xml:space="preserve">🟡 Position ID = shared key for partials/runners  |  🔵 Teal = Target Price &amp; Planned R:R  |  🟣 Purple = Max cols  |  R:R shown as '1 : X' (reward per $1 risked)  |  Negative Actual R:R shown as '-1 : X' (loss trade)</t>
  </si>
  <si>
    <t xml:space="preserve">📋  POSITION SUMMARY</t>
  </si>
  <si>
    <t xml:space="preserve">Rolls up all rows sharing the same Position ID — partials + runners combined into one P&amp;L</t>
  </si>
  <si>
    <t xml:space="preserve">💡  In Google Sheets: Position IDs auto-populate via UNIQUE(). In Excel, type Position IDs manually in column A.</t>
  </si>
  <si>
    <t xml:space="preserve">Position ID</t>
  </si>
  <si>
    <t xml:space="preserve"># Fills</t>
  </si>
  <si>
    <t xml:space="preserve">Total
Contracts</t>
  </si>
  <si>
    <t xml:space="preserve">Total
Prem. Paid</t>
  </si>
  <si>
    <t xml:space="preserve">Total
Prem. Rcvd</t>
  </si>
  <si>
    <t xml:space="preserve">Total
P&amp;L ($)</t>
  </si>
  <si>
    <t xml:space="preserve">Total
P&amp;L (%)</t>
  </si>
  <si>
    <t xml:space="preserve">Total
Max P&amp;L ($)</t>
  </si>
  <si>
    <t xml:space="preserve">Total
Max P&amp;L (%)</t>
  </si>
  <si>
    <t xml:space="preserve">Open
Contracts</t>
  </si>
  <si>
    <t xml:space="preserve">📊  TRADE DASHBOARD</t>
  </si>
  <si>
    <t xml:space="preserve">Auto-updates from Trade Log  ·  Individual fill stats  ·  See Position Summary for rolled-up position P&amp;L</t>
  </si>
  <si>
    <t xml:space="preserve">TOTAL FILLS</t>
  </si>
  <si>
    <t xml:space="preserve">WIN RATE</t>
  </si>
  <si>
    <t xml:space="preserve">TOTAL P&amp;L</t>
  </si>
  <si>
    <t xml:space="preserve">BEST TRADE ($)</t>
  </si>
  <si>
    <t xml:space="preserve">WORST TRADE ($)</t>
  </si>
  <si>
    <t xml:space="preserve">AVG P&amp;L / FILL</t>
  </si>
  <si>
    <t xml:space="preserve">AVG P&amp;L %</t>
  </si>
  <si>
    <t xml:space="preserve">MAX P&amp;L %</t>
  </si>
  <si>
    <t xml:space="preserve">TOTAL MAX P&amp;L</t>
  </si>
  <si>
    <t xml:space="preserve">$ LEFT ON TABLE</t>
  </si>
  <si>
    <t xml:space="preserve">AVG ACTUAL R:R</t>
  </si>
  <si>
    <t xml:space="preserve">TOTAL FEES</t>
  </si>
  <si>
    <t xml:space="preserve">AVG DAYS HELD</t>
  </si>
  <si>
    <t xml:space="preserve">TOTAL POSITIONS</t>
  </si>
  <si>
    <t xml:space="preserve">BEST TICKER</t>
  </si>
  <si>
    <t xml:space="preserve">BEST TICKER P&amp;L</t>
  </si>
  <si>
    <t xml:space="preserve">MOST TRADED</t>
  </si>
  <si>
    <t xml:space="preserve">AVG MAX P&amp;L %</t>
  </si>
  <si>
    <t xml:space="preserve">MAX POSSIBLE %</t>
  </si>
  <si>
    <t xml:space="preserve">Total P&amp;L</t>
  </si>
  <si>
    <t xml:space="preserve">Win Rate</t>
  </si>
  <si>
    <t xml:space="preserve">Avg P&amp;L</t>
  </si>
  <si>
    <t xml:space="preserve">Avg P&amp;L %</t>
  </si>
  <si>
    <t xml:space="preserve">Max P&amp;L %</t>
  </si>
  <si>
    <t xml:space="preserve">Best Trade</t>
  </si>
  <si>
    <t xml:space="preserve">Avg Max P&amp;L %</t>
  </si>
  <si>
    <t xml:space="preserve">Left on Table</t>
  </si>
  <si>
    <t xml:space="preserve">Long Call</t>
  </si>
  <si>
    <t xml:space="preserve">Long Put</t>
  </si>
  <si>
    <t xml:space="preserve">Covered Call</t>
  </si>
  <si>
    <t xml:space="preserve">Cash-Secured Put</t>
  </si>
  <si>
    <t xml:space="preserve">Bull Call Spread</t>
  </si>
  <si>
    <t xml:space="preserve">Bear Put Spread</t>
  </si>
  <si>
    <t xml:space="preserve">Iron Condor</t>
  </si>
  <si>
    <t xml:space="preserve">Straddle</t>
  </si>
  <si>
    <t xml:space="preserve">Other</t>
  </si>
  <si>
    <t xml:space="preserve">📈  TICKER PERFORMANCE</t>
  </si>
  <si>
    <t xml:space="preserve">Best Trade ($)</t>
  </si>
  <si>
    <t xml:space="preserve">Worst Trade ($)</t>
  </si>
  <si>
    <t xml:space="preserve">📅  MONTHLY PERFORMANCE CALENDAR</t>
  </si>
  <si>
    <t xml:space="preserve">MONTHLY SUMMARY</t>
  </si>
  <si>
    <t xml:space="preserve">Month →</t>
  </si>
  <si>
    <t xml:space="preserve">May</t>
  </si>
  <si>
    <t xml:space="preserve">Year →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</si>
  <si>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</si>
  <si>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</si>
  <si>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</si>
  <si>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</si>
  <si>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</si>
  <si>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</si>
  <si>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</si>
  <si>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Month P&amp;L</t>
  </si>
  <si>
    <t xml:space="preserve">Winning Days</t>
  </si>
  <si>
    <t xml:space="preserve">Losing Days</t>
  </si>
  <si>
    <t xml:space="preserve">Total Closes</t>
  </si>
  <si>
    <t xml:space="preserve">Day Win Rate</t>
  </si>
  <si>
    <t xml:space="preserve">Best Day</t>
  </si>
  <si>
    <t xml:space="preserve">Worst Day</t>
  </si>
  <si>
    <t xml:space="preserve">Avg Day P&amp;L</t>
  </si>
  <si>
    <t xml:space="preserve">🟢 Green = profitable day   🔴 Red = losing day   Use the Month &amp; Year dropdowns in row 2 to navigate   P&amp;L calculated from closed trades (Exit Date)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</si>
</sst>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mm/dd/yyyy"/>
    <numFmt numFmtId="167" formatCode="hh:mm"/>
    <numFmt numFmtId="168" formatCode="\$#,##0.00"/>
    <numFmt numFmtId="169" formatCode="\$#,##0.00;&quot;($&quot;#,##0.00\);\-"/>
    <numFmt numFmtId="170" formatCode="0.0%;\(0.0%\);\-"/>
    <numFmt numFmtId="171" formatCode="0"/>
    <numFmt numFmtId="172" formatCode="0.0%"/>
    <numFmt numFmtId="173" formatCode="0;\-0;\-"/>
    <numFmt numFmtId="174" formatCode="\$#,##0.00;&quot;($&quot;#,##0.00\)"/>
    <numFmt numFmtId="175" formatCode="@"/>
    <numFmt numFmtId="176" formatCode="\$#,##0.00;&quot;($&quot;#,##0.00\);\-"/>
    <numFmt numFmtId="177" formatCode="0.0&quot; days&quot;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B949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E3B341"/>
      <name val="Arial"/>
      <family val="0"/>
      <charset val="1"/>
    </font>
    <font>
      <i val="true"/>
      <sz val="8"/>
      <color rgb="FF8B949E"/>
      <name val="Arial"/>
      <family val="0"/>
      <charset val="1"/>
    </font>
    <font>
      <b val="true"/>
      <sz val="9"/>
      <color rgb="FF1F6FEB"/>
      <name val="Arial"/>
      <family val="0"/>
      <charset val="1"/>
    </font>
    <font>
      <b val="true"/>
      <sz val="9"/>
      <color rgb="FF7D5A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u val="single"/>
      <sz val="9"/>
      <color rgb="FF238636"/>
      <name val="Arial"/>
      <family val="0"/>
      <charset val="1"/>
    </font>
    <font>
      <b val="true"/>
      <u val="single"/>
      <sz val="9"/>
      <color rgb="FFE3B341"/>
      <name val="Arial"/>
      <family val="0"/>
      <charset val="1"/>
    </font>
    <font>
      <sz val="7"/>
      <color rgb="FFFFFFFF"/>
      <name val="Arial"/>
      <family val="0"/>
      <charset val="1"/>
    </font>
    <font>
      <i val="true"/>
      <sz val="8"/>
      <color rgb="FF57606A"/>
      <name val="Arial"/>
      <family val="0"/>
      <charset val="1"/>
    </font>
    <font>
      <i val="true"/>
      <sz val="9"/>
      <color rgb="FFE3B341"/>
      <name val="Arial"/>
      <family val="0"/>
      <charset val="1"/>
    </font>
    <font>
      <b val="true"/>
      <sz val="9"/>
      <color rgb="FF0E749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3"/>
      <color rgb="FF1F6FEB"/>
      <name val="Arial"/>
      <family val="0"/>
      <charset val="1"/>
    </font>
    <font>
      <b val="true"/>
      <sz val="13"/>
      <color rgb="FF238636"/>
      <name val="Arial"/>
      <family val="0"/>
      <charset val="1"/>
    </font>
    <font>
      <b val="true"/>
      <sz val="13"/>
      <color rgb="FFDA3633"/>
      <name val="Arial"/>
      <family val="0"/>
      <charset val="1"/>
    </font>
    <font>
      <b val="true"/>
      <sz val="13"/>
      <color rgb="FF8957E5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E7490"/>
      <name val="Arial"/>
      <family val="0"/>
      <charset val="1"/>
    </font>
    <font>
      <b val="true"/>
      <sz val="13"/>
      <color rgb="FFCF222E"/>
      <name val="Arial"/>
      <family val="0"/>
      <charset val="1"/>
    </font>
    <font>
      <b val="true"/>
      <sz val="13"/>
      <color rgb="FF30363D"/>
      <name val="Arial"/>
      <family val="0"/>
      <charset val="1"/>
    </font>
    <font>
      <b val="true"/>
      <sz val="13"/>
      <color rgb="FFE3B34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276221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E3B34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999999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14"/>
      <color rgb="FF238636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i val="true"/>
      <sz val="7"/>
      <color rgb="FF888888"/>
      <name val="Arial"/>
      <family val="0"/>
      <charset val="1"/>
    </font>
    <font>
      <b val="true"/>
      <sz val="14"/>
      <color rgb="FFDA3633"/>
      <name val="Arial"/>
      <family val="0"/>
      <charset val="1"/>
    </font>
    <font>
      <b val="true"/>
      <sz val="14"/>
      <color rgb="FF1F6FEB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161B22"/>
        <bgColor rgb="FF1C2333"/>
      </patternFill>
    </fill>
    <fill>
      <patternFill patternType="solid">
        <fgColor rgb="FF30363D"/>
        <bgColor rgb="FF2D3748"/>
      </patternFill>
    </fill>
    <fill>
      <patternFill patternType="solid">
        <fgColor rgb="FF1F6FEB"/>
        <bgColor rgb="FF0066CC"/>
      </patternFill>
    </fill>
    <fill>
      <patternFill patternType="solid">
        <fgColor rgb="FFE3B341"/>
        <bgColor rgb="FFAAAAAA"/>
      </patternFill>
    </fill>
    <fill>
      <patternFill patternType="solid">
        <fgColor rgb="FF0E7490"/>
        <bgColor rgb="FF0066CC"/>
      </patternFill>
    </fill>
    <fill>
      <patternFill patternType="solid">
        <fgColor rgb="FF1A5C38"/>
        <bgColor rgb="FF276221"/>
      </patternFill>
    </fill>
    <fill>
      <patternFill patternType="solid">
        <fgColor rgb="FF5A3285"/>
        <bgColor rgb="FF444444"/>
      </patternFill>
    </fill>
    <fill>
      <patternFill patternType="solid">
        <fgColor rgb="FFFFFFFF"/>
        <bgColor rgb="FFFAFAFA"/>
      </patternFill>
    </fill>
    <fill>
      <patternFill patternType="solid">
        <fgColor rgb="FFFFF3CD"/>
        <bgColor rgb="FFFFF8E1"/>
      </patternFill>
    </fill>
    <fill>
      <patternFill patternType="solid">
        <fgColor rgb="FFC8EDF7"/>
        <bgColor rgb="FFDDEEFF"/>
      </patternFill>
    </fill>
    <fill>
      <patternFill patternType="solid">
        <fgColor rgb="FFDDEEFF"/>
        <bgColor rgb="FFE0F5FB"/>
      </patternFill>
    </fill>
    <fill>
      <patternFill patternType="solid">
        <fgColor rgb="FFEAE0FF"/>
        <bgColor rgb="FFF3EEFF"/>
      </patternFill>
    </fill>
    <fill>
      <patternFill patternType="solid">
        <fgColor rgb="FFEEF2F7"/>
        <bgColor rgb="FFF0F0F0"/>
      </patternFill>
    </fill>
    <fill>
      <patternFill patternType="solid">
        <fgColor rgb="FFFFF8E1"/>
        <bgColor rgb="FFFFF3CD"/>
      </patternFill>
    </fill>
    <fill>
      <patternFill patternType="solid">
        <fgColor rgb="FFE0F5FB"/>
        <bgColor rgb="FFDDEEFF"/>
      </patternFill>
    </fill>
    <fill>
      <patternFill patternType="solid">
        <fgColor rgb="FFEEF6FF"/>
        <bgColor rgb="FFEEF2F7"/>
      </patternFill>
    </fill>
    <fill>
      <patternFill patternType="solid">
        <fgColor rgb="FFF3EEFF"/>
        <bgColor rgb="FFEEF2F7"/>
      </patternFill>
    </fill>
    <fill>
      <patternFill patternType="solid">
        <fgColor rgb="FF2D2600"/>
        <bgColor rgb="FF161B22"/>
      </patternFill>
    </fill>
    <fill>
      <patternFill patternType="solid">
        <fgColor rgb="FF238636"/>
        <bgColor rgb="FF276221"/>
      </patternFill>
    </fill>
    <fill>
      <patternFill patternType="solid">
        <fgColor rgb="FFDA3633"/>
        <bgColor rgb="FFCF222E"/>
      </patternFill>
    </fill>
    <fill>
      <patternFill patternType="solid">
        <fgColor rgb="FF8957E5"/>
        <bgColor rgb="FF888888"/>
      </patternFill>
    </fill>
    <fill>
      <patternFill patternType="solid">
        <fgColor rgb="FFF6F8FA"/>
        <bgColor rgb="FFFAFAFA"/>
      </patternFill>
    </fill>
    <fill>
      <patternFill patternType="solid">
        <fgColor rgb="FF1C2333"/>
        <bgColor rgb="FF161B22"/>
      </patternFill>
    </fill>
    <fill>
      <patternFill patternType="solid">
        <fgColor rgb="FF2D3748"/>
        <bgColor rgb="FF30363D"/>
      </patternFill>
    </fill>
    <fill>
      <patternFill patternType="solid">
        <fgColor rgb="FFF0F0F0"/>
        <bgColor rgb="FFEEF2F7"/>
      </patternFill>
    </fill>
    <fill>
      <patternFill patternType="solid">
        <fgColor rgb="FFFAFAFA"/>
        <bgColor rgb="FFF6F8FA"/>
      </patternFill>
    </fill>
    <fill>
      <patternFill patternType="solid">
        <fgColor rgb="FFF5F5F5"/>
        <bgColor rgb="FFF6F8FA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1F6FEB"/>
      </left>
      <right style="thin">
        <color rgb="FF1F6FEB"/>
      </right>
      <top style="thin">
        <color rgb="FF1F6FEB"/>
      </top>
      <bottom style="thin">
        <color rgb="FF1F6FEB"/>
      </bottom>
      <diagonal/>
    </border>
    <border diagonalUp="false" diagonalDown="false">
      <left style="thin">
        <color rgb="FFE3B341"/>
      </left>
      <right style="thin">
        <color rgb="FFE3B341"/>
      </right>
      <top style="thin">
        <color rgb="FFE3B341"/>
      </top>
      <bottom style="thin">
        <color rgb="FFE3B341"/>
      </bottom>
      <diagonal/>
    </border>
    <border diagonalUp="false" diagonalDown="false">
      <left style="thin">
        <color rgb="FF0E7490"/>
      </left>
      <right style="thin">
        <color rgb="FF0E7490"/>
      </right>
      <top style="thin">
        <color rgb="FF0E7490"/>
      </top>
      <bottom style="thin">
        <color rgb="FF0E7490"/>
      </bottom>
      <diagonal/>
    </border>
    <border diagonalUp="false" diagonalDown="false">
      <left style="thin">
        <color rgb="FF1A5C38"/>
      </left>
      <right style="thin">
        <color rgb="FF1A5C38"/>
      </right>
      <top style="thin">
        <color rgb="FF1A5C38"/>
      </top>
      <bottom style="thin">
        <color rgb="FF1A5C38"/>
      </bottom>
      <diagonal/>
    </border>
    <border diagonalUp="false" diagonalDown="false">
      <left style="thin">
        <color rgb="FF5A3285"/>
      </left>
      <right style="thin">
        <color rgb="FF5A3285"/>
      </right>
      <top style="thin">
        <color rgb="FF5A3285"/>
      </top>
      <bottom style="thin">
        <color rgb="FF5A3285"/>
      </bottom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238636"/>
      </left>
      <right style="thin">
        <color rgb="FF238636"/>
      </right>
      <top style="thin">
        <color rgb="FF238636"/>
      </top>
      <bottom style="thin">
        <color rgb="FF238636"/>
      </bottom>
      <diagonal/>
    </border>
    <border diagonalUp="false" diagonalDown="false">
      <left style="thin">
        <color rgb="FFDA3633"/>
      </left>
      <right style="thin">
        <color rgb="FFDA3633"/>
      </right>
      <top style="thin">
        <color rgb="FFDA3633"/>
      </top>
      <bottom style="thin">
        <color rgb="FFDA3633"/>
      </bottom>
      <diagonal/>
    </border>
    <border diagonalUp="false" diagonalDown="false">
      <left style="thin">
        <color rgb="FF8957E5"/>
      </left>
      <right style="thin">
        <color rgb="FF8957E5"/>
      </right>
      <top style="thin">
        <color rgb="FF8957E5"/>
      </top>
      <bottom style="thin">
        <color rgb="FF8957E5"/>
      </bottom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 diagonalUp="false" diagonalDown="false">
      <left style="medium">
        <color rgb="FFE3B341"/>
      </left>
      <right style="medium">
        <color rgb="FFE3B341"/>
      </right>
      <top style="medium">
        <color rgb="FFE3B341"/>
      </top>
      <bottom style="medium">
        <color rgb="FFE3B341"/>
      </bottom>
      <diagonal/>
    </border>
    <border diagonalUp="false" diagonalDown="false">
      <left style="thin">
        <color rgb="FF238636"/>
      </left>
      <right/>
      <top style="thin">
        <color rgb="FF238636"/>
      </top>
      <bottom style="thin">
        <color rgb="FF238636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AAAAAA"/>
      </top>
      <bottom/>
      <diagonal/>
    </border>
    <border diagonalUp="false" diagonalDown="false">
      <left style="thin">
        <color rgb="FFCCCCCC"/>
      </left>
      <right style="thin">
        <color rgb="FFCCCCCC"/>
      </right>
      <top/>
      <bottom/>
      <diagonal/>
    </border>
    <border diagonalUp="false" diagonalDown="false">
      <left style="thin">
        <color rgb="FFCCCCCC"/>
      </left>
      <right style="thin">
        <color rgb="FFCCCCCC"/>
      </right>
      <top/>
      <bottom style="medium">
        <color rgb="FFAAAAAA"/>
      </bottom>
      <diagonal/>
    </border>
    <border diagonalUp="false" diagonalDown="false">
      <left style="thin">
        <color rgb="FFDA3633"/>
      </left>
      <right/>
      <top style="thin">
        <color rgb="FFDA3633"/>
      </top>
      <bottom style="thin">
        <color rgb="FFDA3633"/>
      </bottom>
      <diagonal/>
    </border>
    <border diagonalUp="false" diagonalDown="false">
      <left style="thin">
        <color rgb="FF1F6FEB"/>
      </left>
      <right/>
      <top style="thin">
        <color rgb="FF1F6FEB"/>
      </top>
      <bottom style="thin">
        <color rgb="FF1F6F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1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1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4" fillId="2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4" fillId="2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2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5" fillId="2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3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8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9" fillId="2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30" fillId="2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1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3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2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6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6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2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27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1" fillId="28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42" fillId="2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3" fillId="2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3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2" fillId="2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45" fillId="2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46" fillId="2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2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2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5" fillId="2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6" fillId="2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276221"/>
        <sz val="11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0F0F0"/>
      <rgbColor rgb="FFFF00FF"/>
      <rgbColor rgb="FFF6F8FA"/>
      <rgbColor rgb="FF9C0006"/>
      <rgbColor rgb="FF276221"/>
      <rgbColor rgb="FF0D1117"/>
      <rgbColor rgb="FF7D5A00"/>
      <rgbColor rgb="FF8957E5"/>
      <rgbColor rgb="FF0E7490"/>
      <rgbColor rgb="FFC0C0C0"/>
      <rgbColor rgb="FF888888"/>
      <rgbColor rgb="FFAAAAAA"/>
      <rgbColor rgb="FFDA3633"/>
      <rgbColor rgb="FFFFF8E1"/>
      <rgbColor rgb="FFE0F5FB"/>
      <rgbColor rgb="FF30363D"/>
      <rgbColor rgb="FFF3EEFF"/>
      <rgbColor rgb="FF0066CC"/>
      <rgbColor rgb="FFD0D7DE"/>
      <rgbColor rgb="FF2D3748"/>
      <rgbColor rgb="FFFF00FF"/>
      <rgbColor rgb="FFF5F5F5"/>
      <rgbColor rgb="FFFAFAFA"/>
      <rgbColor rgb="FF800080"/>
      <rgbColor rgb="FF800000"/>
      <rgbColor rgb="FF1A5C38"/>
      <rgbColor rgb="FF0000FF"/>
      <rgbColor rgb="FF00CCFF"/>
      <rgbColor rgb="FFC8EDF7"/>
      <rgbColor rgb="FFC6EFCE"/>
      <rgbColor rgb="FFFFF3CD"/>
      <rgbColor rgb="FFCCCCCC"/>
      <rgbColor rgb="FFEAE0FF"/>
      <rgbColor rgb="FF8B949E"/>
      <rgbColor rgb="FFFFC7CE"/>
      <rgbColor rgb="FF1F6FEB"/>
      <rgbColor rgb="FFEEF6FF"/>
      <rgbColor rgb="FFDDEEFF"/>
      <rgbColor rgb="FFE3B341"/>
      <rgbColor rgb="FFEEF2F7"/>
      <rgbColor rgb="FFF97316"/>
      <rgbColor rgb="FF57606A"/>
      <rgbColor rgb="FF999999"/>
      <rgbColor rgb="FF1C2333"/>
      <rgbColor rgb="FF238636"/>
      <rgbColor rgb="FF161B22"/>
      <rgbColor rgb="FF2D2600"/>
      <rgbColor rgb="FFCF222E"/>
      <rgbColor rgb="FF444444"/>
      <rgbColor rgb="FF5A328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EB"/>
    <pageSetUpPr fitToPage="false"/>
  </sheetPr>
  <dimension ref="A1:AG10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true" outlineLevel="0" max="4" min="4" style="1" width="10"/>
    <col collapsed="false" customWidth="true" hidden="false" outlineLevel="0" max="5" min="5" style="1" width="12"/>
    <col collapsed="false" customWidth="true" hidden="tru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9" min="9" style="1" width="16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5" min="12" style="1" width="11"/>
    <col collapsed="false" customWidth="true" hidden="false" outlineLevel="0" max="16" min="16" style="1" width="12"/>
    <col collapsed="false" customWidth="true" hidden="false" outlineLevel="0" max="19" min="17" style="1" width="13"/>
    <col collapsed="false" customWidth="true" hidden="false" outlineLevel="0" max="20" min="20" style="1" width="12"/>
    <col collapsed="false" customWidth="true" hidden="false" outlineLevel="0" max="21" min="21" style="1" width="10"/>
    <col collapsed="false" customWidth="true" hidden="false" outlineLevel="0" max="22" min="22" style="1" width="13"/>
    <col collapsed="false" customWidth="true" hidden="false" outlineLevel="0" max="23" min="23" style="1" width="11"/>
    <col collapsed="false" customWidth="true" hidden="false" outlineLevel="0" max="26" min="24" style="1" width="12"/>
    <col collapsed="false" customWidth="true" hidden="false" outlineLevel="0" max="27" min="27" style="1" width="10"/>
    <col collapsed="false" customWidth="true" hidden="false" outlineLevel="0" max="28" min="28" style="1" width="11"/>
    <col collapsed="false" customWidth="true" hidden="false" outlineLevel="0" max="29" min="29" style="1" width="10"/>
    <col collapsed="false" customWidth="true" hidden="false" outlineLevel="0" max="30" min="30" style="1" width="24"/>
    <col collapsed="false" customWidth="true" hidden="false" outlineLevel="0" max="32" min="31" style="1" width="12"/>
    <col collapsed="false" customWidth="true" hidden="false" outlineLevel="0" max="33" min="33" style="1" width="0.1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customFormat="false" ht="21.75" hidden="false" customHeight="true" outlineLevel="0" collapsed="false">
      <c r="A3" s="4" t="s">
        <v>2</v>
      </c>
      <c r="B3" s="4"/>
      <c r="C3" s="5" t="s">
        <v>3</v>
      </c>
      <c r="D3" s="6" t="s">
        <v>4</v>
      </c>
      <c r="E3" s="6"/>
      <c r="F3" s="6"/>
    </row>
    <row r="4" customFormat="false" ht="31.5" hidden="false" customHeight="true" outlineLevel="0" collapsed="false">
      <c r="A4" s="7" t="s">
        <v>5</v>
      </c>
      <c r="B4" s="8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9" t="s">
        <v>18</v>
      </c>
      <c r="O4" s="7" t="s">
        <v>19</v>
      </c>
      <c r="P4" s="7" t="s">
        <v>20</v>
      </c>
      <c r="Q4" s="10" t="s">
        <v>21</v>
      </c>
      <c r="R4" s="10" t="s">
        <v>22</v>
      </c>
      <c r="S4" s="11" t="s">
        <v>23</v>
      </c>
      <c r="T4" s="7" t="s">
        <v>24</v>
      </c>
      <c r="U4" s="7" t="s">
        <v>25</v>
      </c>
      <c r="V4" s="11" t="s">
        <v>26</v>
      </c>
      <c r="W4" s="11" t="s">
        <v>27</v>
      </c>
      <c r="X4" s="9" t="s">
        <v>28</v>
      </c>
      <c r="Y4" s="9" t="s">
        <v>29</v>
      </c>
      <c r="Z4" s="9" t="s">
        <v>30</v>
      </c>
      <c r="AA4" s="7" t="s">
        <v>31</v>
      </c>
      <c r="AB4" s="7" t="s">
        <v>32</v>
      </c>
      <c r="AC4" s="7" t="s">
        <v>33</v>
      </c>
      <c r="AD4" s="7" t="s">
        <v>34</v>
      </c>
      <c r="AE4" s="7" t="s">
        <v>35</v>
      </c>
      <c r="AF4" s="7" t="s">
        <v>36</v>
      </c>
    </row>
    <row r="5" customFormat="false" ht="19.5" hidden="false" customHeight="true" outlineLevel="0" collapsed="false">
      <c r="A5" s="12" t="n">
        <f aca="false">ROW()-4</f>
        <v>1</v>
      </c>
      <c r="B5" s="13"/>
      <c r="C5" s="14"/>
      <c r="D5" s="15"/>
      <c r="E5" s="14"/>
      <c r="F5" s="15"/>
      <c r="G5" s="16"/>
      <c r="H5" s="17"/>
      <c r="I5" s="18"/>
      <c r="J5" s="19"/>
      <c r="K5" s="14"/>
      <c r="L5" s="17"/>
      <c r="M5" s="19"/>
      <c r="N5" s="20"/>
      <c r="O5" s="19"/>
      <c r="P5" s="21"/>
      <c r="Q5" s="22" t="str">
        <f aca="false">IF(L5="","",IF(M5&lt;&gt;"",M5*L5*100,IF(AND(O5&lt;&gt;"",B5&lt;&gt;""),IFERROR(AVERAGEIF($B$5:$B$1004,B5,$M$5:$M$1004)*L5*100,""),"")))</f>
        <v/>
      </c>
      <c r="R5" s="22" t="str">
        <f aca="false">IF(AND(O5&lt;&gt;"",L5&lt;&gt;""),O5*L5*100,"")</f>
        <v/>
      </c>
      <c r="S5" s="23" t="str">
        <f aca="false">IF(AND(P5&lt;&gt;"",L5&lt;&gt;""),P5*L5*100,"")</f>
        <v/>
      </c>
      <c r="T5" s="24" t="str">
        <f aca="false">IF(AND(Q5&lt;&gt;"",R5&lt;&gt;""),R5-Q5,"")</f>
        <v/>
      </c>
      <c r="U5" s="25" t="str">
        <f aca="false">IF(AND(Q5&lt;&gt;"",Q5&lt;&gt;0,T5&lt;&gt;""),T5/Q5,"")</f>
        <v/>
      </c>
      <c r="V5" s="26" t="str">
        <f aca="false">IF(AND(S5&lt;&gt;"",Q5&lt;&gt;""),S5-Q5,"")</f>
        <v/>
      </c>
      <c r="W5" s="27" t="str">
        <f aca="false">IF(AND(Q5&lt;&gt;"",Q5&lt;&gt;0,V5&lt;&gt;""),V5/Q5,"")</f>
        <v/>
      </c>
      <c r="X5" s="28" t="s">
        <v>37</v>
      </c>
      <c r="Y5" s="29" t="str">
        <f aca="false">IF(AND(O5&lt;&gt;"",M5&lt;&gt;"",O5&gt;M5),CONCATENATE("1 : ",TEXT((O5-M5)/M5,"0.00")),IF(AND(O5&lt;&gt;"",M5&lt;&gt;"",O5&lt;M5),CONCATENATE("-1 : ",TEXT((M5-O5)/M5,"0.00")),"—"))</f>
        <v>—</v>
      </c>
      <c r="Z5" s="30" t="str">
        <f aca="false">IF(AND(P5&lt;&gt;"",M5&lt;&gt;"",P5&gt;M5),CONCATENATE("1 : ",TEXT((P5-M5)/M5,"0.00")),"—")</f>
        <v>—</v>
      </c>
      <c r="AA5" s="31" t="str">
        <f aca="false">IF(AND(C5&lt;&gt;"",E5&lt;&gt;""),E5-C5,"")</f>
        <v/>
      </c>
      <c r="AB5" s="17"/>
      <c r="AC5" s="32"/>
      <c r="AD5" s="33"/>
      <c r="AE5" s="34" t="str">
        <f aca="false">IF(G5&lt;&gt;"",HYPERLINK("https://www.tradingview.com/chart/?symbol="&amp;G5&amp;"&amp;interval=60&amp;from="&amp;(AG5-10*3600)&amp;"&amp;to="&amp;(AG5+50*3600),"📈 1H"),"")</f>
        <v/>
      </c>
      <c r="AF5" s="35" t="str">
        <f aca="false">IF(G5&lt;&gt;"",HYPERLINK("https://www.tradingview.com/chart/?symbol="&amp;G5&amp;"&amp;interval=240&amp;from="&amp;(AG5-10*14400)&amp;"&amp;to="&amp;(AG5+50*14400),"📈 4H"),"")</f>
        <v/>
      </c>
      <c r="AG5" s="36" t="str">
        <f aca="false">IF(C5&lt;&gt;"",INT((C5+IF(D5&lt;&gt;"",D5,0)-DATE(1970,1,1))*86400),"")</f>
        <v/>
      </c>
    </row>
    <row r="6" customFormat="false" ht="19.5" hidden="false" customHeight="true" outlineLevel="0" collapsed="false">
      <c r="A6" s="37" t="n">
        <f aca="false">ROW()-4</f>
        <v>2</v>
      </c>
      <c r="B6" s="38"/>
      <c r="C6" s="39"/>
      <c r="D6" s="40"/>
      <c r="E6" s="39"/>
      <c r="F6" s="40"/>
      <c r="G6" s="41"/>
      <c r="H6" s="42"/>
      <c r="I6" s="43"/>
      <c r="J6" s="44"/>
      <c r="K6" s="39"/>
      <c r="L6" s="42"/>
      <c r="M6" s="44"/>
      <c r="N6" s="45"/>
      <c r="O6" s="44"/>
      <c r="P6" s="46"/>
      <c r="Q6" s="47" t="str">
        <f aca="false">IF(L6="","",IF(M6&lt;&gt;"",M6*L6*100,IF(AND(O6&lt;&gt;"",B6&lt;&gt;""),IFERROR(AVERAGEIF($B$5:$B$1004,B6,$M$5:$M$1004)*L6*100,""),"")))</f>
        <v/>
      </c>
      <c r="R6" s="47" t="str">
        <f aca="false">IF(AND(O6&lt;&gt;"",L6&lt;&gt;""),O6*L6*100,"")</f>
        <v/>
      </c>
      <c r="S6" s="48" t="str">
        <f aca="false">IF(AND(P6&lt;&gt;"",L6&lt;&gt;""),P6*L6*100,"")</f>
        <v/>
      </c>
      <c r="T6" s="49" t="str">
        <f aca="false">IF(AND(Q6&lt;&gt;"",R6&lt;&gt;""),R6-Q6,"")</f>
        <v/>
      </c>
      <c r="U6" s="50" t="str">
        <f aca="false">IF(AND(Q6&lt;&gt;"",Q6&lt;&gt;0,T6&lt;&gt;""),T6/Q6,"")</f>
        <v/>
      </c>
      <c r="V6" s="51" t="str">
        <f aca="false">IF(AND(S6&lt;&gt;"",Q6&lt;&gt;""),S6-Q6,"")</f>
        <v/>
      </c>
      <c r="W6" s="52" t="str">
        <f aca="false">IF(AND(Q6&lt;&gt;"",Q6&lt;&gt;0,V6&lt;&gt;""),V6/Q6,"")</f>
        <v/>
      </c>
      <c r="X6" s="53" t="s">
        <v>37</v>
      </c>
      <c r="Y6" s="54" t="str">
        <f aca="false">IF(AND(O6&lt;&gt;"",M6&lt;&gt;"",O6&gt;M6),CONCATENATE("1 : ",TEXT((O6-M6)/M6,"0.00")),IF(AND(O6&lt;&gt;"",M6&lt;&gt;"",O6&lt;M6),CONCATENATE("-1 : ",TEXT((M6-O6)/M6,"0.00")),"—"))</f>
        <v>—</v>
      </c>
      <c r="Z6" s="55" t="str">
        <f aca="false">IF(AND(P6&lt;&gt;"",M6&lt;&gt;"",P6&gt;M6),CONCATENATE("1 : ",TEXT((P6-M6)/M6,"0.00")),"—")</f>
        <v>—</v>
      </c>
      <c r="AA6" s="56" t="str">
        <f aca="false">IF(AND(C6&lt;&gt;"",E6&lt;&gt;""),E6-C6,"")</f>
        <v/>
      </c>
      <c r="AB6" s="42"/>
      <c r="AC6" s="57"/>
      <c r="AD6" s="58"/>
      <c r="AE6" s="59" t="str">
        <f aca="false">IF(G6&lt;&gt;"",HYPERLINK("https://www.tradingview.com/chart/?symbol="&amp;G6&amp;"&amp;interval=60&amp;from="&amp;(AG6-10*3600)&amp;"&amp;to="&amp;(AG6+50*3600),"📈 1H"),"")</f>
        <v/>
      </c>
      <c r="AF6" s="60" t="str">
        <f aca="false">IF(G6&lt;&gt;"",HYPERLINK("https://www.tradingview.com/chart/?symbol="&amp;G6&amp;"&amp;interval=240&amp;from="&amp;(AG6-10*14400)&amp;"&amp;to="&amp;(AG6+50*14400),"📈 4H"),"")</f>
        <v/>
      </c>
      <c r="AG6" s="36" t="str">
        <f aca="false">IF(C6&lt;&gt;"",INT((C6+IF(D6&lt;&gt;"",D6,0)-DATE(1970,1,1))*86400),"")</f>
        <v/>
      </c>
    </row>
    <row r="7" customFormat="false" ht="19.5" hidden="false" customHeight="true" outlineLevel="0" collapsed="false">
      <c r="A7" s="12" t="n">
        <f aca="false">ROW()-4</f>
        <v>3</v>
      </c>
      <c r="B7" s="13"/>
      <c r="C7" s="14"/>
      <c r="D7" s="15"/>
      <c r="E7" s="14"/>
      <c r="F7" s="15"/>
      <c r="G7" s="16"/>
      <c r="H7" s="17"/>
      <c r="I7" s="18"/>
      <c r="J7" s="19"/>
      <c r="K7" s="14"/>
      <c r="L7" s="17"/>
      <c r="M7" s="19"/>
      <c r="N7" s="20"/>
      <c r="O7" s="19"/>
      <c r="P7" s="21"/>
      <c r="Q7" s="22" t="str">
        <f aca="false">IF(L7="","",IF(M7&lt;&gt;"",M7*L7*100,IF(AND(O7&lt;&gt;"",B7&lt;&gt;""),IFERROR(AVERAGEIF($B$5:$B$1004,B7,$M$5:$M$1004)*L7*100,""),"")))</f>
        <v/>
      </c>
      <c r="R7" s="22" t="str">
        <f aca="false">IF(AND(O7&lt;&gt;"",L7&lt;&gt;""),O7*L7*100,"")</f>
        <v/>
      </c>
      <c r="S7" s="23" t="str">
        <f aca="false">IF(AND(P7&lt;&gt;"",L7&lt;&gt;""),P7*L7*100,"")</f>
        <v/>
      </c>
      <c r="T7" s="24" t="str">
        <f aca="false">IF(AND(Q7&lt;&gt;"",R7&lt;&gt;""),R7-Q7,"")</f>
        <v/>
      </c>
      <c r="U7" s="25" t="str">
        <f aca="false">IF(AND(Q7&lt;&gt;"",Q7&lt;&gt;0,T7&lt;&gt;""),T7/Q7,"")</f>
        <v/>
      </c>
      <c r="V7" s="26" t="str">
        <f aca="false">IF(AND(S7&lt;&gt;"",Q7&lt;&gt;""),S7-Q7,"")</f>
        <v/>
      </c>
      <c r="W7" s="27" t="str">
        <f aca="false">IF(AND(Q7&lt;&gt;"",Q7&lt;&gt;0,V7&lt;&gt;""),V7/Q7,"")</f>
        <v/>
      </c>
      <c r="X7" s="28" t="s">
        <v>37</v>
      </c>
      <c r="Y7" s="29" t="str">
        <f aca="false">IF(AND(O7&lt;&gt;"",M7&lt;&gt;"",O7&gt;M7),CONCATENATE("1 : ",TEXT((O7-M7)/M7,"0.00")),IF(AND(O7&lt;&gt;"",M7&lt;&gt;"",O7&lt;M7),CONCATENATE("-1 : ",TEXT((M7-O7)/M7,"0.00")),"—"))</f>
        <v>—</v>
      </c>
      <c r="Z7" s="30" t="str">
        <f aca="false">IF(AND(P7&lt;&gt;"",M7&lt;&gt;"",P7&gt;M7),CONCATENATE("1 : ",TEXT((P7-M7)/M7,"0.00")),"—")</f>
        <v>—</v>
      </c>
      <c r="AA7" s="31" t="str">
        <f aca="false">IF(AND(C7&lt;&gt;"",E7&lt;&gt;""),E7-C7,"")</f>
        <v/>
      </c>
      <c r="AB7" s="17"/>
      <c r="AC7" s="32"/>
      <c r="AD7" s="33"/>
      <c r="AE7" s="34" t="str">
        <f aca="false">IF(G7&lt;&gt;"",HYPERLINK("https://www.tradingview.com/chart/?symbol="&amp;G7&amp;"&amp;interval=60&amp;from="&amp;(AG7-10*3600)&amp;"&amp;to="&amp;(AG7+50*3600),"📈 1H"),"")</f>
        <v/>
      </c>
      <c r="AF7" s="35" t="str">
        <f aca="false">IF(G7&lt;&gt;"",HYPERLINK("https://www.tradingview.com/chart/?symbol="&amp;G7&amp;"&amp;interval=240&amp;from="&amp;(AG7-10*14400)&amp;"&amp;to="&amp;(AG7+50*14400),"📈 4H"),"")</f>
        <v/>
      </c>
      <c r="AG7" s="36" t="str">
        <f aca="false">IF(C7&lt;&gt;"",INT((C7+IF(D7&lt;&gt;"",D7,0)-DATE(1970,1,1))*86400),"")</f>
        <v/>
      </c>
    </row>
    <row r="8" customFormat="false" ht="19.5" hidden="false" customHeight="true" outlineLevel="0" collapsed="false">
      <c r="A8" s="37" t="n">
        <f aca="false">ROW()-4</f>
        <v>4</v>
      </c>
      <c r="B8" s="38"/>
      <c r="C8" s="39"/>
      <c r="D8" s="40"/>
      <c r="E8" s="39"/>
      <c r="F8" s="40"/>
      <c r="G8" s="41"/>
      <c r="H8" s="42"/>
      <c r="I8" s="43"/>
      <c r="J8" s="44"/>
      <c r="K8" s="39"/>
      <c r="L8" s="42"/>
      <c r="M8" s="44"/>
      <c r="N8" s="45"/>
      <c r="O8" s="44"/>
      <c r="P8" s="46"/>
      <c r="Q8" s="47" t="str">
        <f aca="false">IF(L8="","",IF(M8&lt;&gt;"",M8*L8*100,IF(AND(O8&lt;&gt;"",B8&lt;&gt;""),IFERROR(AVERAGEIF($B$5:$B$1004,B8,$M$5:$M$1004)*L8*100,""),"")))</f>
        <v/>
      </c>
      <c r="R8" s="47" t="str">
        <f aca="false">IF(AND(O8&lt;&gt;"",L8&lt;&gt;""),O8*L8*100,"")</f>
        <v/>
      </c>
      <c r="S8" s="48" t="str">
        <f aca="false">IF(AND(P8&lt;&gt;"",L8&lt;&gt;""),P8*L8*100,"")</f>
        <v/>
      </c>
      <c r="T8" s="49" t="str">
        <f aca="false">IF(AND(Q8&lt;&gt;"",R8&lt;&gt;""),R8-Q8,"")</f>
        <v/>
      </c>
      <c r="U8" s="50" t="str">
        <f aca="false">IF(AND(Q8&lt;&gt;"",Q8&lt;&gt;0,T8&lt;&gt;""),T8/Q8,"")</f>
        <v/>
      </c>
      <c r="V8" s="51" t="str">
        <f aca="false">IF(AND(S8&lt;&gt;"",Q8&lt;&gt;""),S8-Q8,"")</f>
        <v/>
      </c>
      <c r="W8" s="52" t="str">
        <f aca="false">IF(AND(Q8&lt;&gt;"",Q8&lt;&gt;0,V8&lt;&gt;""),V8/Q8,"")</f>
        <v/>
      </c>
      <c r="X8" s="53" t="s">
        <v>37</v>
      </c>
      <c r="Y8" s="54" t="str">
        <f aca="false">IF(AND(O8&lt;&gt;"",M8&lt;&gt;"",O8&gt;M8),CONCATENATE("1 : ",TEXT((O8-M8)/M8,"0.00")),IF(AND(O8&lt;&gt;"",M8&lt;&gt;"",O8&lt;M8),CONCATENATE("-1 : ",TEXT((M8-O8)/M8,"0.00")),"—"))</f>
        <v>—</v>
      </c>
      <c r="Z8" s="55" t="str">
        <f aca="false">IF(AND(P8&lt;&gt;"",M8&lt;&gt;"",P8&gt;M8),CONCATENATE("1 : ",TEXT((P8-M8)/M8,"0.00")),"—")</f>
        <v>—</v>
      </c>
      <c r="AA8" s="56" t="str">
        <f aca="false">IF(AND(C8&lt;&gt;"",E8&lt;&gt;""),E8-C8,"")</f>
        <v/>
      </c>
      <c r="AB8" s="42"/>
      <c r="AC8" s="57"/>
      <c r="AD8" s="58"/>
      <c r="AE8" s="59" t="str">
        <f aca="false">IF(G8&lt;&gt;"",HYPERLINK("https://www.tradingview.com/chart/?symbol="&amp;G8&amp;"&amp;interval=60&amp;from="&amp;(AG8-10*3600)&amp;"&amp;to="&amp;(AG8+50*3600),"📈 1H"),"")</f>
        <v/>
      </c>
      <c r="AF8" s="60" t="str">
        <f aca="false">IF(G8&lt;&gt;"",HYPERLINK("https://www.tradingview.com/chart/?symbol="&amp;G8&amp;"&amp;interval=240&amp;from="&amp;(AG8-10*14400)&amp;"&amp;to="&amp;(AG8+50*14400),"📈 4H"),"")</f>
        <v/>
      </c>
      <c r="AG8" s="36" t="str">
        <f aca="false">IF(C8&lt;&gt;"",INT((C8+IF(D8&lt;&gt;"",D8,0)-DATE(1970,1,1))*86400),"")</f>
        <v/>
      </c>
    </row>
    <row r="9" customFormat="false" ht="19.5" hidden="false" customHeight="true" outlineLevel="0" collapsed="false">
      <c r="A9" s="12" t="n">
        <f aca="false">ROW()-4</f>
        <v>5</v>
      </c>
      <c r="B9" s="13"/>
      <c r="C9" s="14"/>
      <c r="D9" s="15"/>
      <c r="E9" s="14"/>
      <c r="F9" s="15"/>
      <c r="G9" s="16"/>
      <c r="H9" s="17"/>
      <c r="I9" s="18"/>
      <c r="J9" s="19"/>
      <c r="K9" s="14"/>
      <c r="L9" s="17"/>
      <c r="M9" s="19"/>
      <c r="N9" s="20"/>
      <c r="O9" s="19"/>
      <c r="P9" s="21"/>
      <c r="Q9" s="22" t="str">
        <f aca="false">IF(L9="","",IF(M9&lt;&gt;"",M9*L9*100,IF(AND(O9&lt;&gt;"",B9&lt;&gt;""),IFERROR(AVERAGEIF($B$5:$B$1004,B9,$M$5:$M$1004)*L9*100,""),"")))</f>
        <v/>
      </c>
      <c r="R9" s="22" t="str">
        <f aca="false">IF(AND(O9&lt;&gt;"",L9&lt;&gt;""),O9*L9*100,"")</f>
        <v/>
      </c>
      <c r="S9" s="23" t="str">
        <f aca="false">IF(AND(P9&lt;&gt;"",L9&lt;&gt;""),P9*L9*100,"")</f>
        <v/>
      </c>
      <c r="T9" s="24" t="str">
        <f aca="false">IF(AND(Q9&lt;&gt;"",R9&lt;&gt;""),R9-Q9,"")</f>
        <v/>
      </c>
      <c r="U9" s="25" t="str">
        <f aca="false">IF(AND(Q9&lt;&gt;"",Q9&lt;&gt;0,T9&lt;&gt;""),T9/Q9,"")</f>
        <v/>
      </c>
      <c r="V9" s="26" t="str">
        <f aca="false">IF(AND(S9&lt;&gt;"",Q9&lt;&gt;""),S9-Q9,"")</f>
        <v/>
      </c>
      <c r="W9" s="27" t="str">
        <f aca="false">IF(AND(Q9&lt;&gt;"",Q9&lt;&gt;0,V9&lt;&gt;""),V9/Q9,"")</f>
        <v/>
      </c>
      <c r="X9" s="28" t="s">
        <v>37</v>
      </c>
      <c r="Y9" s="29" t="str">
        <f aca="false">IF(AND(O9&lt;&gt;"",M9&lt;&gt;"",O9&gt;M9),CONCATENATE("1 : ",TEXT((O9-M9)/M9,"0.00")),IF(AND(O9&lt;&gt;"",M9&lt;&gt;"",O9&lt;M9),CONCATENATE("-1 : ",TEXT((M9-O9)/M9,"0.00")),"—"))</f>
        <v>—</v>
      </c>
      <c r="Z9" s="30" t="str">
        <f aca="false">IF(AND(P9&lt;&gt;"",M9&lt;&gt;"",P9&gt;M9),CONCATENATE("1 : ",TEXT((P9-M9)/M9,"0.00")),"—")</f>
        <v>—</v>
      </c>
      <c r="AA9" s="31" t="str">
        <f aca="false">IF(AND(C9&lt;&gt;"",E9&lt;&gt;""),E9-C9,"")</f>
        <v/>
      </c>
      <c r="AB9" s="17"/>
      <c r="AC9" s="32"/>
      <c r="AD9" s="33"/>
      <c r="AE9" s="34" t="str">
        <f aca="false">IF(G9&lt;&gt;"",HYPERLINK("https://www.tradingview.com/chart/?symbol="&amp;G9&amp;"&amp;interval=60&amp;from="&amp;(AG9-10*3600)&amp;"&amp;to="&amp;(AG9+50*3600),"📈 1H"),"")</f>
        <v/>
      </c>
      <c r="AF9" s="35" t="str">
        <f aca="false">IF(G9&lt;&gt;"",HYPERLINK("https://www.tradingview.com/chart/?symbol="&amp;G9&amp;"&amp;interval=240&amp;from="&amp;(AG9-10*14400)&amp;"&amp;to="&amp;(AG9+50*14400),"📈 4H"),"")</f>
        <v/>
      </c>
      <c r="AG9" s="36" t="str">
        <f aca="false">IF(C9&lt;&gt;"",INT((C9+IF(D9&lt;&gt;"",D9,0)-DATE(1970,1,1))*86400),"")</f>
        <v/>
      </c>
    </row>
    <row r="10" customFormat="false" ht="19.5" hidden="false" customHeight="true" outlineLevel="0" collapsed="false">
      <c r="A10" s="37" t="n">
        <f aca="false">ROW()-4</f>
        <v>6</v>
      </c>
      <c r="B10" s="38"/>
      <c r="C10" s="39"/>
      <c r="D10" s="40"/>
      <c r="E10" s="39"/>
      <c r="F10" s="40"/>
      <c r="G10" s="41"/>
      <c r="H10" s="42"/>
      <c r="I10" s="43"/>
      <c r="J10" s="44"/>
      <c r="K10" s="39"/>
      <c r="L10" s="42"/>
      <c r="M10" s="44"/>
      <c r="N10" s="45"/>
      <c r="O10" s="44"/>
      <c r="P10" s="46"/>
      <c r="Q10" s="47" t="str">
        <f aca="false">IF(L10="","",IF(M10&lt;&gt;"",M10*L10*100,IF(AND(O10&lt;&gt;"",B10&lt;&gt;""),IFERROR(AVERAGEIF($B$5:$B$1004,B10,$M$5:$M$1004)*L10*100,""),"")))</f>
        <v/>
      </c>
      <c r="R10" s="47" t="str">
        <f aca="false">IF(AND(O10&lt;&gt;"",L10&lt;&gt;""),O10*L10*100,"")</f>
        <v/>
      </c>
      <c r="S10" s="48" t="str">
        <f aca="false">IF(AND(P10&lt;&gt;"",L10&lt;&gt;""),P10*L10*100,"")</f>
        <v/>
      </c>
      <c r="T10" s="49" t="str">
        <f aca="false">IF(AND(Q10&lt;&gt;"",R10&lt;&gt;""),R10-Q10,"")</f>
        <v/>
      </c>
      <c r="U10" s="50" t="str">
        <f aca="false">IF(AND(Q10&lt;&gt;"",Q10&lt;&gt;0,T10&lt;&gt;""),T10/Q10,"")</f>
        <v/>
      </c>
      <c r="V10" s="51" t="str">
        <f aca="false">IF(AND(S10&lt;&gt;"",Q10&lt;&gt;""),S10-Q10,"")</f>
        <v/>
      </c>
      <c r="W10" s="52" t="str">
        <f aca="false">IF(AND(Q10&lt;&gt;"",Q10&lt;&gt;0,V10&lt;&gt;""),V10/Q10,"")</f>
        <v/>
      </c>
      <c r="X10" s="53" t="s">
        <v>37</v>
      </c>
      <c r="Y10" s="54" t="str">
        <f aca="false">IF(AND(O10&lt;&gt;"",M10&lt;&gt;"",O10&gt;M10),CONCATENATE("1 : ",TEXT((O10-M10)/M10,"0.00")),IF(AND(O10&lt;&gt;"",M10&lt;&gt;"",O10&lt;M10),CONCATENATE("-1 : ",TEXT((M10-O10)/M10,"0.00")),"—"))</f>
        <v>—</v>
      </c>
      <c r="Z10" s="55" t="str">
        <f aca="false">IF(AND(P10&lt;&gt;"",M10&lt;&gt;"",P10&gt;M10),CONCATENATE("1 : ",TEXT((P10-M10)/M10,"0.00")),"—")</f>
        <v>—</v>
      </c>
      <c r="AA10" s="56" t="str">
        <f aca="false">IF(AND(C10&lt;&gt;"",E10&lt;&gt;""),E10-C10,"")</f>
        <v/>
      </c>
      <c r="AB10" s="42"/>
      <c r="AC10" s="57"/>
      <c r="AD10" s="58"/>
      <c r="AE10" s="59" t="str">
        <f aca="false">IF(G10&lt;&gt;"",HYPERLINK("https://www.tradingview.com/chart/?symbol="&amp;G10&amp;"&amp;interval=60&amp;from="&amp;(AG10-10*3600)&amp;"&amp;to="&amp;(AG10+50*3600),"📈 1H"),"")</f>
        <v/>
      </c>
      <c r="AF10" s="60" t="str">
        <f aca="false">IF(G10&lt;&gt;"",HYPERLINK("https://www.tradingview.com/chart/?symbol="&amp;G10&amp;"&amp;interval=240&amp;from="&amp;(AG10-10*14400)&amp;"&amp;to="&amp;(AG10+50*14400),"📈 4H"),"")</f>
        <v/>
      </c>
      <c r="AG10" s="36" t="str">
        <f aca="false">IF(C10&lt;&gt;"",INT((C10+IF(D10&lt;&gt;"",D10,0)-DATE(1970,1,1))*86400),"")</f>
        <v/>
      </c>
    </row>
    <row r="11" customFormat="false" ht="19.5" hidden="false" customHeight="true" outlineLevel="0" collapsed="false">
      <c r="A11" s="12" t="n">
        <f aca="false">ROW()-4</f>
        <v>7</v>
      </c>
      <c r="B11" s="13"/>
      <c r="C11" s="14"/>
      <c r="D11" s="15"/>
      <c r="E11" s="14"/>
      <c r="F11" s="15"/>
      <c r="G11" s="16"/>
      <c r="H11" s="17"/>
      <c r="I11" s="18"/>
      <c r="J11" s="19"/>
      <c r="K11" s="14"/>
      <c r="L11" s="17"/>
      <c r="M11" s="19"/>
      <c r="N11" s="20"/>
      <c r="O11" s="19"/>
      <c r="P11" s="21"/>
      <c r="Q11" s="22" t="str">
        <f aca="false">IF(L11="","",IF(M11&lt;&gt;"",M11*L11*100,IF(AND(O11&lt;&gt;"",B11&lt;&gt;""),IFERROR(AVERAGEIF($B$5:$B$1004,B11,$M$5:$M$1004)*L11*100,""),"")))</f>
        <v/>
      </c>
      <c r="R11" s="22" t="str">
        <f aca="false">IF(AND(O11&lt;&gt;"",L11&lt;&gt;""),O11*L11*100,"")</f>
        <v/>
      </c>
      <c r="S11" s="23" t="str">
        <f aca="false">IF(AND(P11&lt;&gt;"",L11&lt;&gt;""),P11*L11*100,"")</f>
        <v/>
      </c>
      <c r="T11" s="24" t="str">
        <f aca="false">IF(AND(Q11&lt;&gt;"",R11&lt;&gt;""),R11-Q11,"")</f>
        <v/>
      </c>
      <c r="U11" s="25" t="str">
        <f aca="false">IF(AND(Q11&lt;&gt;"",Q11&lt;&gt;0,T11&lt;&gt;""),T11/Q11,"")</f>
        <v/>
      </c>
      <c r="V11" s="26" t="str">
        <f aca="false">IF(AND(S11&lt;&gt;"",Q11&lt;&gt;""),S11-Q11,"")</f>
        <v/>
      </c>
      <c r="W11" s="27" t="str">
        <f aca="false">IF(AND(Q11&lt;&gt;"",Q11&lt;&gt;0,V11&lt;&gt;""),V11/Q11,"")</f>
        <v/>
      </c>
      <c r="X11" s="28" t="s">
        <v>37</v>
      </c>
      <c r="Y11" s="29" t="str">
        <f aca="false">IF(AND(O11&lt;&gt;"",M11&lt;&gt;"",O11&gt;M11),CONCATENATE("1 : ",TEXT((O11-M11)/M11,"0.00")),IF(AND(O11&lt;&gt;"",M11&lt;&gt;"",O11&lt;M11),CONCATENATE("-1 : ",TEXT((M11-O11)/M11,"0.00")),"—"))</f>
        <v>—</v>
      </c>
      <c r="Z11" s="30" t="str">
        <f aca="false">IF(AND(P11&lt;&gt;"",M11&lt;&gt;"",P11&gt;M11),CONCATENATE("1 : ",TEXT((P11-M11)/M11,"0.00")),"—")</f>
        <v>—</v>
      </c>
      <c r="AA11" s="31" t="str">
        <f aca="false">IF(AND(C11&lt;&gt;"",E11&lt;&gt;""),E11-C11,"")</f>
        <v/>
      </c>
      <c r="AB11" s="17"/>
      <c r="AC11" s="32"/>
      <c r="AD11" s="33"/>
      <c r="AE11" s="34" t="str">
        <f aca="false">IF(G11&lt;&gt;"",HYPERLINK("https://www.tradingview.com/chart/?symbol="&amp;G11&amp;"&amp;interval=60&amp;from="&amp;(AG11-10*3600)&amp;"&amp;to="&amp;(AG11+50*3600),"📈 1H"),"")</f>
        <v/>
      </c>
      <c r="AF11" s="35" t="str">
        <f aca="false">IF(G11&lt;&gt;"",HYPERLINK("https://www.tradingview.com/chart/?symbol="&amp;G11&amp;"&amp;interval=240&amp;from="&amp;(AG11-10*14400)&amp;"&amp;to="&amp;(AG11+50*14400),"📈 4H"),"")</f>
        <v/>
      </c>
      <c r="AG11" s="36" t="str">
        <f aca="false">IF(C11&lt;&gt;"",INT((C11+IF(D11&lt;&gt;"",D11,0)-DATE(1970,1,1))*86400),"")</f>
        <v/>
      </c>
    </row>
    <row r="12" customFormat="false" ht="19.5" hidden="false" customHeight="true" outlineLevel="0" collapsed="false">
      <c r="A12" s="37" t="n">
        <f aca="false">ROW()-4</f>
        <v>8</v>
      </c>
      <c r="B12" s="38"/>
      <c r="C12" s="39"/>
      <c r="D12" s="40"/>
      <c r="E12" s="39"/>
      <c r="F12" s="40"/>
      <c r="G12" s="41"/>
      <c r="H12" s="42"/>
      <c r="I12" s="43"/>
      <c r="J12" s="44"/>
      <c r="K12" s="39"/>
      <c r="L12" s="42"/>
      <c r="M12" s="44"/>
      <c r="N12" s="45"/>
      <c r="O12" s="44"/>
      <c r="P12" s="46"/>
      <c r="Q12" s="47" t="str">
        <f aca="false">IF(L12="","",IF(M12&lt;&gt;"",M12*L12*100,IF(AND(O12&lt;&gt;"",B12&lt;&gt;""),IFERROR(AVERAGEIF($B$5:$B$1004,B12,$M$5:$M$1004)*L12*100,""),"")))</f>
        <v/>
      </c>
      <c r="R12" s="47" t="str">
        <f aca="false">IF(AND(O12&lt;&gt;"",L12&lt;&gt;""),O12*L12*100,"")</f>
        <v/>
      </c>
      <c r="S12" s="48" t="str">
        <f aca="false">IF(AND(P12&lt;&gt;"",L12&lt;&gt;""),P12*L12*100,"")</f>
        <v/>
      </c>
      <c r="T12" s="49" t="str">
        <f aca="false">IF(AND(Q12&lt;&gt;"",R12&lt;&gt;""),R12-Q12,"")</f>
        <v/>
      </c>
      <c r="U12" s="50" t="str">
        <f aca="false">IF(AND(Q12&lt;&gt;"",Q12&lt;&gt;0,T12&lt;&gt;""),T12/Q12,"")</f>
        <v/>
      </c>
      <c r="V12" s="51" t="str">
        <f aca="false">IF(AND(S12&lt;&gt;"",Q12&lt;&gt;""),S12-Q12,"")</f>
        <v/>
      </c>
      <c r="W12" s="52" t="str">
        <f aca="false">IF(AND(Q12&lt;&gt;"",Q12&lt;&gt;0,V12&lt;&gt;""),V12/Q12,"")</f>
        <v/>
      </c>
      <c r="X12" s="53" t="s">
        <v>37</v>
      </c>
      <c r="Y12" s="54" t="str">
        <f aca="false">IF(AND(O12&lt;&gt;"",M12&lt;&gt;"",O12&gt;M12),CONCATENATE("1 : ",TEXT((O12-M12)/M12,"0.00")),IF(AND(O12&lt;&gt;"",M12&lt;&gt;"",O12&lt;M12),CONCATENATE("-1 : ",TEXT((M12-O12)/M12,"0.00")),"—"))</f>
        <v>—</v>
      </c>
      <c r="Z12" s="55" t="str">
        <f aca="false">IF(AND(P12&lt;&gt;"",M12&lt;&gt;"",P12&gt;M12),CONCATENATE("1 : ",TEXT((P12-M12)/M12,"0.00")),"—")</f>
        <v>—</v>
      </c>
      <c r="AA12" s="56" t="str">
        <f aca="false">IF(AND(C12&lt;&gt;"",E12&lt;&gt;""),E12-C12,"")</f>
        <v/>
      </c>
      <c r="AB12" s="42"/>
      <c r="AC12" s="57"/>
      <c r="AD12" s="58"/>
      <c r="AE12" s="59" t="str">
        <f aca="false">IF(G12&lt;&gt;"",HYPERLINK("https://www.tradingview.com/chart/?symbol="&amp;G12&amp;"&amp;interval=60&amp;from="&amp;(AG12-10*3600)&amp;"&amp;to="&amp;(AG12+50*3600),"📈 1H"),"")</f>
        <v/>
      </c>
      <c r="AF12" s="60" t="str">
        <f aca="false">IF(G12&lt;&gt;"",HYPERLINK("https://www.tradingview.com/chart/?symbol="&amp;G12&amp;"&amp;interval=240&amp;from="&amp;(AG12-10*14400)&amp;"&amp;to="&amp;(AG12+50*14400),"📈 4H"),"")</f>
        <v/>
      </c>
      <c r="AG12" s="36" t="str">
        <f aca="false">IF(C12&lt;&gt;"",INT((C12+IF(D12&lt;&gt;"",D12,0)-DATE(1970,1,1))*86400),"")</f>
        <v/>
      </c>
    </row>
    <row r="13" customFormat="false" ht="19.5" hidden="false" customHeight="true" outlineLevel="0" collapsed="false">
      <c r="A13" s="12" t="n">
        <f aca="false">ROW()-4</f>
        <v>9</v>
      </c>
      <c r="B13" s="13"/>
      <c r="C13" s="14"/>
      <c r="D13" s="15"/>
      <c r="E13" s="14"/>
      <c r="F13" s="15"/>
      <c r="G13" s="16"/>
      <c r="H13" s="17"/>
      <c r="I13" s="18"/>
      <c r="J13" s="19"/>
      <c r="K13" s="14"/>
      <c r="L13" s="17"/>
      <c r="M13" s="19"/>
      <c r="N13" s="20"/>
      <c r="O13" s="19"/>
      <c r="P13" s="21"/>
      <c r="Q13" s="22" t="str">
        <f aca="false">IF(L13="","",IF(M13&lt;&gt;"",M13*L13*100,IF(AND(O13&lt;&gt;"",B13&lt;&gt;""),IFERROR(AVERAGEIF($B$5:$B$1004,B13,$M$5:$M$1004)*L13*100,""),"")))</f>
        <v/>
      </c>
      <c r="R13" s="22" t="str">
        <f aca="false">IF(AND(O13&lt;&gt;"",L13&lt;&gt;""),O13*L13*100,"")</f>
        <v/>
      </c>
      <c r="S13" s="23" t="str">
        <f aca="false">IF(AND(P13&lt;&gt;"",L13&lt;&gt;""),P13*L13*100,"")</f>
        <v/>
      </c>
      <c r="T13" s="24" t="str">
        <f aca="false">IF(AND(Q13&lt;&gt;"",R13&lt;&gt;""),R13-Q13,"")</f>
        <v/>
      </c>
      <c r="U13" s="25" t="str">
        <f aca="false">IF(AND(Q13&lt;&gt;"",Q13&lt;&gt;0,T13&lt;&gt;""),T13/Q13,"")</f>
        <v/>
      </c>
      <c r="V13" s="26" t="str">
        <f aca="false">IF(AND(S13&lt;&gt;"",Q13&lt;&gt;""),S13-Q13,"")</f>
        <v/>
      </c>
      <c r="W13" s="27" t="str">
        <f aca="false">IF(AND(Q13&lt;&gt;"",Q13&lt;&gt;0,V13&lt;&gt;""),V13/Q13,"")</f>
        <v/>
      </c>
      <c r="X13" s="28" t="s">
        <v>37</v>
      </c>
      <c r="Y13" s="29" t="str">
        <f aca="false">IF(AND(O13&lt;&gt;"",M13&lt;&gt;"",O13&gt;M13),CONCATENATE("1 : ",TEXT((O13-M13)/M13,"0.00")),IF(AND(O13&lt;&gt;"",M13&lt;&gt;"",O13&lt;M13),CONCATENATE("-1 : ",TEXT((M13-O13)/M13,"0.00")),"—"))</f>
        <v>—</v>
      </c>
      <c r="Z13" s="30" t="str">
        <f aca="false">IF(AND(P13&lt;&gt;"",M13&lt;&gt;"",P13&gt;M13),CONCATENATE("1 : ",TEXT((P13-M13)/M13,"0.00")),"—")</f>
        <v>—</v>
      </c>
      <c r="AA13" s="31" t="str">
        <f aca="false">IF(AND(C13&lt;&gt;"",E13&lt;&gt;""),E13-C13,"")</f>
        <v/>
      </c>
      <c r="AB13" s="17"/>
      <c r="AC13" s="32"/>
      <c r="AD13" s="33"/>
      <c r="AE13" s="34" t="str">
        <f aca="false">IF(G13&lt;&gt;"",HYPERLINK("https://www.tradingview.com/chart/?symbol="&amp;G13&amp;"&amp;interval=60&amp;from="&amp;(AG13-10*3600)&amp;"&amp;to="&amp;(AG13+50*3600),"📈 1H"),"")</f>
        <v/>
      </c>
      <c r="AF13" s="35" t="str">
        <f aca="false">IF(G13&lt;&gt;"",HYPERLINK("https://www.tradingview.com/chart/?symbol="&amp;G13&amp;"&amp;interval=240&amp;from="&amp;(AG13-10*14400)&amp;"&amp;to="&amp;(AG13+50*14400),"📈 4H"),"")</f>
        <v/>
      </c>
      <c r="AG13" s="36" t="str">
        <f aca="false">IF(C13&lt;&gt;"",INT((C13+IF(D13&lt;&gt;"",D13,0)-DATE(1970,1,1))*86400),"")</f>
        <v/>
      </c>
    </row>
    <row r="14" customFormat="false" ht="19.5" hidden="false" customHeight="true" outlineLevel="0" collapsed="false">
      <c r="A14" s="37" t="n">
        <f aca="false">ROW()-4</f>
        <v>10</v>
      </c>
      <c r="B14" s="38"/>
      <c r="C14" s="39"/>
      <c r="D14" s="40"/>
      <c r="E14" s="39"/>
      <c r="F14" s="40"/>
      <c r="G14" s="41"/>
      <c r="H14" s="42"/>
      <c r="I14" s="43"/>
      <c r="J14" s="44"/>
      <c r="K14" s="39"/>
      <c r="L14" s="42"/>
      <c r="M14" s="44"/>
      <c r="N14" s="45"/>
      <c r="O14" s="44"/>
      <c r="P14" s="46"/>
      <c r="Q14" s="47" t="str">
        <f aca="false">IF(L14="","",IF(M14&lt;&gt;"",M14*L14*100,IF(AND(O14&lt;&gt;"",B14&lt;&gt;""),IFERROR(AVERAGEIF($B$5:$B$1004,B14,$M$5:$M$1004)*L14*100,""),"")))</f>
        <v/>
      </c>
      <c r="R14" s="47" t="str">
        <f aca="false">IF(AND(O14&lt;&gt;"",L14&lt;&gt;""),O14*L14*100,"")</f>
        <v/>
      </c>
      <c r="S14" s="48" t="str">
        <f aca="false">IF(AND(P14&lt;&gt;"",L14&lt;&gt;""),P14*L14*100,"")</f>
        <v/>
      </c>
      <c r="T14" s="49" t="str">
        <f aca="false">IF(AND(Q14&lt;&gt;"",R14&lt;&gt;""),R14-Q14,"")</f>
        <v/>
      </c>
      <c r="U14" s="50" t="str">
        <f aca="false">IF(AND(Q14&lt;&gt;"",Q14&lt;&gt;0,T14&lt;&gt;""),T14/Q14,"")</f>
        <v/>
      </c>
      <c r="V14" s="51" t="str">
        <f aca="false">IF(AND(S14&lt;&gt;"",Q14&lt;&gt;""),S14-Q14,"")</f>
        <v/>
      </c>
      <c r="W14" s="52" t="str">
        <f aca="false">IF(AND(Q14&lt;&gt;"",Q14&lt;&gt;0,V14&lt;&gt;""),V14/Q14,"")</f>
        <v/>
      </c>
      <c r="X14" s="53" t="s">
        <v>37</v>
      </c>
      <c r="Y14" s="54" t="str">
        <f aca="false">IF(AND(O14&lt;&gt;"",M14&lt;&gt;"",O14&gt;M14),CONCATENATE("1 : ",TEXT((O14-M14)/M14,"0.00")),IF(AND(O14&lt;&gt;"",M14&lt;&gt;"",O14&lt;M14),CONCATENATE("-1 : ",TEXT((M14-O14)/M14,"0.00")),"—"))</f>
        <v>—</v>
      </c>
      <c r="Z14" s="55" t="str">
        <f aca="false">IF(AND(P14&lt;&gt;"",M14&lt;&gt;"",P14&gt;M14),CONCATENATE("1 : ",TEXT((P14-M14)/M14,"0.00")),"—")</f>
        <v>—</v>
      </c>
      <c r="AA14" s="56" t="str">
        <f aca="false">IF(AND(C14&lt;&gt;"",E14&lt;&gt;""),E14-C14,"")</f>
        <v/>
      </c>
      <c r="AB14" s="42"/>
      <c r="AC14" s="57"/>
      <c r="AD14" s="58"/>
      <c r="AE14" s="59" t="str">
        <f aca="false">IF(G14&lt;&gt;"",HYPERLINK("https://www.tradingview.com/chart/?symbol="&amp;G14&amp;"&amp;interval=60&amp;from="&amp;(AG14-10*3600)&amp;"&amp;to="&amp;(AG14+50*3600),"📈 1H"),"")</f>
        <v/>
      </c>
      <c r="AF14" s="60" t="str">
        <f aca="false">IF(G14&lt;&gt;"",HYPERLINK("https://www.tradingview.com/chart/?symbol="&amp;G14&amp;"&amp;interval=240&amp;from="&amp;(AG14-10*14400)&amp;"&amp;to="&amp;(AG14+50*14400),"📈 4H"),"")</f>
        <v/>
      </c>
      <c r="AG14" s="36" t="str">
        <f aca="false">IF(C14&lt;&gt;"",INT((C14+IF(D14&lt;&gt;"",D14,0)-DATE(1970,1,1))*86400),"")</f>
        <v/>
      </c>
    </row>
    <row r="15" customFormat="false" ht="19.5" hidden="false" customHeight="true" outlineLevel="0" collapsed="false">
      <c r="A15" s="12" t="n">
        <f aca="false">ROW()-4</f>
        <v>11</v>
      </c>
      <c r="B15" s="13"/>
      <c r="C15" s="14"/>
      <c r="D15" s="15"/>
      <c r="E15" s="14"/>
      <c r="F15" s="15"/>
      <c r="G15" s="16"/>
      <c r="H15" s="17"/>
      <c r="I15" s="18"/>
      <c r="J15" s="19"/>
      <c r="K15" s="14"/>
      <c r="L15" s="17"/>
      <c r="M15" s="19"/>
      <c r="N15" s="20"/>
      <c r="O15" s="19"/>
      <c r="P15" s="21"/>
      <c r="Q15" s="22" t="str">
        <f aca="false">IF(L15="","",IF(M15&lt;&gt;"",M15*L15*100,IF(AND(O15&lt;&gt;"",B15&lt;&gt;""),IFERROR(AVERAGEIF($B$5:$B$1004,B15,$M$5:$M$1004)*L15*100,""),"")))</f>
        <v/>
      </c>
      <c r="R15" s="22" t="str">
        <f aca="false">IF(AND(O15&lt;&gt;"",L15&lt;&gt;""),O15*L15*100,"")</f>
        <v/>
      </c>
      <c r="S15" s="23" t="str">
        <f aca="false">IF(AND(P15&lt;&gt;"",L15&lt;&gt;""),P15*L15*100,"")</f>
        <v/>
      </c>
      <c r="T15" s="24" t="str">
        <f aca="false">IF(AND(Q15&lt;&gt;"",R15&lt;&gt;""),R15-Q15,"")</f>
        <v/>
      </c>
      <c r="U15" s="25" t="str">
        <f aca="false">IF(AND(Q15&lt;&gt;"",Q15&lt;&gt;0,T15&lt;&gt;""),T15/Q15,"")</f>
        <v/>
      </c>
      <c r="V15" s="26" t="str">
        <f aca="false">IF(AND(S15&lt;&gt;"",Q15&lt;&gt;""),S15-Q15,"")</f>
        <v/>
      </c>
      <c r="W15" s="27" t="str">
        <f aca="false">IF(AND(Q15&lt;&gt;"",Q15&lt;&gt;0,V15&lt;&gt;""),V15/Q15,"")</f>
        <v/>
      </c>
      <c r="X15" s="28" t="s">
        <v>37</v>
      </c>
      <c r="Y15" s="29" t="str">
        <f aca="false">IF(AND(O15&lt;&gt;"",M15&lt;&gt;"",O15&gt;M15),CONCATENATE("1 : ",TEXT((O15-M15)/M15,"0.00")),IF(AND(O15&lt;&gt;"",M15&lt;&gt;"",O15&lt;M15),CONCATENATE("-1 : ",TEXT((M15-O15)/M15,"0.00")),"—"))</f>
        <v>—</v>
      </c>
      <c r="Z15" s="30" t="str">
        <f aca="false">IF(AND(P15&lt;&gt;"",M15&lt;&gt;"",P15&gt;M15),CONCATENATE("1 : ",TEXT((P15-M15)/M15,"0.00")),"—")</f>
        <v>—</v>
      </c>
      <c r="AA15" s="31" t="str">
        <f aca="false">IF(AND(C15&lt;&gt;"",E15&lt;&gt;""),E15-C15,"")</f>
        <v/>
      </c>
      <c r="AB15" s="17"/>
      <c r="AC15" s="32"/>
      <c r="AD15" s="33"/>
      <c r="AE15" s="34" t="str">
        <f aca="false">IF(G15&lt;&gt;"",HYPERLINK("https://www.tradingview.com/chart/?symbol="&amp;G15&amp;"&amp;interval=60&amp;from="&amp;(AG15-10*3600)&amp;"&amp;to="&amp;(AG15+50*3600),"📈 1H"),"")</f>
        <v/>
      </c>
      <c r="AF15" s="35" t="str">
        <f aca="false">IF(G15&lt;&gt;"",HYPERLINK("https://www.tradingview.com/chart/?symbol="&amp;G15&amp;"&amp;interval=240&amp;from="&amp;(AG15-10*14400)&amp;"&amp;to="&amp;(AG15+50*14400),"📈 4H"),"")</f>
        <v/>
      </c>
      <c r="AG15" s="36" t="str">
        <f aca="false">IF(C15&lt;&gt;"",INT((C15+IF(D15&lt;&gt;"",D15,0)-DATE(1970,1,1))*86400),"")</f>
        <v/>
      </c>
    </row>
    <row r="16" customFormat="false" ht="19.5" hidden="false" customHeight="true" outlineLevel="0" collapsed="false">
      <c r="A16" s="37" t="n">
        <f aca="false">ROW()-4</f>
        <v>12</v>
      </c>
      <c r="B16" s="38"/>
      <c r="C16" s="39"/>
      <c r="D16" s="40"/>
      <c r="E16" s="39"/>
      <c r="F16" s="40"/>
      <c r="G16" s="41"/>
      <c r="H16" s="42"/>
      <c r="I16" s="43"/>
      <c r="J16" s="44"/>
      <c r="K16" s="39"/>
      <c r="L16" s="42"/>
      <c r="M16" s="44"/>
      <c r="N16" s="45"/>
      <c r="O16" s="44"/>
      <c r="P16" s="46"/>
      <c r="Q16" s="47" t="str">
        <f aca="false">IF(L16="","",IF(M16&lt;&gt;"",M16*L16*100,IF(AND(O16&lt;&gt;"",B16&lt;&gt;""),IFERROR(AVERAGEIF($B$5:$B$1004,B16,$M$5:$M$1004)*L16*100,""),"")))</f>
        <v/>
      </c>
      <c r="R16" s="47" t="str">
        <f aca="false">IF(AND(O16&lt;&gt;"",L16&lt;&gt;""),O16*L16*100,"")</f>
        <v/>
      </c>
      <c r="S16" s="48" t="str">
        <f aca="false">IF(AND(P16&lt;&gt;"",L16&lt;&gt;""),P16*L16*100,"")</f>
        <v/>
      </c>
      <c r="T16" s="49" t="str">
        <f aca="false">IF(AND(Q16&lt;&gt;"",R16&lt;&gt;""),R16-Q16,"")</f>
        <v/>
      </c>
      <c r="U16" s="50" t="str">
        <f aca="false">IF(AND(Q16&lt;&gt;"",Q16&lt;&gt;0,T16&lt;&gt;""),T16/Q16,"")</f>
        <v/>
      </c>
      <c r="V16" s="51" t="str">
        <f aca="false">IF(AND(S16&lt;&gt;"",Q16&lt;&gt;""),S16-Q16,"")</f>
        <v/>
      </c>
      <c r="W16" s="52" t="str">
        <f aca="false">IF(AND(Q16&lt;&gt;"",Q16&lt;&gt;0,V16&lt;&gt;""),V16/Q16,"")</f>
        <v/>
      </c>
      <c r="X16" s="53" t="s">
        <v>37</v>
      </c>
      <c r="Y16" s="54" t="str">
        <f aca="false">IF(AND(O16&lt;&gt;"",M16&lt;&gt;"",O16&gt;M16),CONCATENATE("1 : ",TEXT((O16-M16)/M16,"0.00")),IF(AND(O16&lt;&gt;"",M16&lt;&gt;"",O16&lt;M16),CONCATENATE("-1 : ",TEXT((M16-O16)/M16,"0.00")),"—"))</f>
        <v>—</v>
      </c>
      <c r="Z16" s="55" t="str">
        <f aca="false">IF(AND(P16&lt;&gt;"",M16&lt;&gt;"",P16&gt;M16),CONCATENATE("1 : ",TEXT((P16-M16)/M16,"0.00")),"—")</f>
        <v>—</v>
      </c>
      <c r="AA16" s="56" t="str">
        <f aca="false">IF(AND(C16&lt;&gt;"",E16&lt;&gt;""),E16-C16,"")</f>
        <v/>
      </c>
      <c r="AB16" s="42"/>
      <c r="AC16" s="57"/>
      <c r="AD16" s="58"/>
      <c r="AE16" s="59" t="str">
        <f aca="false">IF(G16&lt;&gt;"",HYPERLINK("https://www.tradingview.com/chart/?symbol="&amp;G16&amp;"&amp;interval=60&amp;from="&amp;(AG16-10*3600)&amp;"&amp;to="&amp;(AG16+50*3600),"📈 1H"),"")</f>
        <v/>
      </c>
      <c r="AF16" s="60" t="str">
        <f aca="false">IF(G16&lt;&gt;"",HYPERLINK("https://www.tradingview.com/chart/?symbol="&amp;G16&amp;"&amp;interval=240&amp;from="&amp;(AG16-10*14400)&amp;"&amp;to="&amp;(AG16+50*14400),"📈 4H"),"")</f>
        <v/>
      </c>
      <c r="AG16" s="36" t="str">
        <f aca="false">IF(C16&lt;&gt;"",INT((C16+IF(D16&lt;&gt;"",D16,0)-DATE(1970,1,1))*86400),"")</f>
        <v/>
      </c>
    </row>
    <row r="17" customFormat="false" ht="19.5" hidden="false" customHeight="true" outlineLevel="0" collapsed="false">
      <c r="A17" s="12" t="n">
        <f aca="false">ROW()-4</f>
        <v>13</v>
      </c>
      <c r="B17" s="13"/>
      <c r="C17" s="14"/>
      <c r="D17" s="15"/>
      <c r="E17" s="14"/>
      <c r="F17" s="15"/>
      <c r="G17" s="16"/>
      <c r="H17" s="17"/>
      <c r="I17" s="18"/>
      <c r="J17" s="19"/>
      <c r="K17" s="14"/>
      <c r="L17" s="17"/>
      <c r="M17" s="19"/>
      <c r="N17" s="20"/>
      <c r="O17" s="19"/>
      <c r="P17" s="21"/>
      <c r="Q17" s="22" t="str">
        <f aca="false">IF(L17="","",IF(M17&lt;&gt;"",M17*L17*100,IF(AND(O17&lt;&gt;"",B17&lt;&gt;""),IFERROR(AVERAGEIF($B$5:$B$1004,B17,$M$5:$M$1004)*L17*100,""),"")))</f>
        <v/>
      </c>
      <c r="R17" s="22" t="str">
        <f aca="false">IF(AND(O17&lt;&gt;"",L17&lt;&gt;""),O17*L17*100,"")</f>
        <v/>
      </c>
      <c r="S17" s="23" t="str">
        <f aca="false">IF(AND(P17&lt;&gt;"",L17&lt;&gt;""),P17*L17*100,"")</f>
        <v/>
      </c>
      <c r="T17" s="24" t="str">
        <f aca="false">IF(AND(Q17&lt;&gt;"",R17&lt;&gt;""),R17-Q17,"")</f>
        <v/>
      </c>
      <c r="U17" s="25" t="str">
        <f aca="false">IF(AND(Q17&lt;&gt;"",Q17&lt;&gt;0,T17&lt;&gt;""),T17/Q17,"")</f>
        <v/>
      </c>
      <c r="V17" s="26" t="str">
        <f aca="false">IF(AND(S17&lt;&gt;"",Q17&lt;&gt;""),S17-Q17,"")</f>
        <v/>
      </c>
      <c r="W17" s="27" t="str">
        <f aca="false">IF(AND(Q17&lt;&gt;"",Q17&lt;&gt;0,V17&lt;&gt;""),V17/Q17,"")</f>
        <v/>
      </c>
      <c r="X17" s="28" t="s">
        <v>37</v>
      </c>
      <c r="Y17" s="29" t="str">
        <f aca="false">IF(AND(O17&lt;&gt;"",M17&lt;&gt;"",O17&gt;M17),CONCATENATE("1 : ",TEXT((O17-M17)/M17,"0.00")),IF(AND(O17&lt;&gt;"",M17&lt;&gt;"",O17&lt;M17),CONCATENATE("-1 : ",TEXT((M17-O17)/M17,"0.00")),"—"))</f>
        <v>—</v>
      </c>
      <c r="Z17" s="30" t="str">
        <f aca="false">IF(AND(P17&lt;&gt;"",M17&lt;&gt;"",P17&gt;M17),CONCATENATE("1 : ",TEXT((P17-M17)/M17,"0.00")),"—")</f>
        <v>—</v>
      </c>
      <c r="AA17" s="31" t="str">
        <f aca="false">IF(AND(C17&lt;&gt;"",E17&lt;&gt;""),E17-C17,"")</f>
        <v/>
      </c>
      <c r="AB17" s="17"/>
      <c r="AC17" s="32"/>
      <c r="AD17" s="33"/>
      <c r="AE17" s="34" t="str">
        <f aca="false">IF(G17&lt;&gt;"",HYPERLINK("https://www.tradingview.com/chart/?symbol="&amp;G17&amp;"&amp;interval=60&amp;from="&amp;(AG17-10*3600)&amp;"&amp;to="&amp;(AG17+50*3600),"📈 1H"),"")</f>
        <v/>
      </c>
      <c r="AF17" s="35" t="str">
        <f aca="false">IF(G17&lt;&gt;"",HYPERLINK("https://www.tradingview.com/chart/?symbol="&amp;G17&amp;"&amp;interval=240&amp;from="&amp;(AG17-10*14400)&amp;"&amp;to="&amp;(AG17+50*14400),"📈 4H"),"")</f>
        <v/>
      </c>
      <c r="AG17" s="36" t="str">
        <f aca="false">IF(C17&lt;&gt;"",INT((C17+IF(D17&lt;&gt;"",D17,0)-DATE(1970,1,1))*86400),"")</f>
        <v/>
      </c>
    </row>
    <row r="18" customFormat="false" ht="19.5" hidden="false" customHeight="true" outlineLevel="0" collapsed="false">
      <c r="A18" s="37" t="n">
        <f aca="false">ROW()-4</f>
        <v>14</v>
      </c>
      <c r="B18" s="38"/>
      <c r="C18" s="39"/>
      <c r="D18" s="40"/>
      <c r="E18" s="39"/>
      <c r="F18" s="40"/>
      <c r="G18" s="41"/>
      <c r="H18" s="42"/>
      <c r="I18" s="43"/>
      <c r="J18" s="44"/>
      <c r="K18" s="39"/>
      <c r="L18" s="42"/>
      <c r="M18" s="44"/>
      <c r="N18" s="45"/>
      <c r="O18" s="44"/>
      <c r="P18" s="46"/>
      <c r="Q18" s="47" t="str">
        <f aca="false">IF(L18="","",IF(M18&lt;&gt;"",M18*L18*100,IF(AND(O18&lt;&gt;"",B18&lt;&gt;""),IFERROR(AVERAGEIF($B$5:$B$1004,B18,$M$5:$M$1004)*L18*100,""),"")))</f>
        <v/>
      </c>
      <c r="R18" s="47" t="str">
        <f aca="false">IF(AND(O18&lt;&gt;"",L18&lt;&gt;""),O18*L18*100,"")</f>
        <v/>
      </c>
      <c r="S18" s="48" t="str">
        <f aca="false">IF(AND(P18&lt;&gt;"",L18&lt;&gt;""),P18*L18*100,"")</f>
        <v/>
      </c>
      <c r="T18" s="49" t="str">
        <f aca="false">IF(AND(Q18&lt;&gt;"",R18&lt;&gt;""),R18-Q18,"")</f>
        <v/>
      </c>
      <c r="U18" s="50" t="str">
        <f aca="false">IF(AND(Q18&lt;&gt;"",Q18&lt;&gt;0,T18&lt;&gt;""),T18/Q18,"")</f>
        <v/>
      </c>
      <c r="V18" s="51" t="str">
        <f aca="false">IF(AND(S18&lt;&gt;"",Q18&lt;&gt;""),S18-Q18,"")</f>
        <v/>
      </c>
      <c r="W18" s="52" t="str">
        <f aca="false">IF(AND(Q18&lt;&gt;"",Q18&lt;&gt;0,V18&lt;&gt;""),V18/Q18,"")</f>
        <v/>
      </c>
      <c r="X18" s="53" t="s">
        <v>37</v>
      </c>
      <c r="Y18" s="54" t="str">
        <f aca="false">IF(AND(O18&lt;&gt;"",M18&lt;&gt;"",O18&gt;M18),CONCATENATE("1 : ",TEXT((O18-M18)/M18,"0.00")),IF(AND(O18&lt;&gt;"",M18&lt;&gt;"",O18&lt;M18),CONCATENATE("-1 : ",TEXT((M18-O18)/M18,"0.00")),"—"))</f>
        <v>—</v>
      </c>
      <c r="Z18" s="55" t="str">
        <f aca="false">IF(AND(P18&lt;&gt;"",M18&lt;&gt;"",P18&gt;M18),CONCATENATE("1 : ",TEXT((P18-M18)/M18,"0.00")),"—")</f>
        <v>—</v>
      </c>
      <c r="AA18" s="56" t="str">
        <f aca="false">IF(AND(C18&lt;&gt;"",E18&lt;&gt;""),E18-C18,"")</f>
        <v/>
      </c>
      <c r="AB18" s="42"/>
      <c r="AC18" s="57"/>
      <c r="AD18" s="58"/>
      <c r="AE18" s="59" t="str">
        <f aca="false">IF(G18&lt;&gt;"",HYPERLINK("https://www.tradingview.com/chart/?symbol="&amp;G18&amp;"&amp;interval=60&amp;from="&amp;(AG18-10*3600)&amp;"&amp;to="&amp;(AG18+50*3600),"📈 1H"),"")</f>
        <v/>
      </c>
      <c r="AF18" s="60" t="str">
        <f aca="false">IF(G18&lt;&gt;"",HYPERLINK("https://www.tradingview.com/chart/?symbol="&amp;G18&amp;"&amp;interval=240&amp;from="&amp;(AG18-10*14400)&amp;"&amp;to="&amp;(AG18+50*14400),"📈 4H"),"")</f>
        <v/>
      </c>
      <c r="AG18" s="36" t="str">
        <f aca="false">IF(C18&lt;&gt;"",INT((C18+IF(D18&lt;&gt;"",D18,0)-DATE(1970,1,1))*86400),"")</f>
        <v/>
      </c>
    </row>
    <row r="19" customFormat="false" ht="19.5" hidden="false" customHeight="true" outlineLevel="0" collapsed="false">
      <c r="A19" s="12" t="n">
        <f aca="false">ROW()-4</f>
        <v>15</v>
      </c>
      <c r="B19" s="13"/>
      <c r="C19" s="14"/>
      <c r="D19" s="15"/>
      <c r="E19" s="14"/>
      <c r="F19" s="15"/>
      <c r="G19" s="16"/>
      <c r="H19" s="17"/>
      <c r="I19" s="18"/>
      <c r="J19" s="19"/>
      <c r="K19" s="14"/>
      <c r="L19" s="17"/>
      <c r="M19" s="19"/>
      <c r="N19" s="20"/>
      <c r="O19" s="19"/>
      <c r="P19" s="21"/>
      <c r="Q19" s="22" t="str">
        <f aca="false">IF(L19="","",IF(M19&lt;&gt;"",M19*L19*100,IF(AND(O19&lt;&gt;"",B19&lt;&gt;""),IFERROR(AVERAGEIF($B$5:$B$1004,B19,$M$5:$M$1004)*L19*100,""),"")))</f>
        <v/>
      </c>
      <c r="R19" s="22" t="str">
        <f aca="false">IF(AND(O19&lt;&gt;"",L19&lt;&gt;""),O19*L19*100,"")</f>
        <v/>
      </c>
      <c r="S19" s="23" t="str">
        <f aca="false">IF(AND(P19&lt;&gt;"",L19&lt;&gt;""),P19*L19*100,"")</f>
        <v/>
      </c>
      <c r="T19" s="24" t="str">
        <f aca="false">IF(AND(Q19&lt;&gt;"",R19&lt;&gt;""),R19-Q19,"")</f>
        <v/>
      </c>
      <c r="U19" s="25" t="str">
        <f aca="false">IF(AND(Q19&lt;&gt;"",Q19&lt;&gt;0,T19&lt;&gt;""),T19/Q19,"")</f>
        <v/>
      </c>
      <c r="V19" s="26" t="str">
        <f aca="false">IF(AND(S19&lt;&gt;"",Q19&lt;&gt;""),S19-Q19,"")</f>
        <v/>
      </c>
      <c r="W19" s="27" t="str">
        <f aca="false">IF(AND(Q19&lt;&gt;"",Q19&lt;&gt;0,V19&lt;&gt;""),V19/Q19,"")</f>
        <v/>
      </c>
      <c r="X19" s="28" t="s">
        <v>37</v>
      </c>
      <c r="Y19" s="29" t="str">
        <f aca="false">IF(AND(O19&lt;&gt;"",M19&lt;&gt;"",O19&gt;M19),CONCATENATE("1 : ",TEXT((O19-M19)/M19,"0.00")),IF(AND(O19&lt;&gt;"",M19&lt;&gt;"",O19&lt;M19),CONCATENATE("-1 : ",TEXT((M19-O19)/M19,"0.00")),"—"))</f>
        <v>—</v>
      </c>
      <c r="Z19" s="30" t="str">
        <f aca="false">IF(AND(P19&lt;&gt;"",M19&lt;&gt;"",P19&gt;M19),CONCATENATE("1 : ",TEXT((P19-M19)/M19,"0.00")),"—")</f>
        <v>—</v>
      </c>
      <c r="AA19" s="31" t="str">
        <f aca="false">IF(AND(C19&lt;&gt;"",E19&lt;&gt;""),E19-C19,"")</f>
        <v/>
      </c>
      <c r="AB19" s="17"/>
      <c r="AC19" s="32"/>
      <c r="AD19" s="33"/>
      <c r="AE19" s="34" t="str">
        <f aca="false">IF(G19&lt;&gt;"",HYPERLINK("https://www.tradingview.com/chart/?symbol="&amp;G19&amp;"&amp;interval=60&amp;from="&amp;(AG19-10*3600)&amp;"&amp;to="&amp;(AG19+50*3600),"📈 1H"),"")</f>
        <v/>
      </c>
      <c r="AF19" s="35" t="str">
        <f aca="false">IF(G19&lt;&gt;"",HYPERLINK("https://www.tradingview.com/chart/?symbol="&amp;G19&amp;"&amp;interval=240&amp;from="&amp;(AG19-10*14400)&amp;"&amp;to="&amp;(AG19+50*14400),"📈 4H"),"")</f>
        <v/>
      </c>
      <c r="AG19" s="36" t="str">
        <f aca="false">IF(C19&lt;&gt;"",INT((C19+IF(D19&lt;&gt;"",D19,0)-DATE(1970,1,1))*86400),"")</f>
        <v/>
      </c>
    </row>
    <row r="20" customFormat="false" ht="19.5" hidden="false" customHeight="true" outlineLevel="0" collapsed="false">
      <c r="A20" s="37" t="n">
        <f aca="false">ROW()-4</f>
        <v>16</v>
      </c>
      <c r="B20" s="38"/>
      <c r="C20" s="39"/>
      <c r="D20" s="40"/>
      <c r="E20" s="39"/>
      <c r="F20" s="40"/>
      <c r="G20" s="41"/>
      <c r="H20" s="42"/>
      <c r="I20" s="43"/>
      <c r="J20" s="44"/>
      <c r="K20" s="39"/>
      <c r="L20" s="42"/>
      <c r="M20" s="44"/>
      <c r="N20" s="45"/>
      <c r="O20" s="44"/>
      <c r="P20" s="46"/>
      <c r="Q20" s="47" t="str">
        <f aca="false">IF(L20="","",IF(M20&lt;&gt;"",M20*L20*100,IF(AND(O20&lt;&gt;"",B20&lt;&gt;""),IFERROR(AVERAGEIF($B$5:$B$1004,B20,$M$5:$M$1004)*L20*100,""),"")))</f>
        <v/>
      </c>
      <c r="R20" s="47" t="str">
        <f aca="false">IF(AND(O20&lt;&gt;"",L20&lt;&gt;""),O20*L20*100,"")</f>
        <v/>
      </c>
      <c r="S20" s="48" t="str">
        <f aca="false">IF(AND(P20&lt;&gt;"",L20&lt;&gt;""),P20*L20*100,"")</f>
        <v/>
      </c>
      <c r="T20" s="49" t="str">
        <f aca="false">IF(AND(Q20&lt;&gt;"",R20&lt;&gt;""),R20-Q20,"")</f>
        <v/>
      </c>
      <c r="U20" s="50" t="str">
        <f aca="false">IF(AND(Q20&lt;&gt;"",Q20&lt;&gt;0,T20&lt;&gt;""),T20/Q20,"")</f>
        <v/>
      </c>
      <c r="V20" s="51" t="str">
        <f aca="false">IF(AND(S20&lt;&gt;"",Q20&lt;&gt;""),S20-Q20,"")</f>
        <v/>
      </c>
      <c r="W20" s="52" t="str">
        <f aca="false">IF(AND(Q20&lt;&gt;"",Q20&lt;&gt;0,V20&lt;&gt;""),V20/Q20,"")</f>
        <v/>
      </c>
      <c r="X20" s="53" t="s">
        <v>37</v>
      </c>
      <c r="Y20" s="54" t="str">
        <f aca="false">IF(AND(O20&lt;&gt;"",M20&lt;&gt;"",O20&gt;M20),CONCATENATE("1 : ",TEXT((O20-M20)/M20,"0.00")),IF(AND(O20&lt;&gt;"",M20&lt;&gt;"",O20&lt;M20),CONCATENATE("-1 : ",TEXT((M20-O20)/M20,"0.00")),"—"))</f>
        <v>—</v>
      </c>
      <c r="Z20" s="55" t="str">
        <f aca="false">IF(AND(P20&lt;&gt;"",M20&lt;&gt;"",P20&gt;M20),CONCATENATE("1 : ",TEXT((P20-M20)/M20,"0.00")),"—")</f>
        <v>—</v>
      </c>
      <c r="AA20" s="56" t="str">
        <f aca="false">IF(AND(C20&lt;&gt;"",E20&lt;&gt;""),E20-C20,"")</f>
        <v/>
      </c>
      <c r="AB20" s="42"/>
      <c r="AC20" s="57"/>
      <c r="AD20" s="58"/>
      <c r="AE20" s="59" t="str">
        <f aca="false">IF(G20&lt;&gt;"",HYPERLINK("https://www.tradingview.com/chart/?symbol="&amp;G20&amp;"&amp;interval=60&amp;from="&amp;(AG20-10*3600)&amp;"&amp;to="&amp;(AG20+50*3600),"📈 1H"),"")</f>
        <v/>
      </c>
      <c r="AF20" s="60" t="str">
        <f aca="false">IF(G20&lt;&gt;"",HYPERLINK("https://www.tradingview.com/chart/?symbol="&amp;G20&amp;"&amp;interval=240&amp;from="&amp;(AG20-10*14400)&amp;"&amp;to="&amp;(AG20+50*14400),"📈 4H"),"")</f>
        <v/>
      </c>
      <c r="AG20" s="36" t="str">
        <f aca="false">IF(C20&lt;&gt;"",INT((C20+IF(D20&lt;&gt;"",D20,0)-DATE(1970,1,1))*86400),"")</f>
        <v/>
      </c>
    </row>
    <row r="21" customFormat="false" ht="19.5" hidden="false" customHeight="true" outlineLevel="0" collapsed="false">
      <c r="A21" s="12" t="n">
        <f aca="false">ROW()-4</f>
        <v>17</v>
      </c>
      <c r="B21" s="13"/>
      <c r="C21" s="14"/>
      <c r="D21" s="15"/>
      <c r="E21" s="14"/>
      <c r="F21" s="15"/>
      <c r="G21" s="16"/>
      <c r="H21" s="17"/>
      <c r="I21" s="18"/>
      <c r="J21" s="19"/>
      <c r="K21" s="14"/>
      <c r="L21" s="17"/>
      <c r="M21" s="19"/>
      <c r="N21" s="20"/>
      <c r="O21" s="19"/>
      <c r="P21" s="21"/>
      <c r="Q21" s="22" t="str">
        <f aca="false">IF(L21="","",IF(M21&lt;&gt;"",M21*L21*100,IF(AND(O21&lt;&gt;"",B21&lt;&gt;""),IFERROR(AVERAGEIF($B$5:$B$1004,B21,$M$5:$M$1004)*L21*100,""),"")))</f>
        <v/>
      </c>
      <c r="R21" s="22" t="str">
        <f aca="false">IF(AND(O21&lt;&gt;"",L21&lt;&gt;""),O21*L21*100,"")</f>
        <v/>
      </c>
      <c r="S21" s="23" t="str">
        <f aca="false">IF(AND(P21&lt;&gt;"",L21&lt;&gt;""),P21*L21*100,"")</f>
        <v/>
      </c>
      <c r="T21" s="24" t="str">
        <f aca="false">IF(AND(Q21&lt;&gt;"",R21&lt;&gt;""),R21-Q21,"")</f>
        <v/>
      </c>
      <c r="U21" s="25" t="str">
        <f aca="false">IF(AND(Q21&lt;&gt;"",Q21&lt;&gt;0,T21&lt;&gt;""),T21/Q21,"")</f>
        <v/>
      </c>
      <c r="V21" s="26" t="str">
        <f aca="false">IF(AND(S21&lt;&gt;"",Q21&lt;&gt;""),S21-Q21,"")</f>
        <v/>
      </c>
      <c r="W21" s="27" t="str">
        <f aca="false">IF(AND(Q21&lt;&gt;"",Q21&lt;&gt;0,V21&lt;&gt;""),V21/Q21,"")</f>
        <v/>
      </c>
      <c r="X21" s="28" t="s">
        <v>37</v>
      </c>
      <c r="Y21" s="29" t="str">
        <f aca="false">IF(AND(O21&lt;&gt;"",M21&lt;&gt;"",O21&gt;M21),CONCATENATE("1 : ",TEXT((O21-M21)/M21,"0.00")),IF(AND(O21&lt;&gt;"",M21&lt;&gt;"",O21&lt;M21),CONCATENATE("-1 : ",TEXT((M21-O21)/M21,"0.00")),"—"))</f>
        <v>—</v>
      </c>
      <c r="Z21" s="30" t="str">
        <f aca="false">IF(AND(P21&lt;&gt;"",M21&lt;&gt;"",P21&gt;M21),CONCATENATE("1 : ",TEXT((P21-M21)/M21,"0.00")),"—")</f>
        <v>—</v>
      </c>
      <c r="AA21" s="31" t="str">
        <f aca="false">IF(AND(C21&lt;&gt;"",E21&lt;&gt;""),E21-C21,"")</f>
        <v/>
      </c>
      <c r="AB21" s="17"/>
      <c r="AC21" s="32"/>
      <c r="AD21" s="33"/>
      <c r="AE21" s="34" t="str">
        <f aca="false">IF(G21&lt;&gt;"",HYPERLINK("https://www.tradingview.com/chart/?symbol="&amp;G21&amp;"&amp;interval=60&amp;from="&amp;(AG21-10*3600)&amp;"&amp;to="&amp;(AG21+50*3600),"📈 1H"),"")</f>
        <v/>
      </c>
      <c r="AF21" s="35" t="str">
        <f aca="false">IF(G21&lt;&gt;"",HYPERLINK("https://www.tradingview.com/chart/?symbol="&amp;G21&amp;"&amp;interval=240&amp;from="&amp;(AG21-10*14400)&amp;"&amp;to="&amp;(AG21+50*14400),"📈 4H"),"")</f>
        <v/>
      </c>
      <c r="AG21" s="36" t="str">
        <f aca="false">IF(C21&lt;&gt;"",INT((C21+IF(D21&lt;&gt;"",D21,0)-DATE(1970,1,1))*86400),"")</f>
        <v/>
      </c>
    </row>
    <row r="22" customFormat="false" ht="19.5" hidden="false" customHeight="true" outlineLevel="0" collapsed="false">
      <c r="A22" s="37" t="n">
        <f aca="false">ROW()-4</f>
        <v>18</v>
      </c>
      <c r="B22" s="38"/>
      <c r="C22" s="39"/>
      <c r="D22" s="40"/>
      <c r="E22" s="39"/>
      <c r="F22" s="40"/>
      <c r="G22" s="41"/>
      <c r="H22" s="42"/>
      <c r="I22" s="43"/>
      <c r="J22" s="44"/>
      <c r="K22" s="39"/>
      <c r="L22" s="42"/>
      <c r="M22" s="44"/>
      <c r="N22" s="45"/>
      <c r="O22" s="44"/>
      <c r="P22" s="46"/>
      <c r="Q22" s="47" t="str">
        <f aca="false">IF(L22="","",IF(M22&lt;&gt;"",M22*L22*100,IF(AND(O22&lt;&gt;"",B22&lt;&gt;""),IFERROR(AVERAGEIF($B$5:$B$1004,B22,$M$5:$M$1004)*L22*100,""),"")))</f>
        <v/>
      </c>
      <c r="R22" s="47" t="str">
        <f aca="false">IF(AND(O22&lt;&gt;"",L22&lt;&gt;""),O22*L22*100,"")</f>
        <v/>
      </c>
      <c r="S22" s="48" t="str">
        <f aca="false">IF(AND(P22&lt;&gt;"",L22&lt;&gt;""),P22*L22*100,"")</f>
        <v/>
      </c>
      <c r="T22" s="49" t="str">
        <f aca="false">IF(AND(Q22&lt;&gt;"",R22&lt;&gt;""),R22-Q22,"")</f>
        <v/>
      </c>
      <c r="U22" s="50" t="str">
        <f aca="false">IF(AND(Q22&lt;&gt;"",Q22&lt;&gt;0,T22&lt;&gt;""),T22/Q22,"")</f>
        <v/>
      </c>
      <c r="V22" s="51" t="str">
        <f aca="false">IF(AND(S22&lt;&gt;"",Q22&lt;&gt;""),S22-Q22,"")</f>
        <v/>
      </c>
      <c r="W22" s="52" t="str">
        <f aca="false">IF(AND(Q22&lt;&gt;"",Q22&lt;&gt;0,V22&lt;&gt;""),V22/Q22,"")</f>
        <v/>
      </c>
      <c r="X22" s="53" t="s">
        <v>37</v>
      </c>
      <c r="Y22" s="54" t="str">
        <f aca="false">IF(AND(O22&lt;&gt;"",M22&lt;&gt;"",O22&gt;M22),CONCATENATE("1 : ",TEXT((O22-M22)/M22,"0.00")),IF(AND(O22&lt;&gt;"",M22&lt;&gt;"",O22&lt;M22),CONCATENATE("-1 : ",TEXT((M22-O22)/M22,"0.00")),"—"))</f>
        <v>—</v>
      </c>
      <c r="Z22" s="55" t="str">
        <f aca="false">IF(AND(P22&lt;&gt;"",M22&lt;&gt;"",P22&gt;M22),CONCATENATE("1 : ",TEXT((P22-M22)/M22,"0.00")),"—")</f>
        <v>—</v>
      </c>
      <c r="AA22" s="56" t="str">
        <f aca="false">IF(AND(C22&lt;&gt;"",E22&lt;&gt;""),E22-C22,"")</f>
        <v/>
      </c>
      <c r="AB22" s="42"/>
      <c r="AC22" s="57"/>
      <c r="AD22" s="58"/>
      <c r="AE22" s="59" t="str">
        <f aca="false">IF(G22&lt;&gt;"",HYPERLINK("https://www.tradingview.com/chart/?symbol="&amp;G22&amp;"&amp;interval=60&amp;from="&amp;(AG22-10*3600)&amp;"&amp;to="&amp;(AG22+50*3600),"📈 1H"),"")</f>
        <v/>
      </c>
      <c r="AF22" s="60" t="str">
        <f aca="false">IF(G22&lt;&gt;"",HYPERLINK("https://www.tradingview.com/chart/?symbol="&amp;G22&amp;"&amp;interval=240&amp;from="&amp;(AG22-10*14400)&amp;"&amp;to="&amp;(AG22+50*14400),"📈 4H"),"")</f>
        <v/>
      </c>
      <c r="AG22" s="36" t="str">
        <f aca="false">IF(C22&lt;&gt;"",INT((C22+IF(D22&lt;&gt;"",D22,0)-DATE(1970,1,1))*86400),"")</f>
        <v/>
      </c>
    </row>
    <row r="23" customFormat="false" ht="19.5" hidden="false" customHeight="true" outlineLevel="0" collapsed="false">
      <c r="A23" s="12" t="n">
        <f aca="false">ROW()-4</f>
        <v>19</v>
      </c>
      <c r="B23" s="13"/>
      <c r="C23" s="14"/>
      <c r="D23" s="15"/>
      <c r="E23" s="14"/>
      <c r="F23" s="15"/>
      <c r="G23" s="16"/>
      <c r="H23" s="17"/>
      <c r="I23" s="18"/>
      <c r="J23" s="19"/>
      <c r="K23" s="14"/>
      <c r="L23" s="17"/>
      <c r="M23" s="19"/>
      <c r="N23" s="20"/>
      <c r="O23" s="19"/>
      <c r="P23" s="21"/>
      <c r="Q23" s="22" t="str">
        <f aca="false">IF(L23="","",IF(M23&lt;&gt;"",M23*L23*100,IF(AND(O23&lt;&gt;"",B23&lt;&gt;""),IFERROR(AVERAGEIF($B$5:$B$1004,B23,$M$5:$M$1004)*L23*100,""),"")))</f>
        <v/>
      </c>
      <c r="R23" s="22" t="str">
        <f aca="false">IF(AND(O23&lt;&gt;"",L23&lt;&gt;""),O23*L23*100,"")</f>
        <v/>
      </c>
      <c r="S23" s="23" t="str">
        <f aca="false">IF(AND(P23&lt;&gt;"",L23&lt;&gt;""),P23*L23*100,"")</f>
        <v/>
      </c>
      <c r="T23" s="24" t="str">
        <f aca="false">IF(AND(Q23&lt;&gt;"",R23&lt;&gt;""),R23-Q23,"")</f>
        <v/>
      </c>
      <c r="U23" s="25" t="str">
        <f aca="false">IF(AND(Q23&lt;&gt;"",Q23&lt;&gt;0,T23&lt;&gt;""),T23/Q23,"")</f>
        <v/>
      </c>
      <c r="V23" s="26" t="str">
        <f aca="false">IF(AND(S23&lt;&gt;"",Q23&lt;&gt;""),S23-Q23,"")</f>
        <v/>
      </c>
      <c r="W23" s="27" t="str">
        <f aca="false">IF(AND(Q23&lt;&gt;"",Q23&lt;&gt;0,V23&lt;&gt;""),V23/Q23,"")</f>
        <v/>
      </c>
      <c r="X23" s="28" t="s">
        <v>37</v>
      </c>
      <c r="Y23" s="29" t="str">
        <f aca="false">IF(AND(O23&lt;&gt;"",M23&lt;&gt;"",O23&gt;M23),CONCATENATE("1 : ",TEXT((O23-M23)/M23,"0.00")),IF(AND(O23&lt;&gt;"",M23&lt;&gt;"",O23&lt;M23),CONCATENATE("-1 : ",TEXT((M23-O23)/M23,"0.00")),"—"))</f>
        <v>—</v>
      </c>
      <c r="Z23" s="30" t="str">
        <f aca="false">IF(AND(P23&lt;&gt;"",M23&lt;&gt;"",P23&gt;M23),CONCATENATE("1 : ",TEXT((P23-M23)/M23,"0.00")),"—")</f>
        <v>—</v>
      </c>
      <c r="AA23" s="31" t="str">
        <f aca="false">IF(AND(C23&lt;&gt;"",E23&lt;&gt;""),E23-C23,"")</f>
        <v/>
      </c>
      <c r="AB23" s="17"/>
      <c r="AC23" s="32"/>
      <c r="AD23" s="33"/>
      <c r="AE23" s="34" t="str">
        <f aca="false">IF(G23&lt;&gt;"",HYPERLINK("https://www.tradingview.com/chart/?symbol="&amp;G23&amp;"&amp;interval=60&amp;from="&amp;(AG23-10*3600)&amp;"&amp;to="&amp;(AG23+50*3600),"📈 1H"),"")</f>
        <v/>
      </c>
      <c r="AF23" s="35" t="str">
        <f aca="false">IF(G23&lt;&gt;"",HYPERLINK("https://www.tradingview.com/chart/?symbol="&amp;G23&amp;"&amp;interval=240&amp;from="&amp;(AG23-10*14400)&amp;"&amp;to="&amp;(AG23+50*14400),"📈 4H"),"")</f>
        <v/>
      </c>
      <c r="AG23" s="36" t="str">
        <f aca="false">IF(C23&lt;&gt;"",INT((C23+IF(D23&lt;&gt;"",D23,0)-DATE(1970,1,1))*86400),"")</f>
        <v/>
      </c>
    </row>
    <row r="24" customFormat="false" ht="19.5" hidden="false" customHeight="true" outlineLevel="0" collapsed="false">
      <c r="A24" s="37" t="n">
        <f aca="false">ROW()-4</f>
        <v>20</v>
      </c>
      <c r="B24" s="38"/>
      <c r="C24" s="39"/>
      <c r="D24" s="40"/>
      <c r="E24" s="39"/>
      <c r="F24" s="40"/>
      <c r="G24" s="41"/>
      <c r="H24" s="42"/>
      <c r="I24" s="43"/>
      <c r="J24" s="44"/>
      <c r="K24" s="39"/>
      <c r="L24" s="42"/>
      <c r="M24" s="44"/>
      <c r="N24" s="45"/>
      <c r="O24" s="44"/>
      <c r="P24" s="46"/>
      <c r="Q24" s="47" t="str">
        <f aca="false">IF(L24="","",IF(M24&lt;&gt;"",M24*L24*100,IF(AND(O24&lt;&gt;"",B24&lt;&gt;""),IFERROR(AVERAGEIF($B$5:$B$1004,B24,$M$5:$M$1004)*L24*100,""),"")))</f>
        <v/>
      </c>
      <c r="R24" s="47" t="str">
        <f aca="false">IF(AND(O24&lt;&gt;"",L24&lt;&gt;""),O24*L24*100,"")</f>
        <v/>
      </c>
      <c r="S24" s="48" t="str">
        <f aca="false">IF(AND(P24&lt;&gt;"",L24&lt;&gt;""),P24*L24*100,"")</f>
        <v/>
      </c>
      <c r="T24" s="49" t="str">
        <f aca="false">IF(AND(Q24&lt;&gt;"",R24&lt;&gt;""),R24-Q24,"")</f>
        <v/>
      </c>
      <c r="U24" s="50" t="str">
        <f aca="false">IF(AND(Q24&lt;&gt;"",Q24&lt;&gt;0,T24&lt;&gt;""),T24/Q24,"")</f>
        <v/>
      </c>
      <c r="V24" s="51" t="str">
        <f aca="false">IF(AND(S24&lt;&gt;"",Q24&lt;&gt;""),S24-Q24,"")</f>
        <v/>
      </c>
      <c r="W24" s="52" t="str">
        <f aca="false">IF(AND(Q24&lt;&gt;"",Q24&lt;&gt;0,V24&lt;&gt;""),V24/Q24,"")</f>
        <v/>
      </c>
      <c r="X24" s="53" t="s">
        <v>37</v>
      </c>
      <c r="Y24" s="54" t="str">
        <f aca="false">IF(AND(O24&lt;&gt;"",M24&lt;&gt;"",O24&gt;M24),CONCATENATE("1 : ",TEXT((O24-M24)/M24,"0.00")),IF(AND(O24&lt;&gt;"",M24&lt;&gt;"",O24&lt;M24),CONCATENATE("-1 : ",TEXT((M24-O24)/M24,"0.00")),"—"))</f>
        <v>—</v>
      </c>
      <c r="Z24" s="55" t="str">
        <f aca="false">IF(AND(P24&lt;&gt;"",M24&lt;&gt;"",P24&gt;M24),CONCATENATE("1 : ",TEXT((P24-M24)/M24,"0.00")),"—")</f>
        <v>—</v>
      </c>
      <c r="AA24" s="56" t="str">
        <f aca="false">IF(AND(C24&lt;&gt;"",E24&lt;&gt;""),E24-C24,"")</f>
        <v/>
      </c>
      <c r="AB24" s="42"/>
      <c r="AC24" s="57"/>
      <c r="AD24" s="58"/>
      <c r="AE24" s="59" t="str">
        <f aca="false">IF(G24&lt;&gt;"",HYPERLINK("https://www.tradingview.com/chart/?symbol="&amp;G24&amp;"&amp;interval=60&amp;from="&amp;(AG24-10*3600)&amp;"&amp;to="&amp;(AG24+50*3600),"📈 1H"),"")</f>
        <v/>
      </c>
      <c r="AF24" s="60" t="str">
        <f aca="false">IF(G24&lt;&gt;"",HYPERLINK("https://www.tradingview.com/chart/?symbol="&amp;G24&amp;"&amp;interval=240&amp;from="&amp;(AG24-10*14400)&amp;"&amp;to="&amp;(AG24+50*14400),"📈 4H"),"")</f>
        <v/>
      </c>
      <c r="AG24" s="36" t="str">
        <f aca="false">IF(C24&lt;&gt;"",INT((C24+IF(D24&lt;&gt;"",D24,0)-DATE(1970,1,1))*86400),"")</f>
        <v/>
      </c>
    </row>
    <row r="25" customFormat="false" ht="19.5" hidden="false" customHeight="true" outlineLevel="0" collapsed="false">
      <c r="A25" s="12" t="n">
        <f aca="false">ROW()-4</f>
        <v>21</v>
      </c>
      <c r="B25" s="13"/>
      <c r="C25" s="14"/>
      <c r="D25" s="15"/>
      <c r="E25" s="14"/>
      <c r="F25" s="15"/>
      <c r="G25" s="16"/>
      <c r="H25" s="17"/>
      <c r="I25" s="18"/>
      <c r="J25" s="19"/>
      <c r="K25" s="14"/>
      <c r="L25" s="17"/>
      <c r="M25" s="19"/>
      <c r="N25" s="20"/>
      <c r="O25" s="19"/>
      <c r="P25" s="21"/>
      <c r="Q25" s="22" t="str">
        <f aca="false">IF(L25="","",IF(M25&lt;&gt;"",M25*L25*100,IF(AND(O25&lt;&gt;"",B25&lt;&gt;""),IFERROR(AVERAGEIF($B$5:$B$1004,B25,$M$5:$M$1004)*L25*100,""),"")))</f>
        <v/>
      </c>
      <c r="R25" s="22" t="str">
        <f aca="false">IF(AND(O25&lt;&gt;"",L25&lt;&gt;""),O25*L25*100,"")</f>
        <v/>
      </c>
      <c r="S25" s="23" t="str">
        <f aca="false">IF(AND(P25&lt;&gt;"",L25&lt;&gt;""),P25*L25*100,"")</f>
        <v/>
      </c>
      <c r="T25" s="24" t="str">
        <f aca="false">IF(AND(Q25&lt;&gt;"",R25&lt;&gt;""),R25-Q25,"")</f>
        <v/>
      </c>
      <c r="U25" s="25" t="str">
        <f aca="false">IF(AND(Q25&lt;&gt;"",Q25&lt;&gt;0,T25&lt;&gt;""),T25/Q25,"")</f>
        <v/>
      </c>
      <c r="V25" s="26" t="str">
        <f aca="false">IF(AND(S25&lt;&gt;"",Q25&lt;&gt;""),S25-Q25,"")</f>
        <v/>
      </c>
      <c r="W25" s="27" t="str">
        <f aca="false">IF(AND(Q25&lt;&gt;"",Q25&lt;&gt;0,V25&lt;&gt;""),V25/Q25,"")</f>
        <v/>
      </c>
      <c r="X25" s="28" t="s">
        <v>37</v>
      </c>
      <c r="Y25" s="29" t="str">
        <f aca="false">IF(AND(O25&lt;&gt;"",M25&lt;&gt;"",O25&gt;M25),CONCATENATE("1 : ",TEXT((O25-M25)/M25,"0.00")),IF(AND(O25&lt;&gt;"",M25&lt;&gt;"",O25&lt;M25),CONCATENATE("-1 : ",TEXT((M25-O25)/M25,"0.00")),"—"))</f>
        <v>—</v>
      </c>
      <c r="Z25" s="30" t="str">
        <f aca="false">IF(AND(P25&lt;&gt;"",M25&lt;&gt;"",P25&gt;M25),CONCATENATE("1 : ",TEXT((P25-M25)/M25,"0.00")),"—")</f>
        <v>—</v>
      </c>
      <c r="AA25" s="31" t="str">
        <f aca="false">IF(AND(C25&lt;&gt;"",E25&lt;&gt;""),E25-C25,"")</f>
        <v/>
      </c>
      <c r="AB25" s="17"/>
      <c r="AC25" s="32"/>
      <c r="AD25" s="33"/>
      <c r="AE25" s="34" t="str">
        <f aca="false">IF(G25&lt;&gt;"",HYPERLINK("https://www.tradingview.com/chart/?symbol="&amp;G25&amp;"&amp;interval=60&amp;from="&amp;(AG25-10*3600)&amp;"&amp;to="&amp;(AG25+50*3600),"📈 1H"),"")</f>
        <v/>
      </c>
      <c r="AF25" s="35" t="str">
        <f aca="false">IF(G25&lt;&gt;"",HYPERLINK("https://www.tradingview.com/chart/?symbol="&amp;G25&amp;"&amp;interval=240&amp;from="&amp;(AG25-10*14400)&amp;"&amp;to="&amp;(AG25+50*14400),"📈 4H"),"")</f>
        <v/>
      </c>
      <c r="AG25" s="36" t="str">
        <f aca="false">IF(C25&lt;&gt;"",INT((C25+IF(D25&lt;&gt;"",D25,0)-DATE(1970,1,1))*86400),"")</f>
        <v/>
      </c>
    </row>
    <row r="26" customFormat="false" ht="19.5" hidden="false" customHeight="true" outlineLevel="0" collapsed="false">
      <c r="A26" s="37" t="n">
        <f aca="false">ROW()-4</f>
        <v>22</v>
      </c>
      <c r="B26" s="38"/>
      <c r="C26" s="39"/>
      <c r="D26" s="40"/>
      <c r="E26" s="39"/>
      <c r="F26" s="40"/>
      <c r="G26" s="41"/>
      <c r="H26" s="42"/>
      <c r="I26" s="43"/>
      <c r="J26" s="44"/>
      <c r="K26" s="39"/>
      <c r="L26" s="42"/>
      <c r="M26" s="44"/>
      <c r="N26" s="45"/>
      <c r="O26" s="44"/>
      <c r="P26" s="46"/>
      <c r="Q26" s="47" t="str">
        <f aca="false">IF(L26="","",IF(M26&lt;&gt;"",M26*L26*100,IF(AND(O26&lt;&gt;"",B26&lt;&gt;""),IFERROR(AVERAGEIF($B$5:$B$1004,B26,$M$5:$M$1004)*L26*100,""),"")))</f>
        <v/>
      </c>
      <c r="R26" s="47" t="str">
        <f aca="false">IF(AND(O26&lt;&gt;"",L26&lt;&gt;""),O26*L26*100,"")</f>
        <v/>
      </c>
      <c r="S26" s="48" t="str">
        <f aca="false">IF(AND(P26&lt;&gt;"",L26&lt;&gt;""),P26*L26*100,"")</f>
        <v/>
      </c>
      <c r="T26" s="49" t="str">
        <f aca="false">IF(AND(Q26&lt;&gt;"",R26&lt;&gt;""),R26-Q26,"")</f>
        <v/>
      </c>
      <c r="U26" s="50" t="str">
        <f aca="false">IF(AND(Q26&lt;&gt;"",Q26&lt;&gt;0,T26&lt;&gt;""),T26/Q26,"")</f>
        <v/>
      </c>
      <c r="V26" s="51" t="str">
        <f aca="false">IF(AND(S26&lt;&gt;"",Q26&lt;&gt;""),S26-Q26,"")</f>
        <v/>
      </c>
      <c r="W26" s="52" t="str">
        <f aca="false">IF(AND(Q26&lt;&gt;"",Q26&lt;&gt;0,V26&lt;&gt;""),V26/Q26,"")</f>
        <v/>
      </c>
      <c r="X26" s="53" t="s">
        <v>37</v>
      </c>
      <c r="Y26" s="54" t="str">
        <f aca="false">IF(AND(O26&lt;&gt;"",M26&lt;&gt;"",O26&gt;M26),CONCATENATE("1 : ",TEXT((O26-M26)/M26,"0.00")),IF(AND(O26&lt;&gt;"",M26&lt;&gt;"",O26&lt;M26),CONCATENATE("-1 : ",TEXT((M26-O26)/M26,"0.00")),"—"))</f>
        <v>—</v>
      </c>
      <c r="Z26" s="55" t="str">
        <f aca="false">IF(AND(P26&lt;&gt;"",M26&lt;&gt;"",P26&gt;M26),CONCATENATE("1 : ",TEXT((P26-M26)/M26,"0.00")),"—")</f>
        <v>—</v>
      </c>
      <c r="AA26" s="56" t="str">
        <f aca="false">IF(AND(C26&lt;&gt;"",E26&lt;&gt;""),E26-C26,"")</f>
        <v/>
      </c>
      <c r="AB26" s="42"/>
      <c r="AC26" s="57"/>
      <c r="AD26" s="58"/>
      <c r="AE26" s="59" t="str">
        <f aca="false">IF(G26&lt;&gt;"",HYPERLINK("https://www.tradingview.com/chart/?symbol="&amp;G26&amp;"&amp;interval=60&amp;from="&amp;(AG26-10*3600)&amp;"&amp;to="&amp;(AG26+50*3600),"📈 1H"),"")</f>
        <v/>
      </c>
      <c r="AF26" s="60" t="str">
        <f aca="false">IF(G26&lt;&gt;"",HYPERLINK("https://www.tradingview.com/chart/?symbol="&amp;G26&amp;"&amp;interval=240&amp;from="&amp;(AG26-10*14400)&amp;"&amp;to="&amp;(AG26+50*14400),"📈 4H"),"")</f>
        <v/>
      </c>
      <c r="AG26" s="36" t="str">
        <f aca="false">IF(C26&lt;&gt;"",INT((C26+IF(D26&lt;&gt;"",D26,0)-DATE(1970,1,1))*86400),"")</f>
        <v/>
      </c>
    </row>
    <row r="27" customFormat="false" ht="19.5" hidden="false" customHeight="true" outlineLevel="0" collapsed="false">
      <c r="A27" s="12" t="n">
        <f aca="false">ROW()-4</f>
        <v>23</v>
      </c>
      <c r="B27" s="13"/>
      <c r="C27" s="14"/>
      <c r="D27" s="15"/>
      <c r="E27" s="14"/>
      <c r="F27" s="15"/>
      <c r="G27" s="16"/>
      <c r="H27" s="17"/>
      <c r="I27" s="18"/>
      <c r="J27" s="19"/>
      <c r="K27" s="14"/>
      <c r="L27" s="17"/>
      <c r="M27" s="19"/>
      <c r="N27" s="20"/>
      <c r="O27" s="19"/>
      <c r="P27" s="21"/>
      <c r="Q27" s="22" t="str">
        <f aca="false">IF(L27="","",IF(M27&lt;&gt;"",M27*L27*100,IF(AND(O27&lt;&gt;"",B27&lt;&gt;""),IFERROR(AVERAGEIF($B$5:$B$1004,B27,$M$5:$M$1004)*L27*100,""),"")))</f>
        <v/>
      </c>
      <c r="R27" s="22" t="str">
        <f aca="false">IF(AND(O27&lt;&gt;"",L27&lt;&gt;""),O27*L27*100,"")</f>
        <v/>
      </c>
      <c r="S27" s="23" t="str">
        <f aca="false">IF(AND(P27&lt;&gt;"",L27&lt;&gt;""),P27*L27*100,"")</f>
        <v/>
      </c>
      <c r="T27" s="24" t="str">
        <f aca="false">IF(AND(Q27&lt;&gt;"",R27&lt;&gt;""),R27-Q27,"")</f>
        <v/>
      </c>
      <c r="U27" s="25" t="str">
        <f aca="false">IF(AND(Q27&lt;&gt;"",Q27&lt;&gt;0,T27&lt;&gt;""),T27/Q27,"")</f>
        <v/>
      </c>
      <c r="V27" s="26" t="str">
        <f aca="false">IF(AND(S27&lt;&gt;"",Q27&lt;&gt;""),S27-Q27,"")</f>
        <v/>
      </c>
      <c r="W27" s="27" t="str">
        <f aca="false">IF(AND(Q27&lt;&gt;"",Q27&lt;&gt;0,V27&lt;&gt;""),V27/Q27,"")</f>
        <v/>
      </c>
      <c r="X27" s="28" t="s">
        <v>37</v>
      </c>
      <c r="Y27" s="29" t="str">
        <f aca="false">IF(AND(O27&lt;&gt;"",M27&lt;&gt;"",O27&gt;M27),CONCATENATE("1 : ",TEXT((O27-M27)/M27,"0.00")),IF(AND(O27&lt;&gt;"",M27&lt;&gt;"",O27&lt;M27),CONCATENATE("-1 : ",TEXT((M27-O27)/M27,"0.00")),"—"))</f>
        <v>—</v>
      </c>
      <c r="Z27" s="30" t="str">
        <f aca="false">IF(AND(P27&lt;&gt;"",M27&lt;&gt;"",P27&gt;M27),CONCATENATE("1 : ",TEXT((P27-M27)/M27,"0.00")),"—")</f>
        <v>—</v>
      </c>
      <c r="AA27" s="31" t="str">
        <f aca="false">IF(AND(C27&lt;&gt;"",E27&lt;&gt;""),E27-C27,"")</f>
        <v/>
      </c>
      <c r="AB27" s="17"/>
      <c r="AC27" s="32"/>
      <c r="AD27" s="33"/>
      <c r="AE27" s="34" t="str">
        <f aca="false">IF(G27&lt;&gt;"",HYPERLINK("https://www.tradingview.com/chart/?symbol="&amp;G27&amp;"&amp;interval=60&amp;from="&amp;(AG27-10*3600)&amp;"&amp;to="&amp;(AG27+50*3600),"📈 1H"),"")</f>
        <v/>
      </c>
      <c r="AF27" s="35" t="str">
        <f aca="false">IF(G27&lt;&gt;"",HYPERLINK("https://www.tradingview.com/chart/?symbol="&amp;G27&amp;"&amp;interval=240&amp;from="&amp;(AG27-10*14400)&amp;"&amp;to="&amp;(AG27+50*14400),"📈 4H"),"")</f>
        <v/>
      </c>
      <c r="AG27" s="36" t="str">
        <f aca="false">IF(C27&lt;&gt;"",INT((C27+IF(D27&lt;&gt;"",D27,0)-DATE(1970,1,1))*86400),"")</f>
        <v/>
      </c>
    </row>
    <row r="28" customFormat="false" ht="19.5" hidden="false" customHeight="true" outlineLevel="0" collapsed="false">
      <c r="A28" s="37" t="n">
        <f aca="false">ROW()-4</f>
        <v>24</v>
      </c>
      <c r="B28" s="38"/>
      <c r="C28" s="39"/>
      <c r="D28" s="40"/>
      <c r="E28" s="39"/>
      <c r="F28" s="40"/>
      <c r="G28" s="41"/>
      <c r="H28" s="42"/>
      <c r="I28" s="43"/>
      <c r="J28" s="44"/>
      <c r="K28" s="39"/>
      <c r="L28" s="42"/>
      <c r="M28" s="44"/>
      <c r="N28" s="45"/>
      <c r="O28" s="44"/>
      <c r="P28" s="46"/>
      <c r="Q28" s="47" t="str">
        <f aca="false">IF(L28="","",IF(M28&lt;&gt;"",M28*L28*100,IF(AND(O28&lt;&gt;"",B28&lt;&gt;""),IFERROR(AVERAGEIF($B$5:$B$1004,B28,$M$5:$M$1004)*L28*100,""),"")))</f>
        <v/>
      </c>
      <c r="R28" s="47" t="str">
        <f aca="false">IF(AND(O28&lt;&gt;"",L28&lt;&gt;""),O28*L28*100,"")</f>
        <v/>
      </c>
      <c r="S28" s="48" t="str">
        <f aca="false">IF(AND(P28&lt;&gt;"",L28&lt;&gt;""),P28*L28*100,"")</f>
        <v/>
      </c>
      <c r="T28" s="49" t="str">
        <f aca="false">IF(AND(Q28&lt;&gt;"",R28&lt;&gt;""),R28-Q28,"")</f>
        <v/>
      </c>
      <c r="U28" s="50" t="str">
        <f aca="false">IF(AND(Q28&lt;&gt;"",Q28&lt;&gt;0,T28&lt;&gt;""),T28/Q28,"")</f>
        <v/>
      </c>
      <c r="V28" s="51" t="str">
        <f aca="false">IF(AND(S28&lt;&gt;"",Q28&lt;&gt;""),S28-Q28,"")</f>
        <v/>
      </c>
      <c r="W28" s="52" t="str">
        <f aca="false">IF(AND(Q28&lt;&gt;"",Q28&lt;&gt;0,V28&lt;&gt;""),V28/Q28,"")</f>
        <v/>
      </c>
      <c r="X28" s="53" t="s">
        <v>37</v>
      </c>
      <c r="Y28" s="54" t="str">
        <f aca="false">IF(AND(O28&lt;&gt;"",M28&lt;&gt;"",O28&gt;M28),CONCATENATE("1 : ",TEXT((O28-M28)/M28,"0.00")),IF(AND(O28&lt;&gt;"",M28&lt;&gt;"",O28&lt;M28),CONCATENATE("-1 : ",TEXT((M28-O28)/M28,"0.00")),"—"))</f>
        <v>—</v>
      </c>
      <c r="Z28" s="55" t="str">
        <f aca="false">IF(AND(P28&lt;&gt;"",M28&lt;&gt;"",P28&gt;M28),CONCATENATE("1 : ",TEXT((P28-M28)/M28,"0.00")),"—")</f>
        <v>—</v>
      </c>
      <c r="AA28" s="56" t="str">
        <f aca="false">IF(AND(C28&lt;&gt;"",E28&lt;&gt;""),E28-C28,"")</f>
        <v/>
      </c>
      <c r="AB28" s="42"/>
      <c r="AC28" s="57"/>
      <c r="AD28" s="58"/>
      <c r="AE28" s="59" t="str">
        <f aca="false">IF(G28&lt;&gt;"",HYPERLINK("https://www.tradingview.com/chart/?symbol="&amp;G28&amp;"&amp;interval=60&amp;from="&amp;(AG28-10*3600)&amp;"&amp;to="&amp;(AG28+50*3600),"📈 1H"),"")</f>
        <v/>
      </c>
      <c r="AF28" s="60" t="str">
        <f aca="false">IF(G28&lt;&gt;"",HYPERLINK("https://www.tradingview.com/chart/?symbol="&amp;G28&amp;"&amp;interval=240&amp;from="&amp;(AG28-10*14400)&amp;"&amp;to="&amp;(AG28+50*14400),"📈 4H"),"")</f>
        <v/>
      </c>
      <c r="AG28" s="36" t="str">
        <f aca="false">IF(C28&lt;&gt;"",INT((C28+IF(D28&lt;&gt;"",D28,0)-DATE(1970,1,1))*86400),"")</f>
        <v/>
      </c>
    </row>
    <row r="29" customFormat="false" ht="19.5" hidden="false" customHeight="true" outlineLevel="0" collapsed="false">
      <c r="A29" s="12" t="n">
        <f aca="false">ROW()-4</f>
        <v>25</v>
      </c>
      <c r="B29" s="13"/>
      <c r="C29" s="14"/>
      <c r="D29" s="15"/>
      <c r="E29" s="14"/>
      <c r="F29" s="15"/>
      <c r="G29" s="16"/>
      <c r="H29" s="17"/>
      <c r="I29" s="18"/>
      <c r="J29" s="19"/>
      <c r="K29" s="14"/>
      <c r="L29" s="17"/>
      <c r="M29" s="19"/>
      <c r="N29" s="20"/>
      <c r="O29" s="19"/>
      <c r="P29" s="21"/>
      <c r="Q29" s="22" t="str">
        <f aca="false">IF(L29="","",IF(M29&lt;&gt;"",M29*L29*100,IF(AND(O29&lt;&gt;"",B29&lt;&gt;""),IFERROR(AVERAGEIF($B$5:$B$1004,B29,$M$5:$M$1004)*L29*100,""),"")))</f>
        <v/>
      </c>
      <c r="R29" s="22" t="str">
        <f aca="false">IF(AND(O29&lt;&gt;"",L29&lt;&gt;""),O29*L29*100,"")</f>
        <v/>
      </c>
      <c r="S29" s="23" t="str">
        <f aca="false">IF(AND(P29&lt;&gt;"",L29&lt;&gt;""),P29*L29*100,"")</f>
        <v/>
      </c>
      <c r="T29" s="24" t="str">
        <f aca="false">IF(AND(Q29&lt;&gt;"",R29&lt;&gt;""),R29-Q29,"")</f>
        <v/>
      </c>
      <c r="U29" s="25" t="str">
        <f aca="false">IF(AND(Q29&lt;&gt;"",Q29&lt;&gt;0,T29&lt;&gt;""),T29/Q29,"")</f>
        <v/>
      </c>
      <c r="V29" s="26" t="str">
        <f aca="false">IF(AND(S29&lt;&gt;"",Q29&lt;&gt;""),S29-Q29,"")</f>
        <v/>
      </c>
      <c r="W29" s="27" t="str">
        <f aca="false">IF(AND(Q29&lt;&gt;"",Q29&lt;&gt;0,V29&lt;&gt;""),V29/Q29,"")</f>
        <v/>
      </c>
      <c r="X29" s="28" t="s">
        <v>37</v>
      </c>
      <c r="Y29" s="29" t="str">
        <f aca="false">IF(AND(O29&lt;&gt;"",M29&lt;&gt;"",O29&gt;M29),CONCATENATE("1 : ",TEXT((O29-M29)/M29,"0.00")),IF(AND(O29&lt;&gt;"",M29&lt;&gt;"",O29&lt;M29),CONCATENATE("-1 : ",TEXT((M29-O29)/M29,"0.00")),"—"))</f>
        <v>—</v>
      </c>
      <c r="Z29" s="30" t="str">
        <f aca="false">IF(AND(P29&lt;&gt;"",M29&lt;&gt;"",P29&gt;M29),CONCATENATE("1 : ",TEXT((P29-M29)/M29,"0.00")),"—")</f>
        <v>—</v>
      </c>
      <c r="AA29" s="31" t="str">
        <f aca="false">IF(AND(C29&lt;&gt;"",E29&lt;&gt;""),E29-C29,"")</f>
        <v/>
      </c>
      <c r="AB29" s="17"/>
      <c r="AC29" s="32"/>
      <c r="AD29" s="33"/>
      <c r="AE29" s="34" t="str">
        <f aca="false">IF(G29&lt;&gt;"",HYPERLINK("https://www.tradingview.com/chart/?symbol="&amp;G29&amp;"&amp;interval=60&amp;from="&amp;(AG29-10*3600)&amp;"&amp;to="&amp;(AG29+50*3600),"📈 1H"),"")</f>
        <v/>
      </c>
      <c r="AF29" s="35" t="str">
        <f aca="false">IF(G29&lt;&gt;"",HYPERLINK("https://www.tradingview.com/chart/?symbol="&amp;G29&amp;"&amp;interval=240&amp;from="&amp;(AG29-10*14400)&amp;"&amp;to="&amp;(AG29+50*14400),"📈 4H"),"")</f>
        <v/>
      </c>
      <c r="AG29" s="36" t="str">
        <f aca="false">IF(C29&lt;&gt;"",INT((C29+IF(D29&lt;&gt;"",D29,0)-DATE(1970,1,1))*86400),"")</f>
        <v/>
      </c>
    </row>
    <row r="30" customFormat="false" ht="19.5" hidden="false" customHeight="true" outlineLevel="0" collapsed="false">
      <c r="A30" s="37" t="n">
        <f aca="false">ROW()-4</f>
        <v>26</v>
      </c>
      <c r="B30" s="38"/>
      <c r="C30" s="39"/>
      <c r="D30" s="40"/>
      <c r="E30" s="39"/>
      <c r="F30" s="40"/>
      <c r="G30" s="41"/>
      <c r="H30" s="42"/>
      <c r="I30" s="43"/>
      <c r="J30" s="44"/>
      <c r="K30" s="39"/>
      <c r="L30" s="42"/>
      <c r="M30" s="44"/>
      <c r="N30" s="45"/>
      <c r="O30" s="44"/>
      <c r="P30" s="46"/>
      <c r="Q30" s="47" t="str">
        <f aca="false">IF(L30="","",IF(M30&lt;&gt;"",M30*L30*100,IF(AND(O30&lt;&gt;"",B30&lt;&gt;""),IFERROR(AVERAGEIF($B$5:$B$1004,B30,$M$5:$M$1004)*L30*100,""),"")))</f>
        <v/>
      </c>
      <c r="R30" s="47" t="str">
        <f aca="false">IF(AND(O30&lt;&gt;"",L30&lt;&gt;""),O30*L30*100,"")</f>
        <v/>
      </c>
      <c r="S30" s="48" t="str">
        <f aca="false">IF(AND(P30&lt;&gt;"",L30&lt;&gt;""),P30*L30*100,"")</f>
        <v/>
      </c>
      <c r="T30" s="49" t="str">
        <f aca="false">IF(AND(Q30&lt;&gt;"",R30&lt;&gt;""),R30-Q30,"")</f>
        <v/>
      </c>
      <c r="U30" s="50" t="str">
        <f aca="false">IF(AND(Q30&lt;&gt;"",Q30&lt;&gt;0,T30&lt;&gt;""),T30/Q30,"")</f>
        <v/>
      </c>
      <c r="V30" s="51" t="str">
        <f aca="false">IF(AND(S30&lt;&gt;"",Q30&lt;&gt;""),S30-Q30,"")</f>
        <v/>
      </c>
      <c r="W30" s="52" t="str">
        <f aca="false">IF(AND(Q30&lt;&gt;"",Q30&lt;&gt;0,V30&lt;&gt;""),V30/Q30,"")</f>
        <v/>
      </c>
      <c r="X30" s="53" t="s">
        <v>37</v>
      </c>
      <c r="Y30" s="54" t="str">
        <f aca="false">IF(AND(O30&lt;&gt;"",M30&lt;&gt;"",O30&gt;M30),CONCATENATE("1 : ",TEXT((O30-M30)/M30,"0.00")),IF(AND(O30&lt;&gt;"",M30&lt;&gt;"",O30&lt;M30),CONCATENATE("-1 : ",TEXT((M30-O30)/M30,"0.00")),"—"))</f>
        <v>—</v>
      </c>
      <c r="Z30" s="55" t="str">
        <f aca="false">IF(AND(P30&lt;&gt;"",M30&lt;&gt;"",P30&gt;M30),CONCATENATE("1 : ",TEXT((P30-M30)/M30,"0.00")),"—")</f>
        <v>—</v>
      </c>
      <c r="AA30" s="56" t="str">
        <f aca="false">IF(AND(C30&lt;&gt;"",E30&lt;&gt;""),E30-C30,"")</f>
        <v/>
      </c>
      <c r="AB30" s="42"/>
      <c r="AC30" s="57"/>
      <c r="AD30" s="58"/>
      <c r="AE30" s="59" t="str">
        <f aca="false">IF(G30&lt;&gt;"",HYPERLINK("https://www.tradingview.com/chart/?symbol="&amp;G30&amp;"&amp;interval=60&amp;from="&amp;(AG30-10*3600)&amp;"&amp;to="&amp;(AG30+50*3600),"📈 1H"),"")</f>
        <v/>
      </c>
      <c r="AF30" s="60" t="str">
        <f aca="false">IF(G30&lt;&gt;"",HYPERLINK("https://www.tradingview.com/chart/?symbol="&amp;G30&amp;"&amp;interval=240&amp;from="&amp;(AG30-10*14400)&amp;"&amp;to="&amp;(AG30+50*14400),"📈 4H"),"")</f>
        <v/>
      </c>
      <c r="AG30" s="36" t="str">
        <f aca="false">IF(C30&lt;&gt;"",INT((C30+IF(D30&lt;&gt;"",D30,0)-DATE(1970,1,1))*86400),"")</f>
        <v/>
      </c>
    </row>
    <row r="31" customFormat="false" ht="19.5" hidden="false" customHeight="true" outlineLevel="0" collapsed="false">
      <c r="A31" s="12" t="n">
        <f aca="false">ROW()-4</f>
        <v>27</v>
      </c>
      <c r="B31" s="13"/>
      <c r="C31" s="14"/>
      <c r="D31" s="15"/>
      <c r="E31" s="14"/>
      <c r="F31" s="15"/>
      <c r="G31" s="16"/>
      <c r="H31" s="17"/>
      <c r="I31" s="18"/>
      <c r="J31" s="19"/>
      <c r="K31" s="14"/>
      <c r="L31" s="17"/>
      <c r="M31" s="19"/>
      <c r="N31" s="20"/>
      <c r="O31" s="19"/>
      <c r="P31" s="21"/>
      <c r="Q31" s="22" t="str">
        <f aca="false">IF(L31="","",IF(M31&lt;&gt;"",M31*L31*100,IF(AND(O31&lt;&gt;"",B31&lt;&gt;""),IFERROR(AVERAGEIF($B$5:$B$1004,B31,$M$5:$M$1004)*L31*100,""),"")))</f>
        <v/>
      </c>
      <c r="R31" s="22" t="str">
        <f aca="false">IF(AND(O31&lt;&gt;"",L31&lt;&gt;""),O31*L31*100,"")</f>
        <v/>
      </c>
      <c r="S31" s="23" t="str">
        <f aca="false">IF(AND(P31&lt;&gt;"",L31&lt;&gt;""),P31*L31*100,"")</f>
        <v/>
      </c>
      <c r="T31" s="24" t="str">
        <f aca="false">IF(AND(Q31&lt;&gt;"",R31&lt;&gt;""),R31-Q31,"")</f>
        <v/>
      </c>
      <c r="U31" s="25" t="str">
        <f aca="false">IF(AND(Q31&lt;&gt;"",Q31&lt;&gt;0,T31&lt;&gt;""),T31/Q31,"")</f>
        <v/>
      </c>
      <c r="V31" s="26" t="str">
        <f aca="false">IF(AND(S31&lt;&gt;"",Q31&lt;&gt;""),S31-Q31,"")</f>
        <v/>
      </c>
      <c r="W31" s="27" t="str">
        <f aca="false">IF(AND(Q31&lt;&gt;"",Q31&lt;&gt;0,V31&lt;&gt;""),V31/Q31,"")</f>
        <v/>
      </c>
      <c r="X31" s="28" t="s">
        <v>37</v>
      </c>
      <c r="Y31" s="29" t="str">
        <f aca="false">IF(AND(O31&lt;&gt;"",M31&lt;&gt;"",O31&gt;M31),CONCATENATE("1 : ",TEXT((O31-M31)/M31,"0.00")),IF(AND(O31&lt;&gt;"",M31&lt;&gt;"",O31&lt;M31),CONCATENATE("-1 : ",TEXT((M31-O31)/M31,"0.00")),"—"))</f>
        <v>—</v>
      </c>
      <c r="Z31" s="30" t="str">
        <f aca="false">IF(AND(P31&lt;&gt;"",M31&lt;&gt;"",P31&gt;M31),CONCATENATE("1 : ",TEXT((P31-M31)/M31,"0.00")),"—")</f>
        <v>—</v>
      </c>
      <c r="AA31" s="31" t="str">
        <f aca="false">IF(AND(C31&lt;&gt;"",E31&lt;&gt;""),E31-C31,"")</f>
        <v/>
      </c>
      <c r="AB31" s="17"/>
      <c r="AC31" s="32"/>
      <c r="AD31" s="33"/>
      <c r="AE31" s="34" t="str">
        <f aca="false">IF(G31&lt;&gt;"",HYPERLINK("https://www.tradingview.com/chart/?symbol="&amp;G31&amp;"&amp;interval=60&amp;from="&amp;(AG31-10*3600)&amp;"&amp;to="&amp;(AG31+50*3600),"📈 1H"),"")</f>
        <v/>
      </c>
      <c r="AF31" s="35" t="str">
        <f aca="false">IF(G31&lt;&gt;"",HYPERLINK("https://www.tradingview.com/chart/?symbol="&amp;G31&amp;"&amp;interval=240&amp;from="&amp;(AG31-10*14400)&amp;"&amp;to="&amp;(AG31+50*14400),"📈 4H"),"")</f>
        <v/>
      </c>
      <c r="AG31" s="36" t="str">
        <f aca="false">IF(C31&lt;&gt;"",INT((C31+IF(D31&lt;&gt;"",D31,0)-DATE(1970,1,1))*86400),"")</f>
        <v/>
      </c>
    </row>
    <row r="32" customFormat="false" ht="19.5" hidden="false" customHeight="true" outlineLevel="0" collapsed="false">
      <c r="A32" s="37" t="n">
        <f aca="false">ROW()-4</f>
        <v>28</v>
      </c>
      <c r="B32" s="38"/>
      <c r="C32" s="39"/>
      <c r="D32" s="40"/>
      <c r="E32" s="39"/>
      <c r="F32" s="40"/>
      <c r="G32" s="41"/>
      <c r="H32" s="42"/>
      <c r="I32" s="43"/>
      <c r="J32" s="44"/>
      <c r="K32" s="39"/>
      <c r="L32" s="42"/>
      <c r="M32" s="44"/>
      <c r="N32" s="45"/>
      <c r="O32" s="44"/>
      <c r="P32" s="46"/>
      <c r="Q32" s="47" t="str">
        <f aca="false">IF(L32="","",IF(M32&lt;&gt;"",M32*L32*100,IF(AND(O32&lt;&gt;"",B32&lt;&gt;""),IFERROR(AVERAGEIF($B$5:$B$1004,B32,$M$5:$M$1004)*L32*100,""),"")))</f>
        <v/>
      </c>
      <c r="R32" s="47" t="str">
        <f aca="false">IF(AND(O32&lt;&gt;"",L32&lt;&gt;""),O32*L32*100,"")</f>
        <v/>
      </c>
      <c r="S32" s="48" t="str">
        <f aca="false">IF(AND(P32&lt;&gt;"",L32&lt;&gt;""),P32*L32*100,"")</f>
        <v/>
      </c>
      <c r="T32" s="49" t="str">
        <f aca="false">IF(AND(Q32&lt;&gt;"",R32&lt;&gt;""),R32-Q32,"")</f>
        <v/>
      </c>
      <c r="U32" s="50" t="str">
        <f aca="false">IF(AND(Q32&lt;&gt;"",Q32&lt;&gt;0,T32&lt;&gt;""),T32/Q32,"")</f>
        <v/>
      </c>
      <c r="V32" s="51" t="str">
        <f aca="false">IF(AND(S32&lt;&gt;"",Q32&lt;&gt;""),S32-Q32,"")</f>
        <v/>
      </c>
      <c r="W32" s="52" t="str">
        <f aca="false">IF(AND(Q32&lt;&gt;"",Q32&lt;&gt;0,V32&lt;&gt;""),V32/Q32,"")</f>
        <v/>
      </c>
      <c r="X32" s="53" t="s">
        <v>37</v>
      </c>
      <c r="Y32" s="54" t="str">
        <f aca="false">IF(AND(O32&lt;&gt;"",M32&lt;&gt;"",O32&gt;M32),CONCATENATE("1 : ",TEXT((O32-M32)/M32,"0.00")),IF(AND(O32&lt;&gt;"",M32&lt;&gt;"",O32&lt;M32),CONCATENATE("-1 : ",TEXT((M32-O32)/M32,"0.00")),"—"))</f>
        <v>—</v>
      </c>
      <c r="Z32" s="55" t="str">
        <f aca="false">IF(AND(P32&lt;&gt;"",M32&lt;&gt;"",P32&gt;M32),CONCATENATE("1 : ",TEXT((P32-M32)/M32,"0.00")),"—")</f>
        <v>—</v>
      </c>
      <c r="AA32" s="56" t="str">
        <f aca="false">IF(AND(C32&lt;&gt;"",E32&lt;&gt;""),E32-C32,"")</f>
        <v/>
      </c>
      <c r="AB32" s="42"/>
      <c r="AC32" s="57"/>
      <c r="AD32" s="58"/>
      <c r="AE32" s="59" t="str">
        <f aca="false">IF(G32&lt;&gt;"",HYPERLINK("https://www.tradingview.com/chart/?symbol="&amp;G32&amp;"&amp;interval=60&amp;from="&amp;(AG32-10*3600)&amp;"&amp;to="&amp;(AG32+50*3600),"📈 1H"),"")</f>
        <v/>
      </c>
      <c r="AF32" s="60" t="str">
        <f aca="false">IF(G32&lt;&gt;"",HYPERLINK("https://www.tradingview.com/chart/?symbol="&amp;G32&amp;"&amp;interval=240&amp;from="&amp;(AG32-10*14400)&amp;"&amp;to="&amp;(AG32+50*14400),"📈 4H"),"")</f>
        <v/>
      </c>
      <c r="AG32" s="36" t="str">
        <f aca="false">IF(C32&lt;&gt;"",INT((C32+IF(D32&lt;&gt;"",D32,0)-DATE(1970,1,1))*86400),"")</f>
        <v/>
      </c>
    </row>
    <row r="33" customFormat="false" ht="19.5" hidden="false" customHeight="true" outlineLevel="0" collapsed="false">
      <c r="A33" s="12" t="n">
        <f aca="false">ROW()-4</f>
        <v>29</v>
      </c>
      <c r="B33" s="13"/>
      <c r="C33" s="14"/>
      <c r="D33" s="15"/>
      <c r="E33" s="14"/>
      <c r="F33" s="15"/>
      <c r="G33" s="16"/>
      <c r="H33" s="17"/>
      <c r="I33" s="18"/>
      <c r="J33" s="19"/>
      <c r="K33" s="14"/>
      <c r="L33" s="17"/>
      <c r="M33" s="19"/>
      <c r="N33" s="20"/>
      <c r="O33" s="19"/>
      <c r="P33" s="21"/>
      <c r="Q33" s="22" t="str">
        <f aca="false">IF(L33="","",IF(M33&lt;&gt;"",M33*L33*100,IF(AND(O33&lt;&gt;"",B33&lt;&gt;""),IFERROR(AVERAGEIF($B$5:$B$1004,B33,$M$5:$M$1004)*L33*100,""),"")))</f>
        <v/>
      </c>
      <c r="R33" s="22" t="str">
        <f aca="false">IF(AND(O33&lt;&gt;"",L33&lt;&gt;""),O33*L33*100,"")</f>
        <v/>
      </c>
      <c r="S33" s="23" t="str">
        <f aca="false">IF(AND(P33&lt;&gt;"",L33&lt;&gt;""),P33*L33*100,"")</f>
        <v/>
      </c>
      <c r="T33" s="24" t="str">
        <f aca="false">IF(AND(Q33&lt;&gt;"",R33&lt;&gt;""),R33-Q33,"")</f>
        <v/>
      </c>
      <c r="U33" s="25" t="str">
        <f aca="false">IF(AND(Q33&lt;&gt;"",Q33&lt;&gt;0,T33&lt;&gt;""),T33/Q33,"")</f>
        <v/>
      </c>
      <c r="V33" s="26" t="str">
        <f aca="false">IF(AND(S33&lt;&gt;"",Q33&lt;&gt;""),S33-Q33,"")</f>
        <v/>
      </c>
      <c r="W33" s="27" t="str">
        <f aca="false">IF(AND(Q33&lt;&gt;"",Q33&lt;&gt;0,V33&lt;&gt;""),V33/Q33,"")</f>
        <v/>
      </c>
      <c r="X33" s="28" t="s">
        <v>37</v>
      </c>
      <c r="Y33" s="29" t="str">
        <f aca="false">IF(AND(O33&lt;&gt;"",M33&lt;&gt;"",O33&gt;M33),CONCATENATE("1 : ",TEXT((O33-M33)/M33,"0.00")),IF(AND(O33&lt;&gt;"",M33&lt;&gt;"",O33&lt;M33),CONCATENATE("-1 : ",TEXT((M33-O33)/M33,"0.00")),"—"))</f>
        <v>—</v>
      </c>
      <c r="Z33" s="30" t="str">
        <f aca="false">IF(AND(P33&lt;&gt;"",M33&lt;&gt;"",P33&gt;M33),CONCATENATE("1 : ",TEXT((P33-M33)/M33,"0.00")),"—")</f>
        <v>—</v>
      </c>
      <c r="AA33" s="31" t="str">
        <f aca="false">IF(AND(C33&lt;&gt;"",E33&lt;&gt;""),E33-C33,"")</f>
        <v/>
      </c>
      <c r="AB33" s="17"/>
      <c r="AC33" s="32"/>
      <c r="AD33" s="33"/>
      <c r="AE33" s="34" t="str">
        <f aca="false">IF(G33&lt;&gt;"",HYPERLINK("https://www.tradingview.com/chart/?symbol="&amp;G33&amp;"&amp;interval=60&amp;from="&amp;(AG33-10*3600)&amp;"&amp;to="&amp;(AG33+50*3600),"📈 1H"),"")</f>
        <v/>
      </c>
      <c r="AF33" s="35" t="str">
        <f aca="false">IF(G33&lt;&gt;"",HYPERLINK("https://www.tradingview.com/chart/?symbol="&amp;G33&amp;"&amp;interval=240&amp;from="&amp;(AG33-10*14400)&amp;"&amp;to="&amp;(AG33+50*14400),"📈 4H"),"")</f>
        <v/>
      </c>
      <c r="AG33" s="36" t="str">
        <f aca="false">IF(C33&lt;&gt;"",INT((C33+IF(D33&lt;&gt;"",D33,0)-DATE(1970,1,1))*86400),"")</f>
        <v/>
      </c>
    </row>
    <row r="34" customFormat="false" ht="19.5" hidden="false" customHeight="true" outlineLevel="0" collapsed="false">
      <c r="A34" s="37" t="n">
        <f aca="false">ROW()-4</f>
        <v>30</v>
      </c>
      <c r="B34" s="38"/>
      <c r="C34" s="39"/>
      <c r="D34" s="40"/>
      <c r="E34" s="39"/>
      <c r="F34" s="40"/>
      <c r="G34" s="41"/>
      <c r="H34" s="42"/>
      <c r="I34" s="43"/>
      <c r="J34" s="44"/>
      <c r="K34" s="39"/>
      <c r="L34" s="42"/>
      <c r="M34" s="44"/>
      <c r="N34" s="45"/>
      <c r="O34" s="44"/>
      <c r="P34" s="46"/>
      <c r="Q34" s="47" t="str">
        <f aca="false">IF(L34="","",IF(M34&lt;&gt;"",M34*L34*100,IF(AND(O34&lt;&gt;"",B34&lt;&gt;""),IFERROR(AVERAGEIF($B$5:$B$1004,B34,$M$5:$M$1004)*L34*100,""),"")))</f>
        <v/>
      </c>
      <c r="R34" s="47" t="str">
        <f aca="false">IF(AND(O34&lt;&gt;"",L34&lt;&gt;""),O34*L34*100,"")</f>
        <v/>
      </c>
      <c r="S34" s="48" t="str">
        <f aca="false">IF(AND(P34&lt;&gt;"",L34&lt;&gt;""),P34*L34*100,"")</f>
        <v/>
      </c>
      <c r="T34" s="49" t="str">
        <f aca="false">IF(AND(Q34&lt;&gt;"",R34&lt;&gt;""),R34-Q34,"")</f>
        <v/>
      </c>
      <c r="U34" s="50" t="str">
        <f aca="false">IF(AND(Q34&lt;&gt;"",Q34&lt;&gt;0,T34&lt;&gt;""),T34/Q34,"")</f>
        <v/>
      </c>
      <c r="V34" s="51" t="str">
        <f aca="false">IF(AND(S34&lt;&gt;"",Q34&lt;&gt;""),S34-Q34,"")</f>
        <v/>
      </c>
      <c r="W34" s="52" t="str">
        <f aca="false">IF(AND(Q34&lt;&gt;"",Q34&lt;&gt;0,V34&lt;&gt;""),V34/Q34,"")</f>
        <v/>
      </c>
      <c r="X34" s="53" t="s">
        <v>37</v>
      </c>
      <c r="Y34" s="54" t="str">
        <f aca="false">IF(AND(O34&lt;&gt;"",M34&lt;&gt;"",O34&gt;M34),CONCATENATE("1 : ",TEXT((O34-M34)/M34,"0.00")),IF(AND(O34&lt;&gt;"",M34&lt;&gt;"",O34&lt;M34),CONCATENATE("-1 : ",TEXT((M34-O34)/M34,"0.00")),"—"))</f>
        <v>—</v>
      </c>
      <c r="Z34" s="55" t="str">
        <f aca="false">IF(AND(P34&lt;&gt;"",M34&lt;&gt;"",P34&gt;M34),CONCATENATE("1 : ",TEXT((P34-M34)/M34,"0.00")),"—")</f>
        <v>—</v>
      </c>
      <c r="AA34" s="56" t="str">
        <f aca="false">IF(AND(C34&lt;&gt;"",E34&lt;&gt;""),E34-C34,"")</f>
        <v/>
      </c>
      <c r="AB34" s="42"/>
      <c r="AC34" s="57"/>
      <c r="AD34" s="58"/>
      <c r="AE34" s="59" t="str">
        <f aca="false">IF(G34&lt;&gt;"",HYPERLINK("https://www.tradingview.com/chart/?symbol="&amp;G34&amp;"&amp;interval=60&amp;from="&amp;(AG34-10*3600)&amp;"&amp;to="&amp;(AG34+50*3600),"📈 1H"),"")</f>
        <v/>
      </c>
      <c r="AF34" s="60" t="str">
        <f aca="false">IF(G34&lt;&gt;"",HYPERLINK("https://www.tradingview.com/chart/?symbol="&amp;G34&amp;"&amp;interval=240&amp;from="&amp;(AG34-10*14400)&amp;"&amp;to="&amp;(AG34+50*14400),"📈 4H"),"")</f>
        <v/>
      </c>
      <c r="AG34" s="36" t="str">
        <f aca="false">IF(C34&lt;&gt;"",INT((C34+IF(D34&lt;&gt;"",D34,0)-DATE(1970,1,1))*86400),"")</f>
        <v/>
      </c>
    </row>
    <row r="35" customFormat="false" ht="19.5" hidden="false" customHeight="true" outlineLevel="0" collapsed="false">
      <c r="A35" s="12" t="n">
        <f aca="false">ROW()-4</f>
        <v>31</v>
      </c>
      <c r="B35" s="13"/>
      <c r="C35" s="14"/>
      <c r="D35" s="15"/>
      <c r="E35" s="14"/>
      <c r="F35" s="15"/>
      <c r="G35" s="16"/>
      <c r="H35" s="17"/>
      <c r="I35" s="18"/>
      <c r="J35" s="19"/>
      <c r="K35" s="14"/>
      <c r="L35" s="17"/>
      <c r="M35" s="19"/>
      <c r="N35" s="20"/>
      <c r="O35" s="19"/>
      <c r="P35" s="21"/>
      <c r="Q35" s="22" t="str">
        <f aca="false">IF(L35="","",IF(M35&lt;&gt;"",M35*L35*100,IF(AND(O35&lt;&gt;"",B35&lt;&gt;""),IFERROR(AVERAGEIF($B$5:$B$1004,B35,$M$5:$M$1004)*L35*100,""),"")))</f>
        <v/>
      </c>
      <c r="R35" s="22" t="str">
        <f aca="false">IF(AND(O35&lt;&gt;"",L35&lt;&gt;""),O35*L35*100,"")</f>
        <v/>
      </c>
      <c r="S35" s="23" t="str">
        <f aca="false">IF(AND(P35&lt;&gt;"",L35&lt;&gt;""),P35*L35*100,"")</f>
        <v/>
      </c>
      <c r="T35" s="24" t="str">
        <f aca="false">IF(AND(Q35&lt;&gt;"",R35&lt;&gt;""),R35-Q35,"")</f>
        <v/>
      </c>
      <c r="U35" s="25" t="str">
        <f aca="false">IF(AND(Q35&lt;&gt;"",Q35&lt;&gt;0,T35&lt;&gt;""),T35/Q35,"")</f>
        <v/>
      </c>
      <c r="V35" s="26" t="str">
        <f aca="false">IF(AND(S35&lt;&gt;"",Q35&lt;&gt;""),S35-Q35,"")</f>
        <v/>
      </c>
      <c r="W35" s="27" t="str">
        <f aca="false">IF(AND(Q35&lt;&gt;"",Q35&lt;&gt;0,V35&lt;&gt;""),V35/Q35,"")</f>
        <v/>
      </c>
      <c r="X35" s="28" t="s">
        <v>37</v>
      </c>
      <c r="Y35" s="29" t="str">
        <f aca="false">IF(AND(O35&lt;&gt;"",M35&lt;&gt;"",O35&gt;M35),CONCATENATE("1 : ",TEXT((O35-M35)/M35,"0.00")),IF(AND(O35&lt;&gt;"",M35&lt;&gt;"",O35&lt;M35),CONCATENATE("-1 : ",TEXT((M35-O35)/M35,"0.00")),"—"))</f>
        <v>—</v>
      </c>
      <c r="Z35" s="30" t="str">
        <f aca="false">IF(AND(P35&lt;&gt;"",M35&lt;&gt;"",P35&gt;M35),CONCATENATE("1 : ",TEXT((P35-M35)/M35,"0.00")),"—")</f>
        <v>—</v>
      </c>
      <c r="AA35" s="31" t="str">
        <f aca="false">IF(AND(C35&lt;&gt;"",E35&lt;&gt;""),E35-C35,"")</f>
        <v/>
      </c>
      <c r="AB35" s="17"/>
      <c r="AC35" s="32"/>
      <c r="AD35" s="33"/>
      <c r="AE35" s="34" t="str">
        <f aca="false">IF(G35&lt;&gt;"",HYPERLINK("https://www.tradingview.com/chart/?symbol="&amp;G35&amp;"&amp;interval=60&amp;from="&amp;(AG35-10*3600)&amp;"&amp;to="&amp;(AG35+50*3600),"📈 1H"),"")</f>
        <v/>
      </c>
      <c r="AF35" s="35" t="str">
        <f aca="false">IF(G35&lt;&gt;"",HYPERLINK("https://www.tradingview.com/chart/?symbol="&amp;G35&amp;"&amp;interval=240&amp;from="&amp;(AG35-10*14400)&amp;"&amp;to="&amp;(AG35+50*14400),"📈 4H"),"")</f>
        <v/>
      </c>
      <c r="AG35" s="36" t="str">
        <f aca="false">IF(C35&lt;&gt;"",INT((C35+IF(D35&lt;&gt;"",D35,0)-DATE(1970,1,1))*86400),"")</f>
        <v/>
      </c>
    </row>
    <row r="36" customFormat="false" ht="19.5" hidden="false" customHeight="true" outlineLevel="0" collapsed="false">
      <c r="A36" s="37" t="n">
        <f aca="false">ROW()-4</f>
        <v>32</v>
      </c>
      <c r="B36" s="38"/>
      <c r="C36" s="39"/>
      <c r="D36" s="40"/>
      <c r="E36" s="39"/>
      <c r="F36" s="40"/>
      <c r="G36" s="41"/>
      <c r="H36" s="42"/>
      <c r="I36" s="43"/>
      <c r="J36" s="44"/>
      <c r="K36" s="39"/>
      <c r="L36" s="42"/>
      <c r="M36" s="44"/>
      <c r="N36" s="45"/>
      <c r="O36" s="44"/>
      <c r="P36" s="46"/>
      <c r="Q36" s="47" t="str">
        <f aca="false">IF(L36="","",IF(M36&lt;&gt;"",M36*L36*100,IF(AND(O36&lt;&gt;"",B36&lt;&gt;""),IFERROR(AVERAGEIF($B$5:$B$1004,B36,$M$5:$M$1004)*L36*100,""),"")))</f>
        <v/>
      </c>
      <c r="R36" s="47" t="str">
        <f aca="false">IF(AND(O36&lt;&gt;"",L36&lt;&gt;""),O36*L36*100,"")</f>
        <v/>
      </c>
      <c r="S36" s="48" t="str">
        <f aca="false">IF(AND(P36&lt;&gt;"",L36&lt;&gt;""),P36*L36*100,"")</f>
        <v/>
      </c>
      <c r="T36" s="49" t="str">
        <f aca="false">IF(AND(Q36&lt;&gt;"",R36&lt;&gt;""),R36-Q36,"")</f>
        <v/>
      </c>
      <c r="U36" s="50" t="str">
        <f aca="false">IF(AND(Q36&lt;&gt;"",Q36&lt;&gt;0,T36&lt;&gt;""),T36/Q36,"")</f>
        <v/>
      </c>
      <c r="V36" s="51" t="str">
        <f aca="false">IF(AND(S36&lt;&gt;"",Q36&lt;&gt;""),S36-Q36,"")</f>
        <v/>
      </c>
      <c r="W36" s="52" t="str">
        <f aca="false">IF(AND(Q36&lt;&gt;"",Q36&lt;&gt;0,V36&lt;&gt;""),V36/Q36,"")</f>
        <v/>
      </c>
      <c r="X36" s="53" t="s">
        <v>37</v>
      </c>
      <c r="Y36" s="54" t="str">
        <f aca="false">IF(AND(O36&lt;&gt;"",M36&lt;&gt;"",O36&gt;M36),CONCATENATE("1 : ",TEXT((O36-M36)/M36,"0.00")),IF(AND(O36&lt;&gt;"",M36&lt;&gt;"",O36&lt;M36),CONCATENATE("-1 : ",TEXT((M36-O36)/M36,"0.00")),"—"))</f>
        <v>—</v>
      </c>
      <c r="Z36" s="55" t="str">
        <f aca="false">IF(AND(P36&lt;&gt;"",M36&lt;&gt;"",P36&gt;M36),CONCATENATE("1 : ",TEXT((P36-M36)/M36,"0.00")),"—")</f>
        <v>—</v>
      </c>
      <c r="AA36" s="56" t="str">
        <f aca="false">IF(AND(C36&lt;&gt;"",E36&lt;&gt;""),E36-C36,"")</f>
        <v/>
      </c>
      <c r="AB36" s="42"/>
      <c r="AC36" s="57"/>
      <c r="AD36" s="58"/>
      <c r="AE36" s="59" t="str">
        <f aca="false">IF(G36&lt;&gt;"",HYPERLINK("https://www.tradingview.com/chart/?symbol="&amp;G36&amp;"&amp;interval=60&amp;from="&amp;(AG36-10*3600)&amp;"&amp;to="&amp;(AG36+50*3600),"📈 1H"),"")</f>
        <v/>
      </c>
      <c r="AF36" s="60" t="str">
        <f aca="false">IF(G36&lt;&gt;"",HYPERLINK("https://www.tradingview.com/chart/?symbol="&amp;G36&amp;"&amp;interval=240&amp;from="&amp;(AG36-10*14400)&amp;"&amp;to="&amp;(AG36+50*14400),"📈 4H"),"")</f>
        <v/>
      </c>
      <c r="AG36" s="36" t="str">
        <f aca="false">IF(C36&lt;&gt;"",INT((C36+IF(D36&lt;&gt;"",D36,0)-DATE(1970,1,1))*86400),"")</f>
        <v/>
      </c>
    </row>
    <row r="37" customFormat="false" ht="19.5" hidden="false" customHeight="true" outlineLevel="0" collapsed="false">
      <c r="A37" s="12" t="n">
        <f aca="false">ROW()-4</f>
        <v>33</v>
      </c>
      <c r="B37" s="13"/>
      <c r="C37" s="14"/>
      <c r="D37" s="15"/>
      <c r="E37" s="14"/>
      <c r="F37" s="15"/>
      <c r="G37" s="16"/>
      <c r="H37" s="17"/>
      <c r="I37" s="18"/>
      <c r="J37" s="19"/>
      <c r="K37" s="14"/>
      <c r="L37" s="17"/>
      <c r="M37" s="19"/>
      <c r="N37" s="20"/>
      <c r="O37" s="19"/>
      <c r="P37" s="21"/>
      <c r="Q37" s="22" t="str">
        <f aca="false">IF(L37="","",IF(M37&lt;&gt;"",M37*L37*100,IF(AND(O37&lt;&gt;"",B37&lt;&gt;""),IFERROR(AVERAGEIF($B$5:$B$1004,B37,$M$5:$M$1004)*L37*100,""),"")))</f>
        <v/>
      </c>
      <c r="R37" s="22" t="str">
        <f aca="false">IF(AND(O37&lt;&gt;"",L37&lt;&gt;""),O37*L37*100,"")</f>
        <v/>
      </c>
      <c r="S37" s="23" t="str">
        <f aca="false">IF(AND(P37&lt;&gt;"",L37&lt;&gt;""),P37*L37*100,"")</f>
        <v/>
      </c>
      <c r="T37" s="24" t="str">
        <f aca="false">IF(AND(Q37&lt;&gt;"",R37&lt;&gt;""),R37-Q37,"")</f>
        <v/>
      </c>
      <c r="U37" s="25" t="str">
        <f aca="false">IF(AND(Q37&lt;&gt;"",Q37&lt;&gt;0,T37&lt;&gt;""),T37/Q37,"")</f>
        <v/>
      </c>
      <c r="V37" s="26" t="str">
        <f aca="false">IF(AND(S37&lt;&gt;"",Q37&lt;&gt;""),S37-Q37,"")</f>
        <v/>
      </c>
      <c r="W37" s="27" t="str">
        <f aca="false">IF(AND(Q37&lt;&gt;"",Q37&lt;&gt;0,V37&lt;&gt;""),V37/Q37,"")</f>
        <v/>
      </c>
      <c r="X37" s="28" t="s">
        <v>37</v>
      </c>
      <c r="Y37" s="29" t="str">
        <f aca="false">IF(AND(O37&lt;&gt;"",M37&lt;&gt;"",O37&gt;M37),CONCATENATE("1 : ",TEXT((O37-M37)/M37,"0.00")),IF(AND(O37&lt;&gt;"",M37&lt;&gt;"",O37&lt;M37),CONCATENATE("-1 : ",TEXT((M37-O37)/M37,"0.00")),"—"))</f>
        <v>—</v>
      </c>
      <c r="Z37" s="30" t="str">
        <f aca="false">IF(AND(P37&lt;&gt;"",M37&lt;&gt;"",P37&gt;M37),CONCATENATE("1 : ",TEXT((P37-M37)/M37,"0.00")),"—")</f>
        <v>—</v>
      </c>
      <c r="AA37" s="31" t="str">
        <f aca="false">IF(AND(C37&lt;&gt;"",E37&lt;&gt;""),E37-C37,"")</f>
        <v/>
      </c>
      <c r="AB37" s="17"/>
      <c r="AC37" s="32"/>
      <c r="AD37" s="33"/>
      <c r="AE37" s="34" t="str">
        <f aca="false">IF(G37&lt;&gt;"",HYPERLINK("https://www.tradingview.com/chart/?symbol="&amp;G37&amp;"&amp;interval=60&amp;from="&amp;(AG37-10*3600)&amp;"&amp;to="&amp;(AG37+50*3600),"📈 1H"),"")</f>
        <v/>
      </c>
      <c r="AF37" s="35" t="str">
        <f aca="false">IF(G37&lt;&gt;"",HYPERLINK("https://www.tradingview.com/chart/?symbol="&amp;G37&amp;"&amp;interval=240&amp;from="&amp;(AG37-10*14400)&amp;"&amp;to="&amp;(AG37+50*14400),"📈 4H"),"")</f>
        <v/>
      </c>
      <c r="AG37" s="36" t="str">
        <f aca="false">IF(C37&lt;&gt;"",INT((C37+IF(D37&lt;&gt;"",D37,0)-DATE(1970,1,1))*86400),"")</f>
        <v/>
      </c>
    </row>
    <row r="38" customFormat="false" ht="19.5" hidden="false" customHeight="true" outlineLevel="0" collapsed="false">
      <c r="A38" s="37" t="n">
        <f aca="false">ROW()-4</f>
        <v>34</v>
      </c>
      <c r="B38" s="38"/>
      <c r="C38" s="39"/>
      <c r="D38" s="40"/>
      <c r="E38" s="39"/>
      <c r="F38" s="40"/>
      <c r="G38" s="41"/>
      <c r="H38" s="42"/>
      <c r="I38" s="43"/>
      <c r="J38" s="44"/>
      <c r="K38" s="39"/>
      <c r="L38" s="42"/>
      <c r="M38" s="44"/>
      <c r="N38" s="45"/>
      <c r="O38" s="44"/>
      <c r="P38" s="46"/>
      <c r="Q38" s="47" t="str">
        <f aca="false">IF(L38="","",IF(M38&lt;&gt;"",M38*L38*100,IF(AND(O38&lt;&gt;"",B38&lt;&gt;""),IFERROR(AVERAGEIF($B$5:$B$1004,B38,$M$5:$M$1004)*L38*100,""),"")))</f>
        <v/>
      </c>
      <c r="R38" s="47" t="str">
        <f aca="false">IF(AND(O38&lt;&gt;"",L38&lt;&gt;""),O38*L38*100,"")</f>
        <v/>
      </c>
      <c r="S38" s="48" t="str">
        <f aca="false">IF(AND(P38&lt;&gt;"",L38&lt;&gt;""),P38*L38*100,"")</f>
        <v/>
      </c>
      <c r="T38" s="49" t="str">
        <f aca="false">IF(AND(Q38&lt;&gt;"",R38&lt;&gt;""),R38-Q38,"")</f>
        <v/>
      </c>
      <c r="U38" s="50" t="str">
        <f aca="false">IF(AND(Q38&lt;&gt;"",Q38&lt;&gt;0,T38&lt;&gt;""),T38/Q38,"")</f>
        <v/>
      </c>
      <c r="V38" s="51" t="str">
        <f aca="false">IF(AND(S38&lt;&gt;"",Q38&lt;&gt;""),S38-Q38,"")</f>
        <v/>
      </c>
      <c r="W38" s="52" t="str">
        <f aca="false">IF(AND(Q38&lt;&gt;"",Q38&lt;&gt;0,V38&lt;&gt;""),V38/Q38,"")</f>
        <v/>
      </c>
      <c r="X38" s="53" t="s">
        <v>37</v>
      </c>
      <c r="Y38" s="54" t="str">
        <f aca="false">IF(AND(O38&lt;&gt;"",M38&lt;&gt;"",O38&gt;M38),CONCATENATE("1 : ",TEXT((O38-M38)/M38,"0.00")),IF(AND(O38&lt;&gt;"",M38&lt;&gt;"",O38&lt;M38),CONCATENATE("-1 : ",TEXT((M38-O38)/M38,"0.00")),"—"))</f>
        <v>—</v>
      </c>
      <c r="Z38" s="55" t="str">
        <f aca="false">IF(AND(P38&lt;&gt;"",M38&lt;&gt;"",P38&gt;M38),CONCATENATE("1 : ",TEXT((P38-M38)/M38,"0.00")),"—")</f>
        <v>—</v>
      </c>
      <c r="AA38" s="56" t="str">
        <f aca="false">IF(AND(C38&lt;&gt;"",E38&lt;&gt;""),E38-C38,"")</f>
        <v/>
      </c>
      <c r="AB38" s="42"/>
      <c r="AC38" s="57"/>
      <c r="AD38" s="58"/>
      <c r="AE38" s="59" t="str">
        <f aca="false">IF(G38&lt;&gt;"",HYPERLINK("https://www.tradingview.com/chart/?symbol="&amp;G38&amp;"&amp;interval=60&amp;from="&amp;(AG38-10*3600)&amp;"&amp;to="&amp;(AG38+50*3600),"📈 1H"),"")</f>
        <v/>
      </c>
      <c r="AF38" s="60" t="str">
        <f aca="false">IF(G38&lt;&gt;"",HYPERLINK("https://www.tradingview.com/chart/?symbol="&amp;G38&amp;"&amp;interval=240&amp;from="&amp;(AG38-10*14400)&amp;"&amp;to="&amp;(AG38+50*14400),"📈 4H"),"")</f>
        <v/>
      </c>
      <c r="AG38" s="36" t="str">
        <f aca="false">IF(C38&lt;&gt;"",INT((C38+IF(D38&lt;&gt;"",D38,0)-DATE(1970,1,1))*86400),"")</f>
        <v/>
      </c>
    </row>
    <row r="39" customFormat="false" ht="19.5" hidden="false" customHeight="true" outlineLevel="0" collapsed="false">
      <c r="A39" s="12" t="n">
        <f aca="false">ROW()-4</f>
        <v>35</v>
      </c>
      <c r="B39" s="13"/>
      <c r="C39" s="14"/>
      <c r="D39" s="15"/>
      <c r="E39" s="14"/>
      <c r="F39" s="15"/>
      <c r="G39" s="16"/>
      <c r="H39" s="17"/>
      <c r="I39" s="18"/>
      <c r="J39" s="19"/>
      <c r="K39" s="14"/>
      <c r="L39" s="17"/>
      <c r="M39" s="19"/>
      <c r="N39" s="20"/>
      <c r="O39" s="19"/>
      <c r="P39" s="21"/>
      <c r="Q39" s="22" t="str">
        <f aca="false">IF(L39="","",IF(M39&lt;&gt;"",M39*L39*100,IF(AND(O39&lt;&gt;"",B39&lt;&gt;""),IFERROR(AVERAGEIF($B$5:$B$1004,B39,$M$5:$M$1004)*L39*100,""),"")))</f>
        <v/>
      </c>
      <c r="R39" s="22" t="str">
        <f aca="false">IF(AND(O39&lt;&gt;"",L39&lt;&gt;""),O39*L39*100,"")</f>
        <v/>
      </c>
      <c r="S39" s="23" t="str">
        <f aca="false">IF(AND(P39&lt;&gt;"",L39&lt;&gt;""),P39*L39*100,"")</f>
        <v/>
      </c>
      <c r="T39" s="24" t="str">
        <f aca="false">IF(AND(Q39&lt;&gt;"",R39&lt;&gt;""),R39-Q39,"")</f>
        <v/>
      </c>
      <c r="U39" s="25" t="str">
        <f aca="false">IF(AND(Q39&lt;&gt;"",Q39&lt;&gt;0,T39&lt;&gt;""),T39/Q39,"")</f>
        <v/>
      </c>
      <c r="V39" s="26" t="str">
        <f aca="false">IF(AND(S39&lt;&gt;"",Q39&lt;&gt;""),S39-Q39,"")</f>
        <v/>
      </c>
      <c r="W39" s="27" t="str">
        <f aca="false">IF(AND(Q39&lt;&gt;"",Q39&lt;&gt;0,V39&lt;&gt;""),V39/Q39,"")</f>
        <v/>
      </c>
      <c r="X39" s="28" t="s">
        <v>37</v>
      </c>
      <c r="Y39" s="29" t="str">
        <f aca="false">IF(AND(O39&lt;&gt;"",M39&lt;&gt;"",O39&gt;M39),CONCATENATE("1 : ",TEXT((O39-M39)/M39,"0.00")),IF(AND(O39&lt;&gt;"",M39&lt;&gt;"",O39&lt;M39),CONCATENATE("-1 : ",TEXT((M39-O39)/M39,"0.00")),"—"))</f>
        <v>—</v>
      </c>
      <c r="Z39" s="30" t="str">
        <f aca="false">IF(AND(P39&lt;&gt;"",M39&lt;&gt;"",P39&gt;M39),CONCATENATE("1 : ",TEXT((P39-M39)/M39,"0.00")),"—")</f>
        <v>—</v>
      </c>
      <c r="AA39" s="31" t="str">
        <f aca="false">IF(AND(C39&lt;&gt;"",E39&lt;&gt;""),E39-C39,"")</f>
        <v/>
      </c>
      <c r="AB39" s="17"/>
      <c r="AC39" s="32"/>
      <c r="AD39" s="33"/>
      <c r="AE39" s="34" t="str">
        <f aca="false">IF(G39&lt;&gt;"",HYPERLINK("https://www.tradingview.com/chart/?symbol="&amp;G39&amp;"&amp;interval=60&amp;from="&amp;(AG39-10*3600)&amp;"&amp;to="&amp;(AG39+50*3600),"📈 1H"),"")</f>
        <v/>
      </c>
      <c r="AF39" s="35" t="str">
        <f aca="false">IF(G39&lt;&gt;"",HYPERLINK("https://www.tradingview.com/chart/?symbol="&amp;G39&amp;"&amp;interval=240&amp;from="&amp;(AG39-10*14400)&amp;"&amp;to="&amp;(AG39+50*14400),"📈 4H"),"")</f>
        <v/>
      </c>
      <c r="AG39" s="36" t="str">
        <f aca="false">IF(C39&lt;&gt;"",INT((C39+IF(D39&lt;&gt;"",D39,0)-DATE(1970,1,1))*86400),"")</f>
        <v/>
      </c>
    </row>
    <row r="40" customFormat="false" ht="19.5" hidden="false" customHeight="true" outlineLevel="0" collapsed="false">
      <c r="A40" s="37" t="n">
        <f aca="false">ROW()-4</f>
        <v>36</v>
      </c>
      <c r="B40" s="38"/>
      <c r="C40" s="39"/>
      <c r="D40" s="40"/>
      <c r="E40" s="39"/>
      <c r="F40" s="40"/>
      <c r="G40" s="41"/>
      <c r="H40" s="42"/>
      <c r="I40" s="43"/>
      <c r="J40" s="44"/>
      <c r="K40" s="39"/>
      <c r="L40" s="42"/>
      <c r="M40" s="44"/>
      <c r="N40" s="45"/>
      <c r="O40" s="44"/>
      <c r="P40" s="46"/>
      <c r="Q40" s="47" t="str">
        <f aca="false">IF(L40="","",IF(M40&lt;&gt;"",M40*L40*100,IF(AND(O40&lt;&gt;"",B40&lt;&gt;""),IFERROR(AVERAGEIF($B$5:$B$1004,B40,$M$5:$M$1004)*L40*100,""),"")))</f>
        <v/>
      </c>
      <c r="R40" s="47" t="str">
        <f aca="false">IF(AND(O40&lt;&gt;"",L40&lt;&gt;""),O40*L40*100,"")</f>
        <v/>
      </c>
      <c r="S40" s="48" t="str">
        <f aca="false">IF(AND(P40&lt;&gt;"",L40&lt;&gt;""),P40*L40*100,"")</f>
        <v/>
      </c>
      <c r="T40" s="49" t="str">
        <f aca="false">IF(AND(Q40&lt;&gt;"",R40&lt;&gt;""),R40-Q40,"")</f>
        <v/>
      </c>
      <c r="U40" s="50" t="str">
        <f aca="false">IF(AND(Q40&lt;&gt;"",Q40&lt;&gt;0,T40&lt;&gt;""),T40/Q40,"")</f>
        <v/>
      </c>
      <c r="V40" s="51" t="str">
        <f aca="false">IF(AND(S40&lt;&gt;"",Q40&lt;&gt;""),S40-Q40,"")</f>
        <v/>
      </c>
      <c r="W40" s="52" t="str">
        <f aca="false">IF(AND(Q40&lt;&gt;"",Q40&lt;&gt;0,V40&lt;&gt;""),V40/Q40,"")</f>
        <v/>
      </c>
      <c r="X40" s="53" t="s">
        <v>37</v>
      </c>
      <c r="Y40" s="54" t="str">
        <f aca="false">IF(AND(O40&lt;&gt;"",M40&lt;&gt;"",O40&gt;M40),CONCATENATE("1 : ",TEXT((O40-M40)/M40,"0.00")),IF(AND(O40&lt;&gt;"",M40&lt;&gt;"",O40&lt;M40),CONCATENATE("-1 : ",TEXT((M40-O40)/M40,"0.00")),"—"))</f>
        <v>—</v>
      </c>
      <c r="Z40" s="55" t="str">
        <f aca="false">IF(AND(P40&lt;&gt;"",M40&lt;&gt;"",P40&gt;M40),CONCATENATE("1 : ",TEXT((P40-M40)/M40,"0.00")),"—")</f>
        <v>—</v>
      </c>
      <c r="AA40" s="56" t="str">
        <f aca="false">IF(AND(C40&lt;&gt;"",E40&lt;&gt;""),E40-C40,"")</f>
        <v/>
      </c>
      <c r="AB40" s="42"/>
      <c r="AC40" s="57"/>
      <c r="AD40" s="58"/>
      <c r="AE40" s="59" t="str">
        <f aca="false">IF(G40&lt;&gt;"",HYPERLINK("https://www.tradingview.com/chart/?symbol="&amp;G40&amp;"&amp;interval=60&amp;from="&amp;(AG40-10*3600)&amp;"&amp;to="&amp;(AG40+50*3600),"📈 1H"),"")</f>
        <v/>
      </c>
      <c r="AF40" s="60" t="str">
        <f aca="false">IF(G40&lt;&gt;"",HYPERLINK("https://www.tradingview.com/chart/?symbol="&amp;G40&amp;"&amp;interval=240&amp;from="&amp;(AG40-10*14400)&amp;"&amp;to="&amp;(AG40+50*14400),"📈 4H"),"")</f>
        <v/>
      </c>
      <c r="AG40" s="36" t="str">
        <f aca="false">IF(C40&lt;&gt;"",INT((C40+IF(D40&lt;&gt;"",D40,0)-DATE(1970,1,1))*86400),"")</f>
        <v/>
      </c>
    </row>
    <row r="41" customFormat="false" ht="19.5" hidden="false" customHeight="true" outlineLevel="0" collapsed="false">
      <c r="A41" s="12" t="n">
        <f aca="false">ROW()-4</f>
        <v>37</v>
      </c>
      <c r="B41" s="13"/>
      <c r="C41" s="14"/>
      <c r="D41" s="15"/>
      <c r="E41" s="14"/>
      <c r="F41" s="15"/>
      <c r="G41" s="16"/>
      <c r="H41" s="17"/>
      <c r="I41" s="18"/>
      <c r="J41" s="19"/>
      <c r="K41" s="14"/>
      <c r="L41" s="17"/>
      <c r="M41" s="19"/>
      <c r="N41" s="20"/>
      <c r="O41" s="19"/>
      <c r="P41" s="21"/>
      <c r="Q41" s="22" t="str">
        <f aca="false">IF(L41="","",IF(M41&lt;&gt;"",M41*L41*100,IF(AND(O41&lt;&gt;"",B41&lt;&gt;""),IFERROR(AVERAGEIF($B$5:$B$1004,B41,$M$5:$M$1004)*L41*100,""),"")))</f>
        <v/>
      </c>
      <c r="R41" s="22" t="str">
        <f aca="false">IF(AND(O41&lt;&gt;"",L41&lt;&gt;""),O41*L41*100,"")</f>
        <v/>
      </c>
      <c r="S41" s="23" t="str">
        <f aca="false">IF(AND(P41&lt;&gt;"",L41&lt;&gt;""),P41*L41*100,"")</f>
        <v/>
      </c>
      <c r="T41" s="24" t="str">
        <f aca="false">IF(AND(Q41&lt;&gt;"",R41&lt;&gt;""),R41-Q41,"")</f>
        <v/>
      </c>
      <c r="U41" s="25" t="str">
        <f aca="false">IF(AND(Q41&lt;&gt;"",Q41&lt;&gt;0,T41&lt;&gt;""),T41/Q41,"")</f>
        <v/>
      </c>
      <c r="V41" s="26" t="str">
        <f aca="false">IF(AND(S41&lt;&gt;"",Q41&lt;&gt;""),S41-Q41,"")</f>
        <v/>
      </c>
      <c r="W41" s="27" t="str">
        <f aca="false">IF(AND(Q41&lt;&gt;"",Q41&lt;&gt;0,V41&lt;&gt;""),V41/Q41,"")</f>
        <v/>
      </c>
      <c r="X41" s="28" t="s">
        <v>37</v>
      </c>
      <c r="Y41" s="29" t="str">
        <f aca="false">IF(AND(O41&lt;&gt;"",M41&lt;&gt;"",O41&gt;M41),CONCATENATE("1 : ",TEXT((O41-M41)/M41,"0.00")),IF(AND(O41&lt;&gt;"",M41&lt;&gt;"",O41&lt;M41),CONCATENATE("-1 : ",TEXT((M41-O41)/M41,"0.00")),"—"))</f>
        <v>—</v>
      </c>
      <c r="Z41" s="30" t="str">
        <f aca="false">IF(AND(P41&lt;&gt;"",M41&lt;&gt;"",P41&gt;M41),CONCATENATE("1 : ",TEXT((P41-M41)/M41,"0.00")),"—")</f>
        <v>—</v>
      </c>
      <c r="AA41" s="31" t="str">
        <f aca="false">IF(AND(C41&lt;&gt;"",E41&lt;&gt;""),E41-C41,"")</f>
        <v/>
      </c>
      <c r="AB41" s="17"/>
      <c r="AC41" s="32"/>
      <c r="AD41" s="33"/>
      <c r="AE41" s="34" t="str">
        <f aca="false">IF(G41&lt;&gt;"",HYPERLINK("https://www.tradingview.com/chart/?symbol="&amp;G41&amp;"&amp;interval=60&amp;from="&amp;(AG41-10*3600)&amp;"&amp;to="&amp;(AG41+50*3600),"📈 1H"),"")</f>
        <v/>
      </c>
      <c r="AF41" s="35" t="str">
        <f aca="false">IF(G41&lt;&gt;"",HYPERLINK("https://www.tradingview.com/chart/?symbol="&amp;G41&amp;"&amp;interval=240&amp;from="&amp;(AG41-10*14400)&amp;"&amp;to="&amp;(AG41+50*14400),"📈 4H"),"")</f>
        <v/>
      </c>
      <c r="AG41" s="36" t="str">
        <f aca="false">IF(C41&lt;&gt;"",INT((C41+IF(D41&lt;&gt;"",D41,0)-DATE(1970,1,1))*86400),"")</f>
        <v/>
      </c>
    </row>
    <row r="42" customFormat="false" ht="19.5" hidden="false" customHeight="true" outlineLevel="0" collapsed="false">
      <c r="A42" s="37" t="n">
        <f aca="false">ROW()-4</f>
        <v>38</v>
      </c>
      <c r="B42" s="38"/>
      <c r="C42" s="39"/>
      <c r="D42" s="40"/>
      <c r="E42" s="39"/>
      <c r="F42" s="40"/>
      <c r="G42" s="41"/>
      <c r="H42" s="42"/>
      <c r="I42" s="43"/>
      <c r="J42" s="44"/>
      <c r="K42" s="39"/>
      <c r="L42" s="42"/>
      <c r="M42" s="44"/>
      <c r="N42" s="45"/>
      <c r="O42" s="44"/>
      <c r="P42" s="46"/>
      <c r="Q42" s="47" t="str">
        <f aca="false">IF(L42="","",IF(M42&lt;&gt;"",M42*L42*100,IF(AND(O42&lt;&gt;"",B42&lt;&gt;""),IFERROR(AVERAGEIF($B$5:$B$1004,B42,$M$5:$M$1004)*L42*100,""),"")))</f>
        <v/>
      </c>
      <c r="R42" s="47" t="str">
        <f aca="false">IF(AND(O42&lt;&gt;"",L42&lt;&gt;""),O42*L42*100,"")</f>
        <v/>
      </c>
      <c r="S42" s="48" t="str">
        <f aca="false">IF(AND(P42&lt;&gt;"",L42&lt;&gt;""),P42*L42*100,"")</f>
        <v/>
      </c>
      <c r="T42" s="49" t="str">
        <f aca="false">IF(AND(Q42&lt;&gt;"",R42&lt;&gt;""),R42-Q42,"")</f>
        <v/>
      </c>
      <c r="U42" s="50" t="str">
        <f aca="false">IF(AND(Q42&lt;&gt;"",Q42&lt;&gt;0,T42&lt;&gt;""),T42/Q42,"")</f>
        <v/>
      </c>
      <c r="V42" s="51" t="str">
        <f aca="false">IF(AND(S42&lt;&gt;"",Q42&lt;&gt;""),S42-Q42,"")</f>
        <v/>
      </c>
      <c r="W42" s="52" t="str">
        <f aca="false">IF(AND(Q42&lt;&gt;"",Q42&lt;&gt;0,V42&lt;&gt;""),V42/Q42,"")</f>
        <v/>
      </c>
      <c r="X42" s="53" t="s">
        <v>37</v>
      </c>
      <c r="Y42" s="54" t="str">
        <f aca="false">IF(AND(O42&lt;&gt;"",M42&lt;&gt;"",O42&gt;M42),CONCATENATE("1 : ",TEXT((O42-M42)/M42,"0.00")),IF(AND(O42&lt;&gt;"",M42&lt;&gt;"",O42&lt;M42),CONCATENATE("-1 : ",TEXT((M42-O42)/M42,"0.00")),"—"))</f>
        <v>—</v>
      </c>
      <c r="Z42" s="55" t="str">
        <f aca="false">IF(AND(P42&lt;&gt;"",M42&lt;&gt;"",P42&gt;M42),CONCATENATE("1 : ",TEXT((P42-M42)/M42,"0.00")),"—")</f>
        <v>—</v>
      </c>
      <c r="AA42" s="56" t="str">
        <f aca="false">IF(AND(C42&lt;&gt;"",E42&lt;&gt;""),E42-C42,"")</f>
        <v/>
      </c>
      <c r="AB42" s="42"/>
      <c r="AC42" s="57"/>
      <c r="AD42" s="58"/>
      <c r="AE42" s="59" t="str">
        <f aca="false">IF(G42&lt;&gt;"",HYPERLINK("https://www.tradingview.com/chart/?symbol="&amp;G42&amp;"&amp;interval=60&amp;from="&amp;(AG42-10*3600)&amp;"&amp;to="&amp;(AG42+50*3600),"📈 1H"),"")</f>
        <v/>
      </c>
      <c r="AF42" s="60" t="str">
        <f aca="false">IF(G42&lt;&gt;"",HYPERLINK("https://www.tradingview.com/chart/?symbol="&amp;G42&amp;"&amp;interval=240&amp;from="&amp;(AG42-10*14400)&amp;"&amp;to="&amp;(AG42+50*14400),"📈 4H"),"")</f>
        <v/>
      </c>
      <c r="AG42" s="36" t="str">
        <f aca="false">IF(C42&lt;&gt;"",INT((C42+IF(D42&lt;&gt;"",D42,0)-DATE(1970,1,1))*86400),"")</f>
        <v/>
      </c>
    </row>
    <row r="43" customFormat="false" ht="19.5" hidden="false" customHeight="true" outlineLevel="0" collapsed="false">
      <c r="A43" s="12" t="n">
        <f aca="false">ROW()-4</f>
        <v>39</v>
      </c>
      <c r="B43" s="13"/>
      <c r="C43" s="14"/>
      <c r="D43" s="15"/>
      <c r="E43" s="14"/>
      <c r="F43" s="15"/>
      <c r="G43" s="16"/>
      <c r="H43" s="17"/>
      <c r="I43" s="18"/>
      <c r="J43" s="19"/>
      <c r="K43" s="14"/>
      <c r="L43" s="17"/>
      <c r="M43" s="19"/>
      <c r="N43" s="20"/>
      <c r="O43" s="19"/>
      <c r="P43" s="21"/>
      <c r="Q43" s="22" t="str">
        <f aca="false">IF(L43="","",IF(M43&lt;&gt;"",M43*L43*100,IF(AND(O43&lt;&gt;"",B43&lt;&gt;""),IFERROR(AVERAGEIF($B$5:$B$1004,B43,$M$5:$M$1004)*L43*100,""),"")))</f>
        <v/>
      </c>
      <c r="R43" s="22" t="str">
        <f aca="false">IF(AND(O43&lt;&gt;"",L43&lt;&gt;""),O43*L43*100,"")</f>
        <v/>
      </c>
      <c r="S43" s="23" t="str">
        <f aca="false">IF(AND(P43&lt;&gt;"",L43&lt;&gt;""),P43*L43*100,"")</f>
        <v/>
      </c>
      <c r="T43" s="24" t="str">
        <f aca="false">IF(AND(Q43&lt;&gt;"",R43&lt;&gt;""),R43-Q43,"")</f>
        <v/>
      </c>
      <c r="U43" s="25" t="str">
        <f aca="false">IF(AND(Q43&lt;&gt;"",Q43&lt;&gt;0,T43&lt;&gt;""),T43/Q43,"")</f>
        <v/>
      </c>
      <c r="V43" s="26" t="str">
        <f aca="false">IF(AND(S43&lt;&gt;"",Q43&lt;&gt;""),S43-Q43,"")</f>
        <v/>
      </c>
      <c r="W43" s="27" t="str">
        <f aca="false">IF(AND(Q43&lt;&gt;"",Q43&lt;&gt;0,V43&lt;&gt;""),V43/Q43,"")</f>
        <v/>
      </c>
      <c r="X43" s="28" t="s">
        <v>37</v>
      </c>
      <c r="Y43" s="29" t="str">
        <f aca="false">IF(AND(O43&lt;&gt;"",M43&lt;&gt;"",O43&gt;M43),CONCATENATE("1 : ",TEXT((O43-M43)/M43,"0.00")),IF(AND(O43&lt;&gt;"",M43&lt;&gt;"",O43&lt;M43),CONCATENATE("-1 : ",TEXT((M43-O43)/M43,"0.00")),"—"))</f>
        <v>—</v>
      </c>
      <c r="Z43" s="30" t="str">
        <f aca="false">IF(AND(P43&lt;&gt;"",M43&lt;&gt;"",P43&gt;M43),CONCATENATE("1 : ",TEXT((P43-M43)/M43,"0.00")),"—")</f>
        <v>—</v>
      </c>
      <c r="AA43" s="31" t="str">
        <f aca="false">IF(AND(C43&lt;&gt;"",E43&lt;&gt;""),E43-C43,"")</f>
        <v/>
      </c>
      <c r="AB43" s="17"/>
      <c r="AC43" s="32"/>
      <c r="AD43" s="33"/>
      <c r="AE43" s="34" t="str">
        <f aca="false">IF(G43&lt;&gt;"",HYPERLINK("https://www.tradingview.com/chart/?symbol="&amp;G43&amp;"&amp;interval=60&amp;from="&amp;(AG43-10*3600)&amp;"&amp;to="&amp;(AG43+50*3600),"📈 1H"),"")</f>
        <v/>
      </c>
      <c r="AF43" s="35" t="str">
        <f aca="false">IF(G43&lt;&gt;"",HYPERLINK("https://www.tradingview.com/chart/?symbol="&amp;G43&amp;"&amp;interval=240&amp;from="&amp;(AG43-10*14400)&amp;"&amp;to="&amp;(AG43+50*14400),"📈 4H"),"")</f>
        <v/>
      </c>
      <c r="AG43" s="36" t="str">
        <f aca="false">IF(C43&lt;&gt;"",INT((C43+IF(D43&lt;&gt;"",D43,0)-DATE(1970,1,1))*86400),"")</f>
        <v/>
      </c>
    </row>
    <row r="44" customFormat="false" ht="19.5" hidden="false" customHeight="true" outlineLevel="0" collapsed="false">
      <c r="A44" s="37" t="n">
        <f aca="false">ROW()-4</f>
        <v>40</v>
      </c>
      <c r="B44" s="38"/>
      <c r="C44" s="39"/>
      <c r="D44" s="40"/>
      <c r="E44" s="39"/>
      <c r="F44" s="40"/>
      <c r="G44" s="41"/>
      <c r="H44" s="42"/>
      <c r="I44" s="43"/>
      <c r="J44" s="44"/>
      <c r="K44" s="39"/>
      <c r="L44" s="42"/>
      <c r="M44" s="44"/>
      <c r="N44" s="45"/>
      <c r="O44" s="44"/>
      <c r="P44" s="46"/>
      <c r="Q44" s="47" t="str">
        <f aca="false">IF(L44="","",IF(M44&lt;&gt;"",M44*L44*100,IF(AND(O44&lt;&gt;"",B44&lt;&gt;""),IFERROR(AVERAGEIF($B$5:$B$1004,B44,$M$5:$M$1004)*L44*100,""),"")))</f>
        <v/>
      </c>
      <c r="R44" s="47" t="str">
        <f aca="false">IF(AND(O44&lt;&gt;"",L44&lt;&gt;""),O44*L44*100,"")</f>
        <v/>
      </c>
      <c r="S44" s="48" t="str">
        <f aca="false">IF(AND(P44&lt;&gt;"",L44&lt;&gt;""),P44*L44*100,"")</f>
        <v/>
      </c>
      <c r="T44" s="49" t="str">
        <f aca="false">IF(AND(Q44&lt;&gt;"",R44&lt;&gt;""),R44-Q44,"")</f>
        <v/>
      </c>
      <c r="U44" s="50" t="str">
        <f aca="false">IF(AND(Q44&lt;&gt;"",Q44&lt;&gt;0,T44&lt;&gt;""),T44/Q44,"")</f>
        <v/>
      </c>
      <c r="V44" s="51" t="str">
        <f aca="false">IF(AND(S44&lt;&gt;"",Q44&lt;&gt;""),S44-Q44,"")</f>
        <v/>
      </c>
      <c r="W44" s="52" t="str">
        <f aca="false">IF(AND(Q44&lt;&gt;"",Q44&lt;&gt;0,V44&lt;&gt;""),V44/Q44,"")</f>
        <v/>
      </c>
      <c r="X44" s="53" t="s">
        <v>37</v>
      </c>
      <c r="Y44" s="54" t="str">
        <f aca="false">IF(AND(O44&lt;&gt;"",M44&lt;&gt;"",O44&gt;M44),CONCATENATE("1 : ",TEXT((O44-M44)/M44,"0.00")),IF(AND(O44&lt;&gt;"",M44&lt;&gt;"",O44&lt;M44),CONCATENATE("-1 : ",TEXT((M44-O44)/M44,"0.00")),"—"))</f>
        <v>—</v>
      </c>
      <c r="Z44" s="55" t="str">
        <f aca="false">IF(AND(P44&lt;&gt;"",M44&lt;&gt;"",P44&gt;M44),CONCATENATE("1 : ",TEXT((P44-M44)/M44,"0.00")),"—")</f>
        <v>—</v>
      </c>
      <c r="AA44" s="56" t="str">
        <f aca="false">IF(AND(C44&lt;&gt;"",E44&lt;&gt;""),E44-C44,"")</f>
        <v/>
      </c>
      <c r="AB44" s="42"/>
      <c r="AC44" s="57"/>
      <c r="AD44" s="58"/>
      <c r="AE44" s="59" t="str">
        <f aca="false">IF(G44&lt;&gt;"",HYPERLINK("https://www.tradingview.com/chart/?symbol="&amp;G44&amp;"&amp;interval=60&amp;from="&amp;(AG44-10*3600)&amp;"&amp;to="&amp;(AG44+50*3600),"📈 1H"),"")</f>
        <v/>
      </c>
      <c r="AF44" s="60" t="str">
        <f aca="false">IF(G44&lt;&gt;"",HYPERLINK("https://www.tradingview.com/chart/?symbol="&amp;G44&amp;"&amp;interval=240&amp;from="&amp;(AG44-10*14400)&amp;"&amp;to="&amp;(AG44+50*14400),"📈 4H"),"")</f>
        <v/>
      </c>
      <c r="AG44" s="36" t="str">
        <f aca="false">IF(C44&lt;&gt;"",INT((C44+IF(D44&lt;&gt;"",D44,0)-DATE(1970,1,1))*86400),"")</f>
        <v/>
      </c>
    </row>
    <row r="45" customFormat="false" ht="19.5" hidden="false" customHeight="true" outlineLevel="0" collapsed="false">
      <c r="A45" s="12" t="n">
        <f aca="false">ROW()-4</f>
        <v>41</v>
      </c>
      <c r="B45" s="13"/>
      <c r="C45" s="14"/>
      <c r="D45" s="15"/>
      <c r="E45" s="14"/>
      <c r="F45" s="15"/>
      <c r="G45" s="16"/>
      <c r="H45" s="17"/>
      <c r="I45" s="18"/>
      <c r="J45" s="19"/>
      <c r="K45" s="14"/>
      <c r="L45" s="17"/>
      <c r="M45" s="19"/>
      <c r="N45" s="20"/>
      <c r="O45" s="19"/>
      <c r="P45" s="21"/>
      <c r="Q45" s="22" t="str">
        <f aca="false">IF(L45="","",IF(M45&lt;&gt;"",M45*L45*100,IF(AND(O45&lt;&gt;"",B45&lt;&gt;""),IFERROR(AVERAGEIF($B$5:$B$1004,B45,$M$5:$M$1004)*L45*100,""),"")))</f>
        <v/>
      </c>
      <c r="R45" s="22" t="str">
        <f aca="false">IF(AND(O45&lt;&gt;"",L45&lt;&gt;""),O45*L45*100,"")</f>
        <v/>
      </c>
      <c r="S45" s="23" t="str">
        <f aca="false">IF(AND(P45&lt;&gt;"",L45&lt;&gt;""),P45*L45*100,"")</f>
        <v/>
      </c>
      <c r="T45" s="24" t="str">
        <f aca="false">IF(AND(Q45&lt;&gt;"",R45&lt;&gt;""),R45-Q45,"")</f>
        <v/>
      </c>
      <c r="U45" s="25" t="str">
        <f aca="false">IF(AND(Q45&lt;&gt;"",Q45&lt;&gt;0,T45&lt;&gt;""),T45/Q45,"")</f>
        <v/>
      </c>
      <c r="V45" s="26" t="str">
        <f aca="false">IF(AND(S45&lt;&gt;"",Q45&lt;&gt;""),S45-Q45,"")</f>
        <v/>
      </c>
      <c r="W45" s="27" t="str">
        <f aca="false">IF(AND(Q45&lt;&gt;"",Q45&lt;&gt;0,V45&lt;&gt;""),V45/Q45,"")</f>
        <v/>
      </c>
      <c r="X45" s="28" t="s">
        <v>37</v>
      </c>
      <c r="Y45" s="29" t="str">
        <f aca="false">IF(AND(O45&lt;&gt;"",M45&lt;&gt;"",O45&gt;M45),CONCATENATE("1 : ",TEXT((O45-M45)/M45,"0.00")),IF(AND(O45&lt;&gt;"",M45&lt;&gt;"",O45&lt;M45),CONCATENATE("-1 : ",TEXT((M45-O45)/M45,"0.00")),"—"))</f>
        <v>—</v>
      </c>
      <c r="Z45" s="30" t="str">
        <f aca="false">IF(AND(P45&lt;&gt;"",M45&lt;&gt;"",P45&gt;M45),CONCATENATE("1 : ",TEXT((P45-M45)/M45,"0.00")),"—")</f>
        <v>—</v>
      </c>
      <c r="AA45" s="31" t="str">
        <f aca="false">IF(AND(C45&lt;&gt;"",E45&lt;&gt;""),E45-C45,"")</f>
        <v/>
      </c>
      <c r="AB45" s="17"/>
      <c r="AC45" s="32"/>
      <c r="AD45" s="33"/>
      <c r="AE45" s="34" t="str">
        <f aca="false">IF(G45&lt;&gt;"",HYPERLINK("https://www.tradingview.com/chart/?symbol="&amp;G45&amp;"&amp;interval=60&amp;from="&amp;(AG45-10*3600)&amp;"&amp;to="&amp;(AG45+50*3600),"📈 1H"),"")</f>
        <v/>
      </c>
      <c r="AF45" s="35" t="str">
        <f aca="false">IF(G45&lt;&gt;"",HYPERLINK("https://www.tradingview.com/chart/?symbol="&amp;G45&amp;"&amp;interval=240&amp;from="&amp;(AG45-10*14400)&amp;"&amp;to="&amp;(AG45+50*14400),"📈 4H"),"")</f>
        <v/>
      </c>
      <c r="AG45" s="36" t="str">
        <f aca="false">IF(C45&lt;&gt;"",INT((C45+IF(D45&lt;&gt;"",D45,0)-DATE(1970,1,1))*86400),"")</f>
        <v/>
      </c>
    </row>
    <row r="46" customFormat="false" ht="19.5" hidden="false" customHeight="true" outlineLevel="0" collapsed="false">
      <c r="A46" s="37" t="n">
        <f aca="false">ROW()-4</f>
        <v>42</v>
      </c>
      <c r="B46" s="38"/>
      <c r="C46" s="39"/>
      <c r="D46" s="40"/>
      <c r="E46" s="39"/>
      <c r="F46" s="40"/>
      <c r="G46" s="41"/>
      <c r="H46" s="42"/>
      <c r="I46" s="43"/>
      <c r="J46" s="44"/>
      <c r="K46" s="39"/>
      <c r="L46" s="42"/>
      <c r="M46" s="44"/>
      <c r="N46" s="45"/>
      <c r="O46" s="44"/>
      <c r="P46" s="46"/>
      <c r="Q46" s="47" t="str">
        <f aca="false">IF(L46="","",IF(M46&lt;&gt;"",M46*L46*100,IF(AND(O46&lt;&gt;"",B46&lt;&gt;""),IFERROR(AVERAGEIF($B$5:$B$1004,B46,$M$5:$M$1004)*L46*100,""),"")))</f>
        <v/>
      </c>
      <c r="R46" s="47" t="str">
        <f aca="false">IF(AND(O46&lt;&gt;"",L46&lt;&gt;""),O46*L46*100,"")</f>
        <v/>
      </c>
      <c r="S46" s="48" t="str">
        <f aca="false">IF(AND(P46&lt;&gt;"",L46&lt;&gt;""),P46*L46*100,"")</f>
        <v/>
      </c>
      <c r="T46" s="49" t="str">
        <f aca="false">IF(AND(Q46&lt;&gt;"",R46&lt;&gt;""),R46-Q46,"")</f>
        <v/>
      </c>
      <c r="U46" s="50" t="str">
        <f aca="false">IF(AND(Q46&lt;&gt;"",Q46&lt;&gt;0,T46&lt;&gt;""),T46/Q46,"")</f>
        <v/>
      </c>
      <c r="V46" s="51" t="str">
        <f aca="false">IF(AND(S46&lt;&gt;"",Q46&lt;&gt;""),S46-Q46,"")</f>
        <v/>
      </c>
      <c r="W46" s="52" t="str">
        <f aca="false">IF(AND(Q46&lt;&gt;"",Q46&lt;&gt;0,V46&lt;&gt;""),V46/Q46,"")</f>
        <v/>
      </c>
      <c r="X46" s="53" t="s">
        <v>37</v>
      </c>
      <c r="Y46" s="54" t="str">
        <f aca="false">IF(AND(O46&lt;&gt;"",M46&lt;&gt;"",O46&gt;M46),CONCATENATE("1 : ",TEXT((O46-M46)/M46,"0.00")),IF(AND(O46&lt;&gt;"",M46&lt;&gt;"",O46&lt;M46),CONCATENATE("-1 : ",TEXT((M46-O46)/M46,"0.00")),"—"))</f>
        <v>—</v>
      </c>
      <c r="Z46" s="55" t="str">
        <f aca="false">IF(AND(P46&lt;&gt;"",M46&lt;&gt;"",P46&gt;M46),CONCATENATE("1 : ",TEXT((P46-M46)/M46,"0.00")),"—")</f>
        <v>—</v>
      </c>
      <c r="AA46" s="56" t="str">
        <f aca="false">IF(AND(C46&lt;&gt;"",E46&lt;&gt;""),E46-C46,"")</f>
        <v/>
      </c>
      <c r="AB46" s="42"/>
      <c r="AC46" s="57"/>
      <c r="AD46" s="58"/>
      <c r="AE46" s="59" t="str">
        <f aca="false">IF(G46&lt;&gt;"",HYPERLINK("https://www.tradingview.com/chart/?symbol="&amp;G46&amp;"&amp;interval=60&amp;from="&amp;(AG46-10*3600)&amp;"&amp;to="&amp;(AG46+50*3600),"📈 1H"),"")</f>
        <v/>
      </c>
      <c r="AF46" s="60" t="str">
        <f aca="false">IF(G46&lt;&gt;"",HYPERLINK("https://www.tradingview.com/chart/?symbol="&amp;G46&amp;"&amp;interval=240&amp;from="&amp;(AG46-10*14400)&amp;"&amp;to="&amp;(AG46+50*14400),"📈 4H"),"")</f>
        <v/>
      </c>
      <c r="AG46" s="36" t="str">
        <f aca="false">IF(C46&lt;&gt;"",INT((C46+IF(D46&lt;&gt;"",D46,0)-DATE(1970,1,1))*86400),"")</f>
        <v/>
      </c>
    </row>
    <row r="47" customFormat="false" ht="19.5" hidden="false" customHeight="true" outlineLevel="0" collapsed="false">
      <c r="A47" s="12" t="n">
        <f aca="false">ROW()-4</f>
        <v>43</v>
      </c>
      <c r="B47" s="13"/>
      <c r="C47" s="14"/>
      <c r="D47" s="15"/>
      <c r="E47" s="14"/>
      <c r="F47" s="15"/>
      <c r="G47" s="16"/>
      <c r="H47" s="17"/>
      <c r="I47" s="18"/>
      <c r="J47" s="19"/>
      <c r="K47" s="14"/>
      <c r="L47" s="17"/>
      <c r="M47" s="19"/>
      <c r="N47" s="20"/>
      <c r="O47" s="19"/>
      <c r="P47" s="21"/>
      <c r="Q47" s="22" t="str">
        <f aca="false">IF(L47="","",IF(M47&lt;&gt;"",M47*L47*100,IF(AND(O47&lt;&gt;"",B47&lt;&gt;""),IFERROR(AVERAGEIF($B$5:$B$1004,B47,$M$5:$M$1004)*L47*100,""),"")))</f>
        <v/>
      </c>
      <c r="R47" s="22" t="str">
        <f aca="false">IF(AND(O47&lt;&gt;"",L47&lt;&gt;""),O47*L47*100,"")</f>
        <v/>
      </c>
      <c r="S47" s="23" t="str">
        <f aca="false">IF(AND(P47&lt;&gt;"",L47&lt;&gt;""),P47*L47*100,"")</f>
        <v/>
      </c>
      <c r="T47" s="24" t="str">
        <f aca="false">IF(AND(Q47&lt;&gt;"",R47&lt;&gt;""),R47-Q47,"")</f>
        <v/>
      </c>
      <c r="U47" s="25" t="str">
        <f aca="false">IF(AND(Q47&lt;&gt;"",Q47&lt;&gt;0,T47&lt;&gt;""),T47/Q47,"")</f>
        <v/>
      </c>
      <c r="V47" s="26" t="str">
        <f aca="false">IF(AND(S47&lt;&gt;"",Q47&lt;&gt;""),S47-Q47,"")</f>
        <v/>
      </c>
      <c r="W47" s="27" t="str">
        <f aca="false">IF(AND(Q47&lt;&gt;"",Q47&lt;&gt;0,V47&lt;&gt;""),V47/Q47,"")</f>
        <v/>
      </c>
      <c r="X47" s="28" t="s">
        <v>37</v>
      </c>
      <c r="Y47" s="29" t="str">
        <f aca="false">IF(AND(O47&lt;&gt;"",M47&lt;&gt;"",O47&gt;M47),CONCATENATE("1 : ",TEXT((O47-M47)/M47,"0.00")),IF(AND(O47&lt;&gt;"",M47&lt;&gt;"",O47&lt;M47),CONCATENATE("-1 : ",TEXT((M47-O47)/M47,"0.00")),"—"))</f>
        <v>—</v>
      </c>
      <c r="Z47" s="30" t="str">
        <f aca="false">IF(AND(P47&lt;&gt;"",M47&lt;&gt;"",P47&gt;M47),CONCATENATE("1 : ",TEXT((P47-M47)/M47,"0.00")),"—")</f>
        <v>—</v>
      </c>
      <c r="AA47" s="31" t="str">
        <f aca="false">IF(AND(C47&lt;&gt;"",E47&lt;&gt;""),E47-C47,"")</f>
        <v/>
      </c>
      <c r="AB47" s="17"/>
      <c r="AC47" s="32"/>
      <c r="AD47" s="33"/>
      <c r="AE47" s="34" t="str">
        <f aca="false">IF(G47&lt;&gt;"",HYPERLINK("https://www.tradingview.com/chart/?symbol="&amp;G47&amp;"&amp;interval=60&amp;from="&amp;(AG47-10*3600)&amp;"&amp;to="&amp;(AG47+50*3600),"📈 1H"),"")</f>
        <v/>
      </c>
      <c r="AF47" s="35" t="str">
        <f aca="false">IF(G47&lt;&gt;"",HYPERLINK("https://www.tradingview.com/chart/?symbol="&amp;G47&amp;"&amp;interval=240&amp;from="&amp;(AG47-10*14400)&amp;"&amp;to="&amp;(AG47+50*14400),"📈 4H"),"")</f>
        <v/>
      </c>
      <c r="AG47" s="36" t="str">
        <f aca="false">IF(C47&lt;&gt;"",INT((C47+IF(D47&lt;&gt;"",D47,0)-DATE(1970,1,1))*86400),"")</f>
        <v/>
      </c>
    </row>
    <row r="48" customFormat="false" ht="19.5" hidden="false" customHeight="true" outlineLevel="0" collapsed="false">
      <c r="A48" s="37" t="n">
        <f aca="false">ROW()-4</f>
        <v>44</v>
      </c>
      <c r="B48" s="38"/>
      <c r="C48" s="39"/>
      <c r="D48" s="40"/>
      <c r="E48" s="39"/>
      <c r="F48" s="40"/>
      <c r="G48" s="41"/>
      <c r="H48" s="42"/>
      <c r="I48" s="43"/>
      <c r="J48" s="44"/>
      <c r="K48" s="39"/>
      <c r="L48" s="42"/>
      <c r="M48" s="44"/>
      <c r="N48" s="45"/>
      <c r="O48" s="44"/>
      <c r="P48" s="46"/>
      <c r="Q48" s="47" t="str">
        <f aca="false">IF(L48="","",IF(M48&lt;&gt;"",M48*L48*100,IF(AND(O48&lt;&gt;"",B48&lt;&gt;""),IFERROR(AVERAGEIF($B$5:$B$1004,B48,$M$5:$M$1004)*L48*100,""),"")))</f>
        <v/>
      </c>
      <c r="R48" s="47" t="str">
        <f aca="false">IF(AND(O48&lt;&gt;"",L48&lt;&gt;""),O48*L48*100,"")</f>
        <v/>
      </c>
      <c r="S48" s="48" t="str">
        <f aca="false">IF(AND(P48&lt;&gt;"",L48&lt;&gt;""),P48*L48*100,"")</f>
        <v/>
      </c>
      <c r="T48" s="49" t="str">
        <f aca="false">IF(AND(Q48&lt;&gt;"",R48&lt;&gt;""),R48-Q48,"")</f>
        <v/>
      </c>
      <c r="U48" s="50" t="str">
        <f aca="false">IF(AND(Q48&lt;&gt;"",Q48&lt;&gt;0,T48&lt;&gt;""),T48/Q48,"")</f>
        <v/>
      </c>
      <c r="V48" s="51" t="str">
        <f aca="false">IF(AND(S48&lt;&gt;"",Q48&lt;&gt;""),S48-Q48,"")</f>
        <v/>
      </c>
      <c r="W48" s="52" t="str">
        <f aca="false">IF(AND(Q48&lt;&gt;"",Q48&lt;&gt;0,V48&lt;&gt;""),V48/Q48,"")</f>
        <v/>
      </c>
      <c r="X48" s="53" t="s">
        <v>37</v>
      </c>
      <c r="Y48" s="54" t="str">
        <f aca="false">IF(AND(O48&lt;&gt;"",M48&lt;&gt;"",O48&gt;M48),CONCATENATE("1 : ",TEXT((O48-M48)/M48,"0.00")),IF(AND(O48&lt;&gt;"",M48&lt;&gt;"",O48&lt;M48),CONCATENATE("-1 : ",TEXT((M48-O48)/M48,"0.00")),"—"))</f>
        <v>—</v>
      </c>
      <c r="Z48" s="55" t="str">
        <f aca="false">IF(AND(P48&lt;&gt;"",M48&lt;&gt;"",P48&gt;M48),CONCATENATE("1 : ",TEXT((P48-M48)/M48,"0.00")),"—")</f>
        <v>—</v>
      </c>
      <c r="AA48" s="56" t="str">
        <f aca="false">IF(AND(C48&lt;&gt;"",E48&lt;&gt;""),E48-C48,"")</f>
        <v/>
      </c>
      <c r="AB48" s="42"/>
      <c r="AC48" s="57"/>
      <c r="AD48" s="58"/>
      <c r="AE48" s="59" t="str">
        <f aca="false">IF(G48&lt;&gt;"",HYPERLINK("https://www.tradingview.com/chart/?symbol="&amp;G48&amp;"&amp;interval=60&amp;from="&amp;(AG48-10*3600)&amp;"&amp;to="&amp;(AG48+50*3600),"📈 1H"),"")</f>
        <v/>
      </c>
      <c r="AF48" s="60" t="str">
        <f aca="false">IF(G48&lt;&gt;"",HYPERLINK("https://www.tradingview.com/chart/?symbol="&amp;G48&amp;"&amp;interval=240&amp;from="&amp;(AG48-10*14400)&amp;"&amp;to="&amp;(AG48+50*14400),"📈 4H"),"")</f>
        <v/>
      </c>
      <c r="AG48" s="36" t="str">
        <f aca="false">IF(C48&lt;&gt;"",INT((C48+IF(D48&lt;&gt;"",D48,0)-DATE(1970,1,1))*86400),"")</f>
        <v/>
      </c>
    </row>
    <row r="49" customFormat="false" ht="19.5" hidden="false" customHeight="true" outlineLevel="0" collapsed="false">
      <c r="A49" s="12" t="n">
        <f aca="false">ROW()-4</f>
        <v>45</v>
      </c>
      <c r="B49" s="13"/>
      <c r="C49" s="14"/>
      <c r="D49" s="15"/>
      <c r="E49" s="14"/>
      <c r="F49" s="15"/>
      <c r="G49" s="16"/>
      <c r="H49" s="17"/>
      <c r="I49" s="18"/>
      <c r="J49" s="19"/>
      <c r="K49" s="14"/>
      <c r="L49" s="17"/>
      <c r="M49" s="19"/>
      <c r="N49" s="20"/>
      <c r="O49" s="19"/>
      <c r="P49" s="21"/>
      <c r="Q49" s="22" t="str">
        <f aca="false">IF(L49="","",IF(M49&lt;&gt;"",M49*L49*100,IF(AND(O49&lt;&gt;"",B49&lt;&gt;""),IFERROR(AVERAGEIF($B$5:$B$1004,B49,$M$5:$M$1004)*L49*100,""),"")))</f>
        <v/>
      </c>
      <c r="R49" s="22" t="str">
        <f aca="false">IF(AND(O49&lt;&gt;"",L49&lt;&gt;""),O49*L49*100,"")</f>
        <v/>
      </c>
      <c r="S49" s="23" t="str">
        <f aca="false">IF(AND(P49&lt;&gt;"",L49&lt;&gt;""),P49*L49*100,"")</f>
        <v/>
      </c>
      <c r="T49" s="24" t="str">
        <f aca="false">IF(AND(Q49&lt;&gt;"",R49&lt;&gt;""),R49-Q49,"")</f>
        <v/>
      </c>
      <c r="U49" s="25" t="str">
        <f aca="false">IF(AND(Q49&lt;&gt;"",Q49&lt;&gt;0,T49&lt;&gt;""),T49/Q49,"")</f>
        <v/>
      </c>
      <c r="V49" s="26" t="str">
        <f aca="false">IF(AND(S49&lt;&gt;"",Q49&lt;&gt;""),S49-Q49,"")</f>
        <v/>
      </c>
      <c r="W49" s="27" t="str">
        <f aca="false">IF(AND(Q49&lt;&gt;"",Q49&lt;&gt;0,V49&lt;&gt;""),V49/Q49,"")</f>
        <v/>
      </c>
      <c r="X49" s="28" t="s">
        <v>37</v>
      </c>
      <c r="Y49" s="29" t="str">
        <f aca="false">IF(AND(O49&lt;&gt;"",M49&lt;&gt;"",O49&gt;M49),CONCATENATE("1 : ",TEXT((O49-M49)/M49,"0.00")),IF(AND(O49&lt;&gt;"",M49&lt;&gt;"",O49&lt;M49),CONCATENATE("-1 : ",TEXT((M49-O49)/M49,"0.00")),"—"))</f>
        <v>—</v>
      </c>
      <c r="Z49" s="30" t="str">
        <f aca="false">IF(AND(P49&lt;&gt;"",M49&lt;&gt;"",P49&gt;M49),CONCATENATE("1 : ",TEXT((P49-M49)/M49,"0.00")),"—")</f>
        <v>—</v>
      </c>
      <c r="AA49" s="31" t="str">
        <f aca="false">IF(AND(C49&lt;&gt;"",E49&lt;&gt;""),E49-C49,"")</f>
        <v/>
      </c>
      <c r="AB49" s="17"/>
      <c r="AC49" s="32"/>
      <c r="AD49" s="33"/>
      <c r="AE49" s="34" t="str">
        <f aca="false">IF(G49&lt;&gt;"",HYPERLINK("https://www.tradingview.com/chart/?symbol="&amp;G49&amp;"&amp;interval=60&amp;from="&amp;(AG49-10*3600)&amp;"&amp;to="&amp;(AG49+50*3600),"📈 1H"),"")</f>
        <v/>
      </c>
      <c r="AF49" s="35" t="str">
        <f aca="false">IF(G49&lt;&gt;"",HYPERLINK("https://www.tradingview.com/chart/?symbol="&amp;G49&amp;"&amp;interval=240&amp;from="&amp;(AG49-10*14400)&amp;"&amp;to="&amp;(AG49+50*14400),"📈 4H"),"")</f>
        <v/>
      </c>
      <c r="AG49" s="36" t="str">
        <f aca="false">IF(C49&lt;&gt;"",INT((C49+IF(D49&lt;&gt;"",D49,0)-DATE(1970,1,1))*86400),"")</f>
        <v/>
      </c>
    </row>
    <row r="50" customFormat="false" ht="19.5" hidden="false" customHeight="true" outlineLevel="0" collapsed="false">
      <c r="A50" s="37" t="n">
        <f aca="false">ROW()-4</f>
        <v>46</v>
      </c>
      <c r="B50" s="38"/>
      <c r="C50" s="39"/>
      <c r="D50" s="40"/>
      <c r="E50" s="39"/>
      <c r="F50" s="40"/>
      <c r="G50" s="41"/>
      <c r="H50" s="42"/>
      <c r="I50" s="43"/>
      <c r="J50" s="44"/>
      <c r="K50" s="39"/>
      <c r="L50" s="42"/>
      <c r="M50" s="44"/>
      <c r="N50" s="45"/>
      <c r="O50" s="44"/>
      <c r="P50" s="46"/>
      <c r="Q50" s="47" t="str">
        <f aca="false">IF(L50="","",IF(M50&lt;&gt;"",M50*L50*100,IF(AND(O50&lt;&gt;"",B50&lt;&gt;""),IFERROR(AVERAGEIF($B$5:$B$1004,B50,$M$5:$M$1004)*L50*100,""),"")))</f>
        <v/>
      </c>
      <c r="R50" s="47" t="str">
        <f aca="false">IF(AND(O50&lt;&gt;"",L50&lt;&gt;""),O50*L50*100,"")</f>
        <v/>
      </c>
      <c r="S50" s="48" t="str">
        <f aca="false">IF(AND(P50&lt;&gt;"",L50&lt;&gt;""),P50*L50*100,"")</f>
        <v/>
      </c>
      <c r="T50" s="49" t="str">
        <f aca="false">IF(AND(Q50&lt;&gt;"",R50&lt;&gt;""),R50-Q50,"")</f>
        <v/>
      </c>
      <c r="U50" s="50" t="str">
        <f aca="false">IF(AND(Q50&lt;&gt;"",Q50&lt;&gt;0,T50&lt;&gt;""),T50/Q50,"")</f>
        <v/>
      </c>
      <c r="V50" s="51" t="str">
        <f aca="false">IF(AND(S50&lt;&gt;"",Q50&lt;&gt;""),S50-Q50,"")</f>
        <v/>
      </c>
      <c r="W50" s="52" t="str">
        <f aca="false">IF(AND(Q50&lt;&gt;"",Q50&lt;&gt;0,V50&lt;&gt;""),V50/Q50,"")</f>
        <v/>
      </c>
      <c r="X50" s="53" t="s">
        <v>37</v>
      </c>
      <c r="Y50" s="54" t="str">
        <f aca="false">IF(AND(O50&lt;&gt;"",M50&lt;&gt;"",O50&gt;M50),CONCATENATE("1 : ",TEXT((O50-M50)/M50,"0.00")),IF(AND(O50&lt;&gt;"",M50&lt;&gt;"",O50&lt;M50),CONCATENATE("-1 : ",TEXT((M50-O50)/M50,"0.00")),"—"))</f>
        <v>—</v>
      </c>
      <c r="Z50" s="55" t="str">
        <f aca="false">IF(AND(P50&lt;&gt;"",M50&lt;&gt;"",P50&gt;M50),CONCATENATE("1 : ",TEXT((P50-M50)/M50,"0.00")),"—")</f>
        <v>—</v>
      </c>
      <c r="AA50" s="56" t="str">
        <f aca="false">IF(AND(C50&lt;&gt;"",E50&lt;&gt;""),E50-C50,"")</f>
        <v/>
      </c>
      <c r="AB50" s="42"/>
      <c r="AC50" s="57"/>
      <c r="AD50" s="58"/>
      <c r="AE50" s="59" t="str">
        <f aca="false">IF(G50&lt;&gt;"",HYPERLINK("https://www.tradingview.com/chart/?symbol="&amp;G50&amp;"&amp;interval=60&amp;from="&amp;(AG50-10*3600)&amp;"&amp;to="&amp;(AG50+50*3600),"📈 1H"),"")</f>
        <v/>
      </c>
      <c r="AF50" s="60" t="str">
        <f aca="false">IF(G50&lt;&gt;"",HYPERLINK("https://www.tradingview.com/chart/?symbol="&amp;G50&amp;"&amp;interval=240&amp;from="&amp;(AG50-10*14400)&amp;"&amp;to="&amp;(AG50+50*14400),"📈 4H"),"")</f>
        <v/>
      </c>
      <c r="AG50" s="36" t="str">
        <f aca="false">IF(C50&lt;&gt;"",INT((C50+IF(D50&lt;&gt;"",D50,0)-DATE(1970,1,1))*86400),"")</f>
        <v/>
      </c>
    </row>
    <row r="51" customFormat="false" ht="19.5" hidden="false" customHeight="true" outlineLevel="0" collapsed="false">
      <c r="A51" s="12" t="n">
        <f aca="false">ROW()-4</f>
        <v>47</v>
      </c>
      <c r="B51" s="13"/>
      <c r="C51" s="14"/>
      <c r="D51" s="15"/>
      <c r="E51" s="14"/>
      <c r="F51" s="15"/>
      <c r="G51" s="16"/>
      <c r="H51" s="17"/>
      <c r="I51" s="18"/>
      <c r="J51" s="19"/>
      <c r="K51" s="14"/>
      <c r="L51" s="17"/>
      <c r="M51" s="19"/>
      <c r="N51" s="20"/>
      <c r="O51" s="19"/>
      <c r="P51" s="21"/>
      <c r="Q51" s="22" t="str">
        <f aca="false">IF(L51="","",IF(M51&lt;&gt;"",M51*L51*100,IF(AND(O51&lt;&gt;"",B51&lt;&gt;""),IFERROR(AVERAGEIF($B$5:$B$1004,B51,$M$5:$M$1004)*L51*100,""),"")))</f>
        <v/>
      </c>
      <c r="R51" s="22" t="str">
        <f aca="false">IF(AND(O51&lt;&gt;"",L51&lt;&gt;""),O51*L51*100,"")</f>
        <v/>
      </c>
      <c r="S51" s="23" t="str">
        <f aca="false">IF(AND(P51&lt;&gt;"",L51&lt;&gt;""),P51*L51*100,"")</f>
        <v/>
      </c>
      <c r="T51" s="24" t="str">
        <f aca="false">IF(AND(Q51&lt;&gt;"",R51&lt;&gt;""),R51-Q51,"")</f>
        <v/>
      </c>
      <c r="U51" s="25" t="str">
        <f aca="false">IF(AND(Q51&lt;&gt;"",Q51&lt;&gt;0,T51&lt;&gt;""),T51/Q51,"")</f>
        <v/>
      </c>
      <c r="V51" s="26" t="str">
        <f aca="false">IF(AND(S51&lt;&gt;"",Q51&lt;&gt;""),S51-Q51,"")</f>
        <v/>
      </c>
      <c r="W51" s="27" t="str">
        <f aca="false">IF(AND(Q51&lt;&gt;"",Q51&lt;&gt;0,V51&lt;&gt;""),V51/Q51,"")</f>
        <v/>
      </c>
      <c r="X51" s="28" t="s">
        <v>37</v>
      </c>
      <c r="Y51" s="29" t="str">
        <f aca="false">IF(AND(O51&lt;&gt;"",M51&lt;&gt;"",O51&gt;M51),CONCATENATE("1 : ",TEXT((O51-M51)/M51,"0.00")),IF(AND(O51&lt;&gt;"",M51&lt;&gt;"",O51&lt;M51),CONCATENATE("-1 : ",TEXT((M51-O51)/M51,"0.00")),"—"))</f>
        <v>—</v>
      </c>
      <c r="Z51" s="30" t="str">
        <f aca="false">IF(AND(P51&lt;&gt;"",M51&lt;&gt;"",P51&gt;M51),CONCATENATE("1 : ",TEXT((P51-M51)/M51,"0.00")),"—")</f>
        <v>—</v>
      </c>
      <c r="AA51" s="31" t="str">
        <f aca="false">IF(AND(C51&lt;&gt;"",E51&lt;&gt;""),E51-C51,"")</f>
        <v/>
      </c>
      <c r="AB51" s="17"/>
      <c r="AC51" s="32"/>
      <c r="AD51" s="33"/>
      <c r="AE51" s="34" t="str">
        <f aca="false">IF(G51&lt;&gt;"",HYPERLINK("https://www.tradingview.com/chart/?symbol="&amp;G51&amp;"&amp;interval=60&amp;from="&amp;(AG51-10*3600)&amp;"&amp;to="&amp;(AG51+50*3600),"📈 1H"),"")</f>
        <v/>
      </c>
      <c r="AF51" s="35" t="str">
        <f aca="false">IF(G51&lt;&gt;"",HYPERLINK("https://www.tradingview.com/chart/?symbol="&amp;G51&amp;"&amp;interval=240&amp;from="&amp;(AG51-10*14400)&amp;"&amp;to="&amp;(AG51+50*14400),"📈 4H"),"")</f>
        <v/>
      </c>
      <c r="AG51" s="36" t="str">
        <f aca="false">IF(C51&lt;&gt;"",INT((C51+IF(D51&lt;&gt;"",D51,0)-DATE(1970,1,1))*86400),"")</f>
        <v/>
      </c>
    </row>
    <row r="52" customFormat="false" ht="19.5" hidden="false" customHeight="true" outlineLevel="0" collapsed="false">
      <c r="A52" s="37" t="n">
        <f aca="false">ROW()-4</f>
        <v>48</v>
      </c>
      <c r="B52" s="38"/>
      <c r="C52" s="39"/>
      <c r="D52" s="40"/>
      <c r="E52" s="39"/>
      <c r="F52" s="40"/>
      <c r="G52" s="41"/>
      <c r="H52" s="42"/>
      <c r="I52" s="43"/>
      <c r="J52" s="44"/>
      <c r="K52" s="39"/>
      <c r="L52" s="42"/>
      <c r="M52" s="44"/>
      <c r="N52" s="45"/>
      <c r="O52" s="44"/>
      <c r="P52" s="46"/>
      <c r="Q52" s="47" t="str">
        <f aca="false">IF(L52="","",IF(M52&lt;&gt;"",M52*L52*100,IF(AND(O52&lt;&gt;"",B52&lt;&gt;""),IFERROR(AVERAGEIF($B$5:$B$1004,B52,$M$5:$M$1004)*L52*100,""),"")))</f>
        <v/>
      </c>
      <c r="R52" s="47" t="str">
        <f aca="false">IF(AND(O52&lt;&gt;"",L52&lt;&gt;""),O52*L52*100,"")</f>
        <v/>
      </c>
      <c r="S52" s="48" t="str">
        <f aca="false">IF(AND(P52&lt;&gt;"",L52&lt;&gt;""),P52*L52*100,"")</f>
        <v/>
      </c>
      <c r="T52" s="49" t="str">
        <f aca="false">IF(AND(Q52&lt;&gt;"",R52&lt;&gt;""),R52-Q52,"")</f>
        <v/>
      </c>
      <c r="U52" s="50" t="str">
        <f aca="false">IF(AND(Q52&lt;&gt;"",Q52&lt;&gt;0,T52&lt;&gt;""),T52/Q52,"")</f>
        <v/>
      </c>
      <c r="V52" s="51" t="str">
        <f aca="false">IF(AND(S52&lt;&gt;"",Q52&lt;&gt;""),S52-Q52,"")</f>
        <v/>
      </c>
      <c r="W52" s="52" t="str">
        <f aca="false">IF(AND(Q52&lt;&gt;"",Q52&lt;&gt;0,V52&lt;&gt;""),V52/Q52,"")</f>
        <v/>
      </c>
      <c r="X52" s="53" t="s">
        <v>37</v>
      </c>
      <c r="Y52" s="54" t="str">
        <f aca="false">IF(AND(O52&lt;&gt;"",M52&lt;&gt;"",O52&gt;M52),CONCATENATE("1 : ",TEXT((O52-M52)/M52,"0.00")),IF(AND(O52&lt;&gt;"",M52&lt;&gt;"",O52&lt;M52),CONCATENATE("-1 : ",TEXT((M52-O52)/M52,"0.00")),"—"))</f>
        <v>—</v>
      </c>
      <c r="Z52" s="55" t="str">
        <f aca="false">IF(AND(P52&lt;&gt;"",M52&lt;&gt;"",P52&gt;M52),CONCATENATE("1 : ",TEXT((P52-M52)/M52,"0.00")),"—")</f>
        <v>—</v>
      </c>
      <c r="AA52" s="56" t="str">
        <f aca="false">IF(AND(C52&lt;&gt;"",E52&lt;&gt;""),E52-C52,"")</f>
        <v/>
      </c>
      <c r="AB52" s="42"/>
      <c r="AC52" s="57"/>
      <c r="AD52" s="58"/>
      <c r="AE52" s="59" t="str">
        <f aca="false">IF(G52&lt;&gt;"",HYPERLINK("https://www.tradingview.com/chart/?symbol="&amp;G52&amp;"&amp;interval=60&amp;from="&amp;(AG52-10*3600)&amp;"&amp;to="&amp;(AG52+50*3600),"📈 1H"),"")</f>
        <v/>
      </c>
      <c r="AF52" s="60" t="str">
        <f aca="false">IF(G52&lt;&gt;"",HYPERLINK("https://www.tradingview.com/chart/?symbol="&amp;G52&amp;"&amp;interval=240&amp;from="&amp;(AG52-10*14400)&amp;"&amp;to="&amp;(AG52+50*14400),"📈 4H"),"")</f>
        <v/>
      </c>
      <c r="AG52" s="36" t="str">
        <f aca="false">IF(C52&lt;&gt;"",INT((C52+IF(D52&lt;&gt;"",D52,0)-DATE(1970,1,1))*86400),"")</f>
        <v/>
      </c>
    </row>
    <row r="53" customFormat="false" ht="19.5" hidden="false" customHeight="true" outlineLevel="0" collapsed="false">
      <c r="A53" s="12" t="n">
        <f aca="false">ROW()-4</f>
        <v>49</v>
      </c>
      <c r="B53" s="13"/>
      <c r="C53" s="14"/>
      <c r="D53" s="15"/>
      <c r="E53" s="14"/>
      <c r="F53" s="15"/>
      <c r="G53" s="16"/>
      <c r="H53" s="17"/>
      <c r="I53" s="18"/>
      <c r="J53" s="19"/>
      <c r="K53" s="14"/>
      <c r="L53" s="17"/>
      <c r="M53" s="19"/>
      <c r="N53" s="20"/>
      <c r="O53" s="19"/>
      <c r="P53" s="21"/>
      <c r="Q53" s="22" t="str">
        <f aca="false">IF(L53="","",IF(M53&lt;&gt;"",M53*L53*100,IF(AND(O53&lt;&gt;"",B53&lt;&gt;""),IFERROR(AVERAGEIF($B$5:$B$1004,B53,$M$5:$M$1004)*L53*100,""),"")))</f>
        <v/>
      </c>
      <c r="R53" s="22" t="str">
        <f aca="false">IF(AND(O53&lt;&gt;"",L53&lt;&gt;""),O53*L53*100,"")</f>
        <v/>
      </c>
      <c r="S53" s="23" t="str">
        <f aca="false">IF(AND(P53&lt;&gt;"",L53&lt;&gt;""),P53*L53*100,"")</f>
        <v/>
      </c>
      <c r="T53" s="24" t="str">
        <f aca="false">IF(AND(Q53&lt;&gt;"",R53&lt;&gt;""),R53-Q53,"")</f>
        <v/>
      </c>
      <c r="U53" s="25" t="str">
        <f aca="false">IF(AND(Q53&lt;&gt;"",Q53&lt;&gt;0,T53&lt;&gt;""),T53/Q53,"")</f>
        <v/>
      </c>
      <c r="V53" s="26" t="str">
        <f aca="false">IF(AND(S53&lt;&gt;"",Q53&lt;&gt;""),S53-Q53,"")</f>
        <v/>
      </c>
      <c r="W53" s="27" t="str">
        <f aca="false">IF(AND(Q53&lt;&gt;"",Q53&lt;&gt;0,V53&lt;&gt;""),V53/Q53,"")</f>
        <v/>
      </c>
      <c r="X53" s="28" t="s">
        <v>37</v>
      </c>
      <c r="Y53" s="29" t="str">
        <f aca="false">IF(AND(O53&lt;&gt;"",M53&lt;&gt;"",O53&gt;M53),CONCATENATE("1 : ",TEXT((O53-M53)/M53,"0.00")),IF(AND(O53&lt;&gt;"",M53&lt;&gt;"",O53&lt;M53),CONCATENATE("-1 : ",TEXT((M53-O53)/M53,"0.00")),"—"))</f>
        <v>—</v>
      </c>
      <c r="Z53" s="30" t="str">
        <f aca="false">IF(AND(P53&lt;&gt;"",M53&lt;&gt;"",P53&gt;M53),CONCATENATE("1 : ",TEXT((P53-M53)/M53,"0.00")),"—")</f>
        <v>—</v>
      </c>
      <c r="AA53" s="31" t="str">
        <f aca="false">IF(AND(C53&lt;&gt;"",E53&lt;&gt;""),E53-C53,"")</f>
        <v/>
      </c>
      <c r="AB53" s="17"/>
      <c r="AC53" s="32"/>
      <c r="AD53" s="33"/>
      <c r="AE53" s="34" t="str">
        <f aca="false">IF(G53&lt;&gt;"",HYPERLINK("https://www.tradingview.com/chart/?symbol="&amp;G53&amp;"&amp;interval=60&amp;from="&amp;(AG53-10*3600)&amp;"&amp;to="&amp;(AG53+50*3600),"📈 1H"),"")</f>
        <v/>
      </c>
      <c r="AF53" s="35" t="str">
        <f aca="false">IF(G53&lt;&gt;"",HYPERLINK("https://www.tradingview.com/chart/?symbol="&amp;G53&amp;"&amp;interval=240&amp;from="&amp;(AG53-10*14400)&amp;"&amp;to="&amp;(AG53+50*14400),"📈 4H"),"")</f>
        <v/>
      </c>
      <c r="AG53" s="36" t="str">
        <f aca="false">IF(C53&lt;&gt;"",INT((C53+IF(D53&lt;&gt;"",D53,0)-DATE(1970,1,1))*86400),"")</f>
        <v/>
      </c>
    </row>
    <row r="54" customFormat="false" ht="19.5" hidden="false" customHeight="true" outlineLevel="0" collapsed="false">
      <c r="A54" s="37" t="n">
        <f aca="false">ROW()-4</f>
        <v>50</v>
      </c>
      <c r="B54" s="38"/>
      <c r="C54" s="39"/>
      <c r="D54" s="40"/>
      <c r="E54" s="39"/>
      <c r="F54" s="40"/>
      <c r="G54" s="41"/>
      <c r="H54" s="42"/>
      <c r="I54" s="43"/>
      <c r="J54" s="44"/>
      <c r="K54" s="39"/>
      <c r="L54" s="42"/>
      <c r="M54" s="44"/>
      <c r="N54" s="45"/>
      <c r="O54" s="44"/>
      <c r="P54" s="46"/>
      <c r="Q54" s="47" t="str">
        <f aca="false">IF(L54="","",IF(M54&lt;&gt;"",M54*L54*100,IF(AND(O54&lt;&gt;"",B54&lt;&gt;""),IFERROR(AVERAGEIF($B$5:$B$1004,B54,$M$5:$M$1004)*L54*100,""),"")))</f>
        <v/>
      </c>
      <c r="R54" s="47" t="str">
        <f aca="false">IF(AND(O54&lt;&gt;"",L54&lt;&gt;""),O54*L54*100,"")</f>
        <v/>
      </c>
      <c r="S54" s="48" t="str">
        <f aca="false">IF(AND(P54&lt;&gt;"",L54&lt;&gt;""),P54*L54*100,"")</f>
        <v/>
      </c>
      <c r="T54" s="49" t="str">
        <f aca="false">IF(AND(Q54&lt;&gt;"",R54&lt;&gt;""),R54-Q54,"")</f>
        <v/>
      </c>
      <c r="U54" s="50" t="str">
        <f aca="false">IF(AND(Q54&lt;&gt;"",Q54&lt;&gt;0,T54&lt;&gt;""),T54/Q54,"")</f>
        <v/>
      </c>
      <c r="V54" s="51" t="str">
        <f aca="false">IF(AND(S54&lt;&gt;"",Q54&lt;&gt;""),S54-Q54,"")</f>
        <v/>
      </c>
      <c r="W54" s="52" t="str">
        <f aca="false">IF(AND(Q54&lt;&gt;"",Q54&lt;&gt;0,V54&lt;&gt;""),V54/Q54,"")</f>
        <v/>
      </c>
      <c r="X54" s="53" t="s">
        <v>37</v>
      </c>
      <c r="Y54" s="54" t="str">
        <f aca="false">IF(AND(O54&lt;&gt;"",M54&lt;&gt;"",O54&gt;M54),CONCATENATE("1 : ",TEXT((O54-M54)/M54,"0.00")),IF(AND(O54&lt;&gt;"",M54&lt;&gt;"",O54&lt;M54),CONCATENATE("-1 : ",TEXT((M54-O54)/M54,"0.00")),"—"))</f>
        <v>—</v>
      </c>
      <c r="Z54" s="55" t="str">
        <f aca="false">IF(AND(P54&lt;&gt;"",M54&lt;&gt;"",P54&gt;M54),CONCATENATE("1 : ",TEXT((P54-M54)/M54,"0.00")),"—")</f>
        <v>—</v>
      </c>
      <c r="AA54" s="56" t="str">
        <f aca="false">IF(AND(C54&lt;&gt;"",E54&lt;&gt;""),E54-C54,"")</f>
        <v/>
      </c>
      <c r="AB54" s="42"/>
      <c r="AC54" s="57"/>
      <c r="AD54" s="58"/>
      <c r="AE54" s="59" t="str">
        <f aca="false">IF(G54&lt;&gt;"",HYPERLINK("https://www.tradingview.com/chart/?symbol="&amp;G54&amp;"&amp;interval=60&amp;from="&amp;(AG54-10*3600)&amp;"&amp;to="&amp;(AG54+50*3600),"📈 1H"),"")</f>
        <v/>
      </c>
      <c r="AF54" s="60" t="str">
        <f aca="false">IF(G54&lt;&gt;"",HYPERLINK("https://www.tradingview.com/chart/?symbol="&amp;G54&amp;"&amp;interval=240&amp;from="&amp;(AG54-10*14400)&amp;"&amp;to="&amp;(AG54+50*14400),"📈 4H"),"")</f>
        <v/>
      </c>
      <c r="AG54" s="36" t="str">
        <f aca="false">IF(C54&lt;&gt;"",INT((C54+IF(D54&lt;&gt;"",D54,0)-DATE(1970,1,1))*86400),"")</f>
        <v/>
      </c>
    </row>
    <row r="55" customFormat="false" ht="19.5" hidden="false" customHeight="true" outlineLevel="0" collapsed="false">
      <c r="A55" s="12" t="n">
        <f aca="false">ROW()-4</f>
        <v>51</v>
      </c>
      <c r="B55" s="13"/>
      <c r="C55" s="14"/>
      <c r="D55" s="15"/>
      <c r="E55" s="14"/>
      <c r="F55" s="15"/>
      <c r="G55" s="16"/>
      <c r="H55" s="17"/>
      <c r="I55" s="18"/>
      <c r="J55" s="19"/>
      <c r="K55" s="14"/>
      <c r="L55" s="17"/>
      <c r="M55" s="19"/>
      <c r="N55" s="20"/>
      <c r="O55" s="19"/>
      <c r="P55" s="21"/>
      <c r="Q55" s="22" t="str">
        <f aca="false">IF(L55="","",IF(M55&lt;&gt;"",M55*L55*100,IF(AND(O55&lt;&gt;"",B55&lt;&gt;""),IFERROR(AVERAGEIF($B$5:$B$1004,B55,$M$5:$M$1004)*L55*100,""),"")))</f>
        <v/>
      </c>
      <c r="R55" s="22" t="str">
        <f aca="false">IF(AND(O55&lt;&gt;"",L55&lt;&gt;""),O55*L55*100,"")</f>
        <v/>
      </c>
      <c r="S55" s="23" t="str">
        <f aca="false">IF(AND(P55&lt;&gt;"",L55&lt;&gt;""),P55*L55*100,"")</f>
        <v/>
      </c>
      <c r="T55" s="24" t="str">
        <f aca="false">IF(AND(Q55&lt;&gt;"",R55&lt;&gt;""),R55-Q55,"")</f>
        <v/>
      </c>
      <c r="U55" s="25" t="str">
        <f aca="false">IF(AND(Q55&lt;&gt;"",Q55&lt;&gt;0,T55&lt;&gt;""),T55/Q55,"")</f>
        <v/>
      </c>
      <c r="V55" s="26" t="str">
        <f aca="false">IF(AND(S55&lt;&gt;"",Q55&lt;&gt;""),S55-Q55,"")</f>
        <v/>
      </c>
      <c r="W55" s="27" t="str">
        <f aca="false">IF(AND(Q55&lt;&gt;"",Q55&lt;&gt;0,V55&lt;&gt;""),V55/Q55,"")</f>
        <v/>
      </c>
      <c r="X55" s="28" t="s">
        <v>37</v>
      </c>
      <c r="Y55" s="29" t="str">
        <f aca="false">IF(AND(O55&lt;&gt;"",M55&lt;&gt;"",O55&gt;M55),CONCATENATE("1 : ",TEXT((O55-M55)/M55,"0.00")),IF(AND(O55&lt;&gt;"",M55&lt;&gt;"",O55&lt;M55),CONCATENATE("-1 : ",TEXT((M55-O55)/M55,"0.00")),"—"))</f>
        <v>—</v>
      </c>
      <c r="Z55" s="30" t="str">
        <f aca="false">IF(AND(P55&lt;&gt;"",M55&lt;&gt;"",P55&gt;M55),CONCATENATE("1 : ",TEXT((P55-M55)/M55,"0.00")),"—")</f>
        <v>—</v>
      </c>
      <c r="AA55" s="31" t="str">
        <f aca="false">IF(AND(C55&lt;&gt;"",E55&lt;&gt;""),E55-C55,"")</f>
        <v/>
      </c>
      <c r="AB55" s="17"/>
      <c r="AC55" s="32"/>
      <c r="AD55" s="33"/>
      <c r="AE55" s="34" t="str">
        <f aca="false">IF(G55&lt;&gt;"",HYPERLINK("https://www.tradingview.com/chart/?symbol="&amp;G55&amp;"&amp;interval=60&amp;from="&amp;(AG55-10*3600)&amp;"&amp;to="&amp;(AG55+50*3600),"📈 1H"),"")</f>
        <v/>
      </c>
      <c r="AF55" s="35" t="str">
        <f aca="false">IF(G55&lt;&gt;"",HYPERLINK("https://www.tradingview.com/chart/?symbol="&amp;G55&amp;"&amp;interval=240&amp;from="&amp;(AG55-10*14400)&amp;"&amp;to="&amp;(AG55+50*14400),"📈 4H"),"")</f>
        <v/>
      </c>
      <c r="AG55" s="36" t="str">
        <f aca="false">IF(C55&lt;&gt;"",INT((C55+IF(D55&lt;&gt;"",D55,0)-DATE(1970,1,1))*86400),"")</f>
        <v/>
      </c>
    </row>
    <row r="56" customFormat="false" ht="19.5" hidden="false" customHeight="true" outlineLevel="0" collapsed="false">
      <c r="A56" s="37" t="n">
        <f aca="false">ROW()-4</f>
        <v>52</v>
      </c>
      <c r="B56" s="38"/>
      <c r="C56" s="39"/>
      <c r="D56" s="40"/>
      <c r="E56" s="39"/>
      <c r="F56" s="40"/>
      <c r="G56" s="41"/>
      <c r="H56" s="42"/>
      <c r="I56" s="43"/>
      <c r="J56" s="44"/>
      <c r="K56" s="39"/>
      <c r="L56" s="42"/>
      <c r="M56" s="44"/>
      <c r="N56" s="45"/>
      <c r="O56" s="44"/>
      <c r="P56" s="46"/>
      <c r="Q56" s="47" t="str">
        <f aca="false">IF(L56="","",IF(M56&lt;&gt;"",M56*L56*100,IF(AND(O56&lt;&gt;"",B56&lt;&gt;""),IFERROR(AVERAGEIF($B$5:$B$1004,B56,$M$5:$M$1004)*L56*100,""),"")))</f>
        <v/>
      </c>
      <c r="R56" s="47" t="str">
        <f aca="false">IF(AND(O56&lt;&gt;"",L56&lt;&gt;""),O56*L56*100,"")</f>
        <v/>
      </c>
      <c r="S56" s="48" t="str">
        <f aca="false">IF(AND(P56&lt;&gt;"",L56&lt;&gt;""),P56*L56*100,"")</f>
        <v/>
      </c>
      <c r="T56" s="49" t="str">
        <f aca="false">IF(AND(Q56&lt;&gt;"",R56&lt;&gt;""),R56-Q56,"")</f>
        <v/>
      </c>
      <c r="U56" s="50" t="str">
        <f aca="false">IF(AND(Q56&lt;&gt;"",Q56&lt;&gt;0,T56&lt;&gt;""),T56/Q56,"")</f>
        <v/>
      </c>
      <c r="V56" s="51" t="str">
        <f aca="false">IF(AND(S56&lt;&gt;"",Q56&lt;&gt;""),S56-Q56,"")</f>
        <v/>
      </c>
      <c r="W56" s="52" t="str">
        <f aca="false">IF(AND(Q56&lt;&gt;"",Q56&lt;&gt;0,V56&lt;&gt;""),V56/Q56,"")</f>
        <v/>
      </c>
      <c r="X56" s="53" t="s">
        <v>37</v>
      </c>
      <c r="Y56" s="54" t="str">
        <f aca="false">IF(AND(O56&lt;&gt;"",M56&lt;&gt;"",O56&gt;M56),CONCATENATE("1 : ",TEXT((O56-M56)/M56,"0.00")),IF(AND(O56&lt;&gt;"",M56&lt;&gt;"",O56&lt;M56),CONCATENATE("-1 : ",TEXT((M56-O56)/M56,"0.00")),"—"))</f>
        <v>—</v>
      </c>
      <c r="Z56" s="55" t="str">
        <f aca="false">IF(AND(P56&lt;&gt;"",M56&lt;&gt;"",P56&gt;M56),CONCATENATE("1 : ",TEXT((P56-M56)/M56,"0.00")),"—")</f>
        <v>—</v>
      </c>
      <c r="AA56" s="56" t="str">
        <f aca="false">IF(AND(C56&lt;&gt;"",E56&lt;&gt;""),E56-C56,"")</f>
        <v/>
      </c>
      <c r="AB56" s="42"/>
      <c r="AC56" s="57"/>
      <c r="AD56" s="58"/>
      <c r="AE56" s="59" t="str">
        <f aca="false">IF(G56&lt;&gt;"",HYPERLINK("https://www.tradingview.com/chart/?symbol="&amp;G56&amp;"&amp;interval=60&amp;from="&amp;(AG56-10*3600)&amp;"&amp;to="&amp;(AG56+50*3600),"📈 1H"),"")</f>
        <v/>
      </c>
      <c r="AF56" s="60" t="str">
        <f aca="false">IF(G56&lt;&gt;"",HYPERLINK("https://www.tradingview.com/chart/?symbol="&amp;G56&amp;"&amp;interval=240&amp;from="&amp;(AG56-10*14400)&amp;"&amp;to="&amp;(AG56+50*14400),"📈 4H"),"")</f>
        <v/>
      </c>
      <c r="AG56" s="36" t="str">
        <f aca="false">IF(C56&lt;&gt;"",INT((C56+IF(D56&lt;&gt;"",D56,0)-DATE(1970,1,1))*86400),"")</f>
        <v/>
      </c>
    </row>
    <row r="57" customFormat="false" ht="19.5" hidden="false" customHeight="true" outlineLevel="0" collapsed="false">
      <c r="A57" s="12" t="n">
        <f aca="false">ROW()-4</f>
        <v>53</v>
      </c>
      <c r="B57" s="13"/>
      <c r="C57" s="14"/>
      <c r="D57" s="15"/>
      <c r="E57" s="14"/>
      <c r="F57" s="15"/>
      <c r="G57" s="16"/>
      <c r="H57" s="17"/>
      <c r="I57" s="18"/>
      <c r="J57" s="19"/>
      <c r="K57" s="14"/>
      <c r="L57" s="17"/>
      <c r="M57" s="19"/>
      <c r="N57" s="20"/>
      <c r="O57" s="19"/>
      <c r="P57" s="21"/>
      <c r="Q57" s="22" t="str">
        <f aca="false">IF(L57="","",IF(M57&lt;&gt;"",M57*L57*100,IF(AND(O57&lt;&gt;"",B57&lt;&gt;""),IFERROR(AVERAGEIF($B$5:$B$1004,B57,$M$5:$M$1004)*L57*100,""),"")))</f>
        <v/>
      </c>
      <c r="R57" s="22" t="str">
        <f aca="false">IF(AND(O57&lt;&gt;"",L57&lt;&gt;""),O57*L57*100,"")</f>
        <v/>
      </c>
      <c r="S57" s="23" t="str">
        <f aca="false">IF(AND(P57&lt;&gt;"",L57&lt;&gt;""),P57*L57*100,"")</f>
        <v/>
      </c>
      <c r="T57" s="24" t="str">
        <f aca="false">IF(AND(Q57&lt;&gt;"",R57&lt;&gt;""),R57-Q57,"")</f>
        <v/>
      </c>
      <c r="U57" s="25" t="str">
        <f aca="false">IF(AND(Q57&lt;&gt;"",Q57&lt;&gt;0,T57&lt;&gt;""),T57/Q57,"")</f>
        <v/>
      </c>
      <c r="V57" s="26" t="str">
        <f aca="false">IF(AND(S57&lt;&gt;"",Q57&lt;&gt;""),S57-Q57,"")</f>
        <v/>
      </c>
      <c r="W57" s="27" t="str">
        <f aca="false">IF(AND(Q57&lt;&gt;"",Q57&lt;&gt;0,V57&lt;&gt;""),V57/Q57,"")</f>
        <v/>
      </c>
      <c r="X57" s="28" t="s">
        <v>37</v>
      </c>
      <c r="Y57" s="29" t="str">
        <f aca="false">IF(AND(O57&lt;&gt;"",M57&lt;&gt;"",O57&gt;M57),CONCATENATE("1 : ",TEXT((O57-M57)/M57,"0.00")),IF(AND(O57&lt;&gt;"",M57&lt;&gt;"",O57&lt;M57),CONCATENATE("-1 : ",TEXT((M57-O57)/M57,"0.00")),"—"))</f>
        <v>—</v>
      </c>
      <c r="Z57" s="30" t="str">
        <f aca="false">IF(AND(P57&lt;&gt;"",M57&lt;&gt;"",P57&gt;M57),CONCATENATE("1 : ",TEXT((P57-M57)/M57,"0.00")),"—")</f>
        <v>—</v>
      </c>
      <c r="AA57" s="31" t="str">
        <f aca="false">IF(AND(C57&lt;&gt;"",E57&lt;&gt;""),E57-C57,"")</f>
        <v/>
      </c>
      <c r="AB57" s="17"/>
      <c r="AC57" s="32"/>
      <c r="AD57" s="33"/>
      <c r="AE57" s="34" t="str">
        <f aca="false">IF(G57&lt;&gt;"",HYPERLINK("https://www.tradingview.com/chart/?symbol="&amp;G57&amp;"&amp;interval=60&amp;from="&amp;(AG57-10*3600)&amp;"&amp;to="&amp;(AG57+50*3600),"📈 1H"),"")</f>
        <v/>
      </c>
      <c r="AF57" s="35" t="str">
        <f aca="false">IF(G57&lt;&gt;"",HYPERLINK("https://www.tradingview.com/chart/?symbol="&amp;G57&amp;"&amp;interval=240&amp;from="&amp;(AG57-10*14400)&amp;"&amp;to="&amp;(AG57+50*14400),"📈 4H"),"")</f>
        <v/>
      </c>
      <c r="AG57" s="36" t="str">
        <f aca="false">IF(C57&lt;&gt;"",INT((C57+IF(D57&lt;&gt;"",D57,0)-DATE(1970,1,1))*86400),"")</f>
        <v/>
      </c>
    </row>
    <row r="58" customFormat="false" ht="19.5" hidden="false" customHeight="true" outlineLevel="0" collapsed="false">
      <c r="A58" s="37" t="n">
        <f aca="false">ROW()-4</f>
        <v>54</v>
      </c>
      <c r="B58" s="38"/>
      <c r="C58" s="39"/>
      <c r="D58" s="40"/>
      <c r="E58" s="39"/>
      <c r="F58" s="40"/>
      <c r="G58" s="41"/>
      <c r="H58" s="42"/>
      <c r="I58" s="43"/>
      <c r="J58" s="44"/>
      <c r="K58" s="39"/>
      <c r="L58" s="42"/>
      <c r="M58" s="44"/>
      <c r="N58" s="45"/>
      <c r="O58" s="44"/>
      <c r="P58" s="46"/>
      <c r="Q58" s="47" t="str">
        <f aca="false">IF(L58="","",IF(M58&lt;&gt;"",M58*L58*100,IF(AND(O58&lt;&gt;"",B58&lt;&gt;""),IFERROR(AVERAGEIF($B$5:$B$1004,B58,$M$5:$M$1004)*L58*100,""),"")))</f>
        <v/>
      </c>
      <c r="R58" s="47" t="str">
        <f aca="false">IF(AND(O58&lt;&gt;"",L58&lt;&gt;""),O58*L58*100,"")</f>
        <v/>
      </c>
      <c r="S58" s="48" t="str">
        <f aca="false">IF(AND(P58&lt;&gt;"",L58&lt;&gt;""),P58*L58*100,"")</f>
        <v/>
      </c>
      <c r="T58" s="49" t="str">
        <f aca="false">IF(AND(Q58&lt;&gt;"",R58&lt;&gt;""),R58-Q58,"")</f>
        <v/>
      </c>
      <c r="U58" s="50" t="str">
        <f aca="false">IF(AND(Q58&lt;&gt;"",Q58&lt;&gt;0,T58&lt;&gt;""),T58/Q58,"")</f>
        <v/>
      </c>
      <c r="V58" s="51" t="str">
        <f aca="false">IF(AND(S58&lt;&gt;"",Q58&lt;&gt;""),S58-Q58,"")</f>
        <v/>
      </c>
      <c r="W58" s="52" t="str">
        <f aca="false">IF(AND(Q58&lt;&gt;"",Q58&lt;&gt;0,V58&lt;&gt;""),V58/Q58,"")</f>
        <v/>
      </c>
      <c r="X58" s="53" t="s">
        <v>37</v>
      </c>
      <c r="Y58" s="54" t="str">
        <f aca="false">IF(AND(O58&lt;&gt;"",M58&lt;&gt;"",O58&gt;M58),CONCATENATE("1 : ",TEXT((O58-M58)/M58,"0.00")),IF(AND(O58&lt;&gt;"",M58&lt;&gt;"",O58&lt;M58),CONCATENATE("-1 : ",TEXT((M58-O58)/M58,"0.00")),"—"))</f>
        <v>—</v>
      </c>
      <c r="Z58" s="55" t="str">
        <f aca="false">IF(AND(P58&lt;&gt;"",M58&lt;&gt;"",P58&gt;M58),CONCATENATE("1 : ",TEXT((P58-M58)/M58,"0.00")),"—")</f>
        <v>—</v>
      </c>
      <c r="AA58" s="56" t="str">
        <f aca="false">IF(AND(C58&lt;&gt;"",E58&lt;&gt;""),E58-C58,"")</f>
        <v/>
      </c>
      <c r="AB58" s="42"/>
      <c r="AC58" s="57"/>
      <c r="AD58" s="58"/>
      <c r="AE58" s="59" t="str">
        <f aca="false">IF(G58&lt;&gt;"",HYPERLINK("https://www.tradingview.com/chart/?symbol="&amp;G58&amp;"&amp;interval=60&amp;from="&amp;(AG58-10*3600)&amp;"&amp;to="&amp;(AG58+50*3600),"📈 1H"),"")</f>
        <v/>
      </c>
      <c r="AF58" s="60" t="str">
        <f aca="false">IF(G58&lt;&gt;"",HYPERLINK("https://www.tradingview.com/chart/?symbol="&amp;G58&amp;"&amp;interval=240&amp;from="&amp;(AG58-10*14400)&amp;"&amp;to="&amp;(AG58+50*14400),"📈 4H"),"")</f>
        <v/>
      </c>
      <c r="AG58" s="36" t="str">
        <f aca="false">IF(C58&lt;&gt;"",INT((C58+IF(D58&lt;&gt;"",D58,0)-DATE(1970,1,1))*86400),"")</f>
        <v/>
      </c>
    </row>
    <row r="59" customFormat="false" ht="19.5" hidden="false" customHeight="true" outlineLevel="0" collapsed="false">
      <c r="A59" s="12" t="n">
        <f aca="false">ROW()-4</f>
        <v>55</v>
      </c>
      <c r="B59" s="13"/>
      <c r="C59" s="14"/>
      <c r="D59" s="15"/>
      <c r="E59" s="14"/>
      <c r="F59" s="15"/>
      <c r="G59" s="16"/>
      <c r="H59" s="17"/>
      <c r="I59" s="18"/>
      <c r="J59" s="19"/>
      <c r="K59" s="14"/>
      <c r="L59" s="17"/>
      <c r="M59" s="19"/>
      <c r="N59" s="20"/>
      <c r="O59" s="19"/>
      <c r="P59" s="21"/>
      <c r="Q59" s="22" t="str">
        <f aca="false">IF(L59="","",IF(M59&lt;&gt;"",M59*L59*100,IF(AND(O59&lt;&gt;"",B59&lt;&gt;""),IFERROR(AVERAGEIF($B$5:$B$1004,B59,$M$5:$M$1004)*L59*100,""),"")))</f>
        <v/>
      </c>
      <c r="R59" s="22" t="str">
        <f aca="false">IF(AND(O59&lt;&gt;"",L59&lt;&gt;""),O59*L59*100,"")</f>
        <v/>
      </c>
      <c r="S59" s="23" t="str">
        <f aca="false">IF(AND(P59&lt;&gt;"",L59&lt;&gt;""),P59*L59*100,"")</f>
        <v/>
      </c>
      <c r="T59" s="24" t="str">
        <f aca="false">IF(AND(Q59&lt;&gt;"",R59&lt;&gt;""),R59-Q59,"")</f>
        <v/>
      </c>
      <c r="U59" s="25" t="str">
        <f aca="false">IF(AND(Q59&lt;&gt;"",Q59&lt;&gt;0,T59&lt;&gt;""),T59/Q59,"")</f>
        <v/>
      </c>
      <c r="V59" s="26" t="str">
        <f aca="false">IF(AND(S59&lt;&gt;"",Q59&lt;&gt;""),S59-Q59,"")</f>
        <v/>
      </c>
      <c r="W59" s="27" t="str">
        <f aca="false">IF(AND(Q59&lt;&gt;"",Q59&lt;&gt;0,V59&lt;&gt;""),V59/Q59,"")</f>
        <v/>
      </c>
      <c r="X59" s="28" t="s">
        <v>37</v>
      </c>
      <c r="Y59" s="29" t="str">
        <f aca="false">IF(AND(O59&lt;&gt;"",M59&lt;&gt;"",O59&gt;M59),CONCATENATE("1 : ",TEXT((O59-M59)/M59,"0.00")),IF(AND(O59&lt;&gt;"",M59&lt;&gt;"",O59&lt;M59),CONCATENATE("-1 : ",TEXT((M59-O59)/M59,"0.00")),"—"))</f>
        <v>—</v>
      </c>
      <c r="Z59" s="30" t="str">
        <f aca="false">IF(AND(P59&lt;&gt;"",M59&lt;&gt;"",P59&gt;M59),CONCATENATE("1 : ",TEXT((P59-M59)/M59,"0.00")),"—")</f>
        <v>—</v>
      </c>
      <c r="AA59" s="31" t="str">
        <f aca="false">IF(AND(C59&lt;&gt;"",E59&lt;&gt;""),E59-C59,"")</f>
        <v/>
      </c>
      <c r="AB59" s="17"/>
      <c r="AC59" s="32"/>
      <c r="AD59" s="33"/>
      <c r="AE59" s="34" t="str">
        <f aca="false">IF(G59&lt;&gt;"",HYPERLINK("https://www.tradingview.com/chart/?symbol="&amp;G59&amp;"&amp;interval=60&amp;from="&amp;(AG59-10*3600)&amp;"&amp;to="&amp;(AG59+50*3600),"📈 1H"),"")</f>
        <v/>
      </c>
      <c r="AF59" s="35" t="str">
        <f aca="false">IF(G59&lt;&gt;"",HYPERLINK("https://www.tradingview.com/chart/?symbol="&amp;G59&amp;"&amp;interval=240&amp;from="&amp;(AG59-10*14400)&amp;"&amp;to="&amp;(AG59+50*14400),"📈 4H"),"")</f>
        <v/>
      </c>
      <c r="AG59" s="36" t="str">
        <f aca="false">IF(C59&lt;&gt;"",INT((C59+IF(D59&lt;&gt;"",D59,0)-DATE(1970,1,1))*86400),"")</f>
        <v/>
      </c>
    </row>
    <row r="60" customFormat="false" ht="19.5" hidden="false" customHeight="true" outlineLevel="0" collapsed="false">
      <c r="A60" s="37" t="n">
        <f aca="false">ROW()-4</f>
        <v>56</v>
      </c>
      <c r="B60" s="38"/>
      <c r="C60" s="39"/>
      <c r="D60" s="40"/>
      <c r="E60" s="39"/>
      <c r="F60" s="40"/>
      <c r="G60" s="41"/>
      <c r="H60" s="42"/>
      <c r="I60" s="43"/>
      <c r="J60" s="44"/>
      <c r="K60" s="39"/>
      <c r="L60" s="42"/>
      <c r="M60" s="44"/>
      <c r="N60" s="45"/>
      <c r="O60" s="44"/>
      <c r="P60" s="46"/>
      <c r="Q60" s="47" t="str">
        <f aca="false">IF(L60="","",IF(M60&lt;&gt;"",M60*L60*100,IF(AND(O60&lt;&gt;"",B60&lt;&gt;""),IFERROR(AVERAGEIF($B$5:$B$1004,B60,$M$5:$M$1004)*L60*100,""),"")))</f>
        <v/>
      </c>
      <c r="R60" s="47" t="str">
        <f aca="false">IF(AND(O60&lt;&gt;"",L60&lt;&gt;""),O60*L60*100,"")</f>
        <v/>
      </c>
      <c r="S60" s="48" t="str">
        <f aca="false">IF(AND(P60&lt;&gt;"",L60&lt;&gt;""),P60*L60*100,"")</f>
        <v/>
      </c>
      <c r="T60" s="49" t="str">
        <f aca="false">IF(AND(Q60&lt;&gt;"",R60&lt;&gt;""),R60-Q60,"")</f>
        <v/>
      </c>
      <c r="U60" s="50" t="str">
        <f aca="false">IF(AND(Q60&lt;&gt;"",Q60&lt;&gt;0,T60&lt;&gt;""),T60/Q60,"")</f>
        <v/>
      </c>
      <c r="V60" s="51" t="str">
        <f aca="false">IF(AND(S60&lt;&gt;"",Q60&lt;&gt;""),S60-Q60,"")</f>
        <v/>
      </c>
      <c r="W60" s="52" t="str">
        <f aca="false">IF(AND(Q60&lt;&gt;"",Q60&lt;&gt;0,V60&lt;&gt;""),V60/Q60,"")</f>
        <v/>
      </c>
      <c r="X60" s="53" t="s">
        <v>37</v>
      </c>
      <c r="Y60" s="54" t="str">
        <f aca="false">IF(AND(O60&lt;&gt;"",M60&lt;&gt;"",O60&gt;M60),CONCATENATE("1 : ",TEXT((O60-M60)/M60,"0.00")),IF(AND(O60&lt;&gt;"",M60&lt;&gt;"",O60&lt;M60),CONCATENATE("-1 : ",TEXT((M60-O60)/M60,"0.00")),"—"))</f>
        <v>—</v>
      </c>
      <c r="Z60" s="55" t="str">
        <f aca="false">IF(AND(P60&lt;&gt;"",M60&lt;&gt;"",P60&gt;M60),CONCATENATE("1 : ",TEXT((P60-M60)/M60,"0.00")),"—")</f>
        <v>—</v>
      </c>
      <c r="AA60" s="56" t="str">
        <f aca="false">IF(AND(C60&lt;&gt;"",E60&lt;&gt;""),E60-C60,"")</f>
        <v/>
      </c>
      <c r="AB60" s="42"/>
      <c r="AC60" s="57"/>
      <c r="AD60" s="58"/>
      <c r="AE60" s="59" t="str">
        <f aca="false">IF(G60&lt;&gt;"",HYPERLINK("https://www.tradingview.com/chart/?symbol="&amp;G60&amp;"&amp;interval=60&amp;from="&amp;(AG60-10*3600)&amp;"&amp;to="&amp;(AG60+50*3600),"📈 1H"),"")</f>
        <v/>
      </c>
      <c r="AF60" s="60" t="str">
        <f aca="false">IF(G60&lt;&gt;"",HYPERLINK("https://www.tradingview.com/chart/?symbol="&amp;G60&amp;"&amp;interval=240&amp;from="&amp;(AG60-10*14400)&amp;"&amp;to="&amp;(AG60+50*14400),"📈 4H"),"")</f>
        <v/>
      </c>
      <c r="AG60" s="36" t="str">
        <f aca="false">IF(C60&lt;&gt;"",INT((C60+IF(D60&lt;&gt;"",D60,0)-DATE(1970,1,1))*86400),"")</f>
        <v/>
      </c>
    </row>
    <row r="61" customFormat="false" ht="19.5" hidden="false" customHeight="true" outlineLevel="0" collapsed="false">
      <c r="A61" s="12" t="n">
        <f aca="false">ROW()-4</f>
        <v>57</v>
      </c>
      <c r="B61" s="13"/>
      <c r="C61" s="14"/>
      <c r="D61" s="15"/>
      <c r="E61" s="14"/>
      <c r="F61" s="15"/>
      <c r="G61" s="16"/>
      <c r="H61" s="17"/>
      <c r="I61" s="18"/>
      <c r="J61" s="19"/>
      <c r="K61" s="14"/>
      <c r="L61" s="17"/>
      <c r="M61" s="19"/>
      <c r="N61" s="20"/>
      <c r="O61" s="19"/>
      <c r="P61" s="21"/>
      <c r="Q61" s="22" t="str">
        <f aca="false">IF(L61="","",IF(M61&lt;&gt;"",M61*L61*100,IF(AND(O61&lt;&gt;"",B61&lt;&gt;""),IFERROR(AVERAGEIF($B$5:$B$1004,B61,$M$5:$M$1004)*L61*100,""),"")))</f>
        <v/>
      </c>
      <c r="R61" s="22" t="str">
        <f aca="false">IF(AND(O61&lt;&gt;"",L61&lt;&gt;""),O61*L61*100,"")</f>
        <v/>
      </c>
      <c r="S61" s="23" t="str">
        <f aca="false">IF(AND(P61&lt;&gt;"",L61&lt;&gt;""),P61*L61*100,"")</f>
        <v/>
      </c>
      <c r="T61" s="24" t="str">
        <f aca="false">IF(AND(Q61&lt;&gt;"",R61&lt;&gt;""),R61-Q61,"")</f>
        <v/>
      </c>
      <c r="U61" s="25" t="str">
        <f aca="false">IF(AND(Q61&lt;&gt;"",Q61&lt;&gt;0,T61&lt;&gt;""),T61/Q61,"")</f>
        <v/>
      </c>
      <c r="V61" s="26" t="str">
        <f aca="false">IF(AND(S61&lt;&gt;"",Q61&lt;&gt;""),S61-Q61,"")</f>
        <v/>
      </c>
      <c r="W61" s="27" t="str">
        <f aca="false">IF(AND(Q61&lt;&gt;"",Q61&lt;&gt;0,V61&lt;&gt;""),V61/Q61,"")</f>
        <v/>
      </c>
      <c r="X61" s="28" t="s">
        <v>37</v>
      </c>
      <c r="Y61" s="29" t="str">
        <f aca="false">IF(AND(O61&lt;&gt;"",M61&lt;&gt;"",O61&gt;M61),CONCATENATE("1 : ",TEXT((O61-M61)/M61,"0.00")),IF(AND(O61&lt;&gt;"",M61&lt;&gt;"",O61&lt;M61),CONCATENATE("-1 : ",TEXT((M61-O61)/M61,"0.00")),"—"))</f>
        <v>—</v>
      </c>
      <c r="Z61" s="30" t="str">
        <f aca="false">IF(AND(P61&lt;&gt;"",M61&lt;&gt;"",P61&gt;M61),CONCATENATE("1 : ",TEXT((P61-M61)/M61,"0.00")),"—")</f>
        <v>—</v>
      </c>
      <c r="AA61" s="31" t="str">
        <f aca="false">IF(AND(C61&lt;&gt;"",E61&lt;&gt;""),E61-C61,"")</f>
        <v/>
      </c>
      <c r="AB61" s="17"/>
      <c r="AC61" s="32"/>
      <c r="AD61" s="33"/>
      <c r="AE61" s="34" t="str">
        <f aca="false">IF(G61&lt;&gt;"",HYPERLINK("https://www.tradingview.com/chart/?symbol="&amp;G61&amp;"&amp;interval=60&amp;from="&amp;(AG61-10*3600)&amp;"&amp;to="&amp;(AG61+50*3600),"📈 1H"),"")</f>
        <v/>
      </c>
      <c r="AF61" s="35" t="str">
        <f aca="false">IF(G61&lt;&gt;"",HYPERLINK("https://www.tradingview.com/chart/?symbol="&amp;G61&amp;"&amp;interval=240&amp;from="&amp;(AG61-10*14400)&amp;"&amp;to="&amp;(AG61+50*14400),"📈 4H"),"")</f>
        <v/>
      </c>
      <c r="AG61" s="36" t="str">
        <f aca="false">IF(C61&lt;&gt;"",INT((C61+IF(D61&lt;&gt;"",D61,0)-DATE(1970,1,1))*86400),"")</f>
        <v/>
      </c>
    </row>
    <row r="62" customFormat="false" ht="19.5" hidden="false" customHeight="true" outlineLevel="0" collapsed="false">
      <c r="A62" s="37" t="n">
        <f aca="false">ROW()-4</f>
        <v>58</v>
      </c>
      <c r="B62" s="38"/>
      <c r="C62" s="39"/>
      <c r="D62" s="40"/>
      <c r="E62" s="39"/>
      <c r="F62" s="40"/>
      <c r="G62" s="41"/>
      <c r="H62" s="42"/>
      <c r="I62" s="43"/>
      <c r="J62" s="44"/>
      <c r="K62" s="39"/>
      <c r="L62" s="42"/>
      <c r="M62" s="44"/>
      <c r="N62" s="45"/>
      <c r="O62" s="44"/>
      <c r="P62" s="46"/>
      <c r="Q62" s="47" t="str">
        <f aca="false">IF(L62="","",IF(M62&lt;&gt;"",M62*L62*100,IF(AND(O62&lt;&gt;"",B62&lt;&gt;""),IFERROR(AVERAGEIF($B$5:$B$1004,B62,$M$5:$M$1004)*L62*100,""),"")))</f>
        <v/>
      </c>
      <c r="R62" s="47" t="str">
        <f aca="false">IF(AND(O62&lt;&gt;"",L62&lt;&gt;""),O62*L62*100,"")</f>
        <v/>
      </c>
      <c r="S62" s="48" t="str">
        <f aca="false">IF(AND(P62&lt;&gt;"",L62&lt;&gt;""),P62*L62*100,"")</f>
        <v/>
      </c>
      <c r="T62" s="49" t="str">
        <f aca="false">IF(AND(Q62&lt;&gt;"",R62&lt;&gt;""),R62-Q62,"")</f>
        <v/>
      </c>
      <c r="U62" s="50" t="str">
        <f aca="false">IF(AND(Q62&lt;&gt;"",Q62&lt;&gt;0,T62&lt;&gt;""),T62/Q62,"")</f>
        <v/>
      </c>
      <c r="V62" s="51" t="str">
        <f aca="false">IF(AND(S62&lt;&gt;"",Q62&lt;&gt;""),S62-Q62,"")</f>
        <v/>
      </c>
      <c r="W62" s="52" t="str">
        <f aca="false">IF(AND(Q62&lt;&gt;"",Q62&lt;&gt;0,V62&lt;&gt;""),V62/Q62,"")</f>
        <v/>
      </c>
      <c r="X62" s="53" t="s">
        <v>37</v>
      </c>
      <c r="Y62" s="54" t="str">
        <f aca="false">IF(AND(O62&lt;&gt;"",M62&lt;&gt;"",O62&gt;M62),CONCATENATE("1 : ",TEXT((O62-M62)/M62,"0.00")),IF(AND(O62&lt;&gt;"",M62&lt;&gt;"",O62&lt;M62),CONCATENATE("-1 : ",TEXT((M62-O62)/M62,"0.00")),"—"))</f>
        <v>—</v>
      </c>
      <c r="Z62" s="55" t="str">
        <f aca="false">IF(AND(P62&lt;&gt;"",M62&lt;&gt;"",P62&gt;M62),CONCATENATE("1 : ",TEXT((P62-M62)/M62,"0.00")),"—")</f>
        <v>—</v>
      </c>
      <c r="AA62" s="56" t="str">
        <f aca="false">IF(AND(C62&lt;&gt;"",E62&lt;&gt;""),E62-C62,"")</f>
        <v/>
      </c>
      <c r="AB62" s="42"/>
      <c r="AC62" s="57"/>
      <c r="AD62" s="58"/>
      <c r="AE62" s="59" t="str">
        <f aca="false">IF(G62&lt;&gt;"",HYPERLINK("https://www.tradingview.com/chart/?symbol="&amp;G62&amp;"&amp;interval=60&amp;from="&amp;(AG62-10*3600)&amp;"&amp;to="&amp;(AG62+50*3600),"📈 1H"),"")</f>
        <v/>
      </c>
      <c r="AF62" s="60" t="str">
        <f aca="false">IF(G62&lt;&gt;"",HYPERLINK("https://www.tradingview.com/chart/?symbol="&amp;G62&amp;"&amp;interval=240&amp;from="&amp;(AG62-10*14400)&amp;"&amp;to="&amp;(AG62+50*14400),"📈 4H"),"")</f>
        <v/>
      </c>
      <c r="AG62" s="36" t="str">
        <f aca="false">IF(C62&lt;&gt;"",INT((C62+IF(D62&lt;&gt;"",D62,0)-DATE(1970,1,1))*86400),"")</f>
        <v/>
      </c>
    </row>
    <row r="63" customFormat="false" ht="19.5" hidden="false" customHeight="true" outlineLevel="0" collapsed="false">
      <c r="A63" s="12" t="n">
        <f aca="false">ROW()-4</f>
        <v>59</v>
      </c>
      <c r="B63" s="13"/>
      <c r="C63" s="14"/>
      <c r="D63" s="15"/>
      <c r="E63" s="14"/>
      <c r="F63" s="15"/>
      <c r="G63" s="16"/>
      <c r="H63" s="17"/>
      <c r="I63" s="18"/>
      <c r="J63" s="19"/>
      <c r="K63" s="14"/>
      <c r="L63" s="17"/>
      <c r="M63" s="19"/>
      <c r="N63" s="20"/>
      <c r="O63" s="19"/>
      <c r="P63" s="21"/>
      <c r="Q63" s="22" t="str">
        <f aca="false">IF(L63="","",IF(M63&lt;&gt;"",M63*L63*100,IF(AND(O63&lt;&gt;"",B63&lt;&gt;""),IFERROR(AVERAGEIF($B$5:$B$1004,B63,$M$5:$M$1004)*L63*100,""),"")))</f>
        <v/>
      </c>
      <c r="R63" s="22" t="str">
        <f aca="false">IF(AND(O63&lt;&gt;"",L63&lt;&gt;""),O63*L63*100,"")</f>
        <v/>
      </c>
      <c r="S63" s="23" t="str">
        <f aca="false">IF(AND(P63&lt;&gt;"",L63&lt;&gt;""),P63*L63*100,"")</f>
        <v/>
      </c>
      <c r="T63" s="24" t="str">
        <f aca="false">IF(AND(Q63&lt;&gt;"",R63&lt;&gt;""),R63-Q63,"")</f>
        <v/>
      </c>
      <c r="U63" s="25" t="str">
        <f aca="false">IF(AND(Q63&lt;&gt;"",Q63&lt;&gt;0,T63&lt;&gt;""),T63/Q63,"")</f>
        <v/>
      </c>
      <c r="V63" s="26" t="str">
        <f aca="false">IF(AND(S63&lt;&gt;"",Q63&lt;&gt;""),S63-Q63,"")</f>
        <v/>
      </c>
      <c r="W63" s="27" t="str">
        <f aca="false">IF(AND(Q63&lt;&gt;"",Q63&lt;&gt;0,V63&lt;&gt;""),V63/Q63,"")</f>
        <v/>
      </c>
      <c r="X63" s="28" t="s">
        <v>37</v>
      </c>
      <c r="Y63" s="29" t="str">
        <f aca="false">IF(AND(O63&lt;&gt;"",M63&lt;&gt;"",O63&gt;M63),CONCATENATE("1 : ",TEXT((O63-M63)/M63,"0.00")),IF(AND(O63&lt;&gt;"",M63&lt;&gt;"",O63&lt;M63),CONCATENATE("-1 : ",TEXT((M63-O63)/M63,"0.00")),"—"))</f>
        <v>—</v>
      </c>
      <c r="Z63" s="30" t="str">
        <f aca="false">IF(AND(P63&lt;&gt;"",M63&lt;&gt;"",P63&gt;M63),CONCATENATE("1 : ",TEXT((P63-M63)/M63,"0.00")),"—")</f>
        <v>—</v>
      </c>
      <c r="AA63" s="31" t="str">
        <f aca="false">IF(AND(C63&lt;&gt;"",E63&lt;&gt;""),E63-C63,"")</f>
        <v/>
      </c>
      <c r="AB63" s="17"/>
      <c r="AC63" s="32"/>
      <c r="AD63" s="33"/>
      <c r="AE63" s="34" t="str">
        <f aca="false">IF(G63&lt;&gt;"",HYPERLINK("https://www.tradingview.com/chart/?symbol="&amp;G63&amp;"&amp;interval=60&amp;from="&amp;(AG63-10*3600)&amp;"&amp;to="&amp;(AG63+50*3600),"📈 1H"),"")</f>
        <v/>
      </c>
      <c r="AF63" s="35" t="str">
        <f aca="false">IF(G63&lt;&gt;"",HYPERLINK("https://www.tradingview.com/chart/?symbol="&amp;G63&amp;"&amp;interval=240&amp;from="&amp;(AG63-10*14400)&amp;"&amp;to="&amp;(AG63+50*14400),"📈 4H"),"")</f>
        <v/>
      </c>
      <c r="AG63" s="36" t="str">
        <f aca="false">IF(C63&lt;&gt;"",INT((C63+IF(D63&lt;&gt;"",D63,0)-DATE(1970,1,1))*86400),"")</f>
        <v/>
      </c>
    </row>
    <row r="64" customFormat="false" ht="19.5" hidden="false" customHeight="true" outlineLevel="0" collapsed="false">
      <c r="A64" s="37" t="n">
        <f aca="false">ROW()-4</f>
        <v>60</v>
      </c>
      <c r="B64" s="38"/>
      <c r="C64" s="39"/>
      <c r="D64" s="40"/>
      <c r="E64" s="39"/>
      <c r="F64" s="40"/>
      <c r="G64" s="41"/>
      <c r="H64" s="42"/>
      <c r="I64" s="43"/>
      <c r="J64" s="44"/>
      <c r="K64" s="39"/>
      <c r="L64" s="42"/>
      <c r="M64" s="44"/>
      <c r="N64" s="45"/>
      <c r="O64" s="44"/>
      <c r="P64" s="46"/>
      <c r="Q64" s="47" t="str">
        <f aca="false">IF(L64="","",IF(M64&lt;&gt;"",M64*L64*100,IF(AND(O64&lt;&gt;"",B64&lt;&gt;""),IFERROR(AVERAGEIF($B$5:$B$1004,B64,$M$5:$M$1004)*L64*100,""),"")))</f>
        <v/>
      </c>
      <c r="R64" s="47" t="str">
        <f aca="false">IF(AND(O64&lt;&gt;"",L64&lt;&gt;""),O64*L64*100,"")</f>
        <v/>
      </c>
      <c r="S64" s="48" t="str">
        <f aca="false">IF(AND(P64&lt;&gt;"",L64&lt;&gt;""),P64*L64*100,"")</f>
        <v/>
      </c>
      <c r="T64" s="49" t="str">
        <f aca="false">IF(AND(Q64&lt;&gt;"",R64&lt;&gt;""),R64-Q64,"")</f>
        <v/>
      </c>
      <c r="U64" s="50" t="str">
        <f aca="false">IF(AND(Q64&lt;&gt;"",Q64&lt;&gt;0,T64&lt;&gt;""),T64/Q64,"")</f>
        <v/>
      </c>
      <c r="V64" s="51" t="str">
        <f aca="false">IF(AND(S64&lt;&gt;"",Q64&lt;&gt;""),S64-Q64,"")</f>
        <v/>
      </c>
      <c r="W64" s="52" t="str">
        <f aca="false">IF(AND(Q64&lt;&gt;"",Q64&lt;&gt;0,V64&lt;&gt;""),V64/Q64,"")</f>
        <v/>
      </c>
      <c r="X64" s="53" t="s">
        <v>37</v>
      </c>
      <c r="Y64" s="54" t="str">
        <f aca="false">IF(AND(O64&lt;&gt;"",M64&lt;&gt;"",O64&gt;M64),CONCATENATE("1 : ",TEXT((O64-M64)/M64,"0.00")),IF(AND(O64&lt;&gt;"",M64&lt;&gt;"",O64&lt;M64),CONCATENATE("-1 : ",TEXT((M64-O64)/M64,"0.00")),"—"))</f>
        <v>—</v>
      </c>
      <c r="Z64" s="55" t="str">
        <f aca="false">IF(AND(P64&lt;&gt;"",M64&lt;&gt;"",P64&gt;M64),CONCATENATE("1 : ",TEXT((P64-M64)/M64,"0.00")),"—")</f>
        <v>—</v>
      </c>
      <c r="AA64" s="56" t="str">
        <f aca="false">IF(AND(C64&lt;&gt;"",E64&lt;&gt;""),E64-C64,"")</f>
        <v/>
      </c>
      <c r="AB64" s="42"/>
      <c r="AC64" s="57"/>
      <c r="AD64" s="58"/>
      <c r="AE64" s="59" t="str">
        <f aca="false">IF(G64&lt;&gt;"",HYPERLINK("https://www.tradingview.com/chart/?symbol="&amp;G64&amp;"&amp;interval=60&amp;from="&amp;(AG64-10*3600)&amp;"&amp;to="&amp;(AG64+50*3600),"📈 1H"),"")</f>
        <v/>
      </c>
      <c r="AF64" s="60" t="str">
        <f aca="false">IF(G64&lt;&gt;"",HYPERLINK("https://www.tradingview.com/chart/?symbol="&amp;G64&amp;"&amp;interval=240&amp;from="&amp;(AG64-10*14400)&amp;"&amp;to="&amp;(AG64+50*14400),"📈 4H"),"")</f>
        <v/>
      </c>
      <c r="AG64" s="36" t="str">
        <f aca="false">IF(C64&lt;&gt;"",INT((C64+IF(D64&lt;&gt;"",D64,0)-DATE(1970,1,1))*86400),"")</f>
        <v/>
      </c>
    </row>
    <row r="65" customFormat="false" ht="19.5" hidden="false" customHeight="true" outlineLevel="0" collapsed="false">
      <c r="A65" s="12" t="n">
        <f aca="false">ROW()-4</f>
        <v>61</v>
      </c>
      <c r="B65" s="13"/>
      <c r="C65" s="14"/>
      <c r="D65" s="15"/>
      <c r="E65" s="14"/>
      <c r="F65" s="15"/>
      <c r="G65" s="16"/>
      <c r="H65" s="17"/>
      <c r="I65" s="18"/>
      <c r="J65" s="19"/>
      <c r="K65" s="14"/>
      <c r="L65" s="17"/>
      <c r="M65" s="19"/>
      <c r="N65" s="20"/>
      <c r="O65" s="19"/>
      <c r="P65" s="21"/>
      <c r="Q65" s="22" t="str">
        <f aca="false">IF(L65="","",IF(M65&lt;&gt;"",M65*L65*100,IF(AND(O65&lt;&gt;"",B65&lt;&gt;""),IFERROR(AVERAGEIF($B$5:$B$1004,B65,$M$5:$M$1004)*L65*100,""),"")))</f>
        <v/>
      </c>
      <c r="R65" s="22" t="str">
        <f aca="false">IF(AND(O65&lt;&gt;"",L65&lt;&gt;""),O65*L65*100,"")</f>
        <v/>
      </c>
      <c r="S65" s="23" t="str">
        <f aca="false">IF(AND(P65&lt;&gt;"",L65&lt;&gt;""),P65*L65*100,"")</f>
        <v/>
      </c>
      <c r="T65" s="24" t="str">
        <f aca="false">IF(AND(Q65&lt;&gt;"",R65&lt;&gt;""),R65-Q65,"")</f>
        <v/>
      </c>
      <c r="U65" s="25" t="str">
        <f aca="false">IF(AND(Q65&lt;&gt;"",Q65&lt;&gt;0,T65&lt;&gt;""),T65/Q65,"")</f>
        <v/>
      </c>
      <c r="V65" s="26" t="str">
        <f aca="false">IF(AND(S65&lt;&gt;"",Q65&lt;&gt;""),S65-Q65,"")</f>
        <v/>
      </c>
      <c r="W65" s="27" t="str">
        <f aca="false">IF(AND(Q65&lt;&gt;"",Q65&lt;&gt;0,V65&lt;&gt;""),V65/Q65,"")</f>
        <v/>
      </c>
      <c r="X65" s="28" t="s">
        <v>37</v>
      </c>
      <c r="Y65" s="29" t="str">
        <f aca="false">IF(AND(O65&lt;&gt;"",M65&lt;&gt;"",O65&gt;M65),CONCATENATE("1 : ",TEXT((O65-M65)/M65,"0.00")),IF(AND(O65&lt;&gt;"",M65&lt;&gt;"",O65&lt;M65),CONCATENATE("-1 : ",TEXT((M65-O65)/M65,"0.00")),"—"))</f>
        <v>—</v>
      </c>
      <c r="Z65" s="30" t="str">
        <f aca="false">IF(AND(P65&lt;&gt;"",M65&lt;&gt;"",P65&gt;M65),CONCATENATE("1 : ",TEXT((P65-M65)/M65,"0.00")),"—")</f>
        <v>—</v>
      </c>
      <c r="AA65" s="31" t="str">
        <f aca="false">IF(AND(C65&lt;&gt;"",E65&lt;&gt;""),E65-C65,"")</f>
        <v/>
      </c>
      <c r="AB65" s="17"/>
      <c r="AC65" s="32"/>
      <c r="AD65" s="33"/>
      <c r="AE65" s="34" t="str">
        <f aca="false">IF(G65&lt;&gt;"",HYPERLINK("https://www.tradingview.com/chart/?symbol="&amp;G65&amp;"&amp;interval=60&amp;from="&amp;(AG65-10*3600)&amp;"&amp;to="&amp;(AG65+50*3600),"📈 1H"),"")</f>
        <v/>
      </c>
      <c r="AF65" s="35" t="str">
        <f aca="false">IF(G65&lt;&gt;"",HYPERLINK("https://www.tradingview.com/chart/?symbol="&amp;G65&amp;"&amp;interval=240&amp;from="&amp;(AG65-10*14400)&amp;"&amp;to="&amp;(AG65+50*14400),"📈 4H"),"")</f>
        <v/>
      </c>
      <c r="AG65" s="36" t="str">
        <f aca="false">IF(C65&lt;&gt;"",INT((C65+IF(D65&lt;&gt;"",D65,0)-DATE(1970,1,1))*86400),"")</f>
        <v/>
      </c>
    </row>
    <row r="66" customFormat="false" ht="19.5" hidden="false" customHeight="true" outlineLevel="0" collapsed="false">
      <c r="A66" s="37" t="n">
        <f aca="false">ROW()-4</f>
        <v>62</v>
      </c>
      <c r="B66" s="38"/>
      <c r="C66" s="39"/>
      <c r="D66" s="40"/>
      <c r="E66" s="39"/>
      <c r="F66" s="40"/>
      <c r="G66" s="41"/>
      <c r="H66" s="42"/>
      <c r="I66" s="43"/>
      <c r="J66" s="44"/>
      <c r="K66" s="39"/>
      <c r="L66" s="42"/>
      <c r="M66" s="44"/>
      <c r="N66" s="45"/>
      <c r="O66" s="44"/>
      <c r="P66" s="46"/>
      <c r="Q66" s="47" t="str">
        <f aca="false">IF(L66="","",IF(M66&lt;&gt;"",M66*L66*100,IF(AND(O66&lt;&gt;"",B66&lt;&gt;""),IFERROR(AVERAGEIF($B$5:$B$1004,B66,$M$5:$M$1004)*L66*100,""),"")))</f>
        <v/>
      </c>
      <c r="R66" s="47" t="str">
        <f aca="false">IF(AND(O66&lt;&gt;"",L66&lt;&gt;""),O66*L66*100,"")</f>
        <v/>
      </c>
      <c r="S66" s="48" t="str">
        <f aca="false">IF(AND(P66&lt;&gt;"",L66&lt;&gt;""),P66*L66*100,"")</f>
        <v/>
      </c>
      <c r="T66" s="49" t="str">
        <f aca="false">IF(AND(Q66&lt;&gt;"",R66&lt;&gt;""),R66-Q66,"")</f>
        <v/>
      </c>
      <c r="U66" s="50" t="str">
        <f aca="false">IF(AND(Q66&lt;&gt;"",Q66&lt;&gt;0,T66&lt;&gt;""),T66/Q66,"")</f>
        <v/>
      </c>
      <c r="V66" s="51" t="str">
        <f aca="false">IF(AND(S66&lt;&gt;"",Q66&lt;&gt;""),S66-Q66,"")</f>
        <v/>
      </c>
      <c r="W66" s="52" t="str">
        <f aca="false">IF(AND(Q66&lt;&gt;"",Q66&lt;&gt;0,V66&lt;&gt;""),V66/Q66,"")</f>
        <v/>
      </c>
      <c r="X66" s="53" t="s">
        <v>37</v>
      </c>
      <c r="Y66" s="54" t="str">
        <f aca="false">IF(AND(O66&lt;&gt;"",M66&lt;&gt;"",O66&gt;M66),CONCATENATE("1 : ",TEXT((O66-M66)/M66,"0.00")),IF(AND(O66&lt;&gt;"",M66&lt;&gt;"",O66&lt;M66),CONCATENATE("-1 : ",TEXT((M66-O66)/M66,"0.00")),"—"))</f>
        <v>—</v>
      </c>
      <c r="Z66" s="55" t="str">
        <f aca="false">IF(AND(P66&lt;&gt;"",M66&lt;&gt;"",P66&gt;M66),CONCATENATE("1 : ",TEXT((P66-M66)/M66,"0.00")),"—")</f>
        <v>—</v>
      </c>
      <c r="AA66" s="56" t="str">
        <f aca="false">IF(AND(C66&lt;&gt;"",E66&lt;&gt;""),E66-C66,"")</f>
        <v/>
      </c>
      <c r="AB66" s="42"/>
      <c r="AC66" s="57"/>
      <c r="AD66" s="58"/>
      <c r="AE66" s="59" t="str">
        <f aca="false">IF(G66&lt;&gt;"",HYPERLINK("https://www.tradingview.com/chart/?symbol="&amp;G66&amp;"&amp;interval=60&amp;from="&amp;(AG66-10*3600)&amp;"&amp;to="&amp;(AG66+50*3600),"📈 1H"),"")</f>
        <v/>
      </c>
      <c r="AF66" s="60" t="str">
        <f aca="false">IF(G66&lt;&gt;"",HYPERLINK("https://www.tradingview.com/chart/?symbol="&amp;G66&amp;"&amp;interval=240&amp;from="&amp;(AG66-10*14400)&amp;"&amp;to="&amp;(AG66+50*14400),"📈 4H"),"")</f>
        <v/>
      </c>
      <c r="AG66" s="36" t="str">
        <f aca="false">IF(C66&lt;&gt;"",INT((C66+IF(D66&lt;&gt;"",D66,0)-DATE(1970,1,1))*86400),"")</f>
        <v/>
      </c>
    </row>
    <row r="67" customFormat="false" ht="19.5" hidden="false" customHeight="true" outlineLevel="0" collapsed="false">
      <c r="A67" s="12" t="n">
        <f aca="false">ROW()-4</f>
        <v>63</v>
      </c>
      <c r="B67" s="13"/>
      <c r="C67" s="14"/>
      <c r="D67" s="15"/>
      <c r="E67" s="14"/>
      <c r="F67" s="15"/>
      <c r="G67" s="16"/>
      <c r="H67" s="17"/>
      <c r="I67" s="18"/>
      <c r="J67" s="19"/>
      <c r="K67" s="14"/>
      <c r="L67" s="17"/>
      <c r="M67" s="19"/>
      <c r="N67" s="20"/>
      <c r="O67" s="19"/>
      <c r="P67" s="21"/>
      <c r="Q67" s="22" t="str">
        <f aca="false">IF(L67="","",IF(M67&lt;&gt;"",M67*L67*100,IF(AND(O67&lt;&gt;"",B67&lt;&gt;""),IFERROR(AVERAGEIF($B$5:$B$1004,B67,$M$5:$M$1004)*L67*100,""),"")))</f>
        <v/>
      </c>
      <c r="R67" s="22" t="str">
        <f aca="false">IF(AND(O67&lt;&gt;"",L67&lt;&gt;""),O67*L67*100,"")</f>
        <v/>
      </c>
      <c r="S67" s="23" t="str">
        <f aca="false">IF(AND(P67&lt;&gt;"",L67&lt;&gt;""),P67*L67*100,"")</f>
        <v/>
      </c>
      <c r="T67" s="24" t="str">
        <f aca="false">IF(AND(Q67&lt;&gt;"",R67&lt;&gt;""),R67-Q67,"")</f>
        <v/>
      </c>
      <c r="U67" s="25" t="str">
        <f aca="false">IF(AND(Q67&lt;&gt;"",Q67&lt;&gt;0,T67&lt;&gt;""),T67/Q67,"")</f>
        <v/>
      </c>
      <c r="V67" s="26" t="str">
        <f aca="false">IF(AND(S67&lt;&gt;"",Q67&lt;&gt;""),S67-Q67,"")</f>
        <v/>
      </c>
      <c r="W67" s="27" t="str">
        <f aca="false">IF(AND(Q67&lt;&gt;"",Q67&lt;&gt;0,V67&lt;&gt;""),V67/Q67,"")</f>
        <v/>
      </c>
      <c r="X67" s="28" t="s">
        <v>37</v>
      </c>
      <c r="Y67" s="29" t="str">
        <f aca="false">IF(AND(O67&lt;&gt;"",M67&lt;&gt;"",O67&gt;M67),CONCATENATE("1 : ",TEXT((O67-M67)/M67,"0.00")),IF(AND(O67&lt;&gt;"",M67&lt;&gt;"",O67&lt;M67),CONCATENATE("-1 : ",TEXT((M67-O67)/M67,"0.00")),"—"))</f>
        <v>—</v>
      </c>
      <c r="Z67" s="30" t="str">
        <f aca="false">IF(AND(P67&lt;&gt;"",M67&lt;&gt;"",P67&gt;M67),CONCATENATE("1 : ",TEXT((P67-M67)/M67,"0.00")),"—")</f>
        <v>—</v>
      </c>
      <c r="AA67" s="31" t="str">
        <f aca="false">IF(AND(C67&lt;&gt;"",E67&lt;&gt;""),E67-C67,"")</f>
        <v/>
      </c>
      <c r="AB67" s="17"/>
      <c r="AC67" s="32"/>
      <c r="AD67" s="33"/>
      <c r="AE67" s="34" t="str">
        <f aca="false">IF(G67&lt;&gt;"",HYPERLINK("https://www.tradingview.com/chart/?symbol="&amp;G67&amp;"&amp;interval=60&amp;from="&amp;(AG67-10*3600)&amp;"&amp;to="&amp;(AG67+50*3600),"📈 1H"),"")</f>
        <v/>
      </c>
      <c r="AF67" s="35" t="str">
        <f aca="false">IF(G67&lt;&gt;"",HYPERLINK("https://www.tradingview.com/chart/?symbol="&amp;G67&amp;"&amp;interval=240&amp;from="&amp;(AG67-10*14400)&amp;"&amp;to="&amp;(AG67+50*14400),"📈 4H"),"")</f>
        <v/>
      </c>
      <c r="AG67" s="36" t="str">
        <f aca="false">IF(C67&lt;&gt;"",INT((C67+IF(D67&lt;&gt;"",D67,0)-DATE(1970,1,1))*86400),"")</f>
        <v/>
      </c>
    </row>
    <row r="68" customFormat="false" ht="19.5" hidden="false" customHeight="true" outlineLevel="0" collapsed="false">
      <c r="A68" s="37" t="n">
        <f aca="false">ROW()-4</f>
        <v>64</v>
      </c>
      <c r="B68" s="38"/>
      <c r="C68" s="39"/>
      <c r="D68" s="40"/>
      <c r="E68" s="39"/>
      <c r="F68" s="40"/>
      <c r="G68" s="41"/>
      <c r="H68" s="42"/>
      <c r="I68" s="43"/>
      <c r="J68" s="44"/>
      <c r="K68" s="39"/>
      <c r="L68" s="42"/>
      <c r="M68" s="44"/>
      <c r="N68" s="45"/>
      <c r="O68" s="44"/>
      <c r="P68" s="46"/>
      <c r="Q68" s="47" t="str">
        <f aca="false">IF(L68="","",IF(M68&lt;&gt;"",M68*L68*100,IF(AND(O68&lt;&gt;"",B68&lt;&gt;""),IFERROR(AVERAGEIF($B$5:$B$1004,B68,$M$5:$M$1004)*L68*100,""),"")))</f>
        <v/>
      </c>
      <c r="R68" s="47" t="str">
        <f aca="false">IF(AND(O68&lt;&gt;"",L68&lt;&gt;""),O68*L68*100,"")</f>
        <v/>
      </c>
      <c r="S68" s="48" t="str">
        <f aca="false">IF(AND(P68&lt;&gt;"",L68&lt;&gt;""),P68*L68*100,"")</f>
        <v/>
      </c>
      <c r="T68" s="49" t="str">
        <f aca="false">IF(AND(Q68&lt;&gt;"",R68&lt;&gt;""),R68-Q68,"")</f>
        <v/>
      </c>
      <c r="U68" s="50" t="str">
        <f aca="false">IF(AND(Q68&lt;&gt;"",Q68&lt;&gt;0,T68&lt;&gt;""),T68/Q68,"")</f>
        <v/>
      </c>
      <c r="V68" s="51" t="str">
        <f aca="false">IF(AND(S68&lt;&gt;"",Q68&lt;&gt;""),S68-Q68,"")</f>
        <v/>
      </c>
      <c r="W68" s="52" t="str">
        <f aca="false">IF(AND(Q68&lt;&gt;"",Q68&lt;&gt;0,V68&lt;&gt;""),V68/Q68,"")</f>
        <v/>
      </c>
      <c r="X68" s="53" t="s">
        <v>37</v>
      </c>
      <c r="Y68" s="54" t="str">
        <f aca="false">IF(AND(O68&lt;&gt;"",M68&lt;&gt;"",O68&gt;M68),CONCATENATE("1 : ",TEXT((O68-M68)/M68,"0.00")),IF(AND(O68&lt;&gt;"",M68&lt;&gt;"",O68&lt;M68),CONCATENATE("-1 : ",TEXT((M68-O68)/M68,"0.00")),"—"))</f>
        <v>—</v>
      </c>
      <c r="Z68" s="55" t="str">
        <f aca="false">IF(AND(P68&lt;&gt;"",M68&lt;&gt;"",P68&gt;M68),CONCATENATE("1 : ",TEXT((P68-M68)/M68,"0.00")),"—")</f>
        <v>—</v>
      </c>
      <c r="AA68" s="56" t="str">
        <f aca="false">IF(AND(C68&lt;&gt;"",E68&lt;&gt;""),E68-C68,"")</f>
        <v/>
      </c>
      <c r="AB68" s="42"/>
      <c r="AC68" s="57"/>
      <c r="AD68" s="58"/>
      <c r="AE68" s="59" t="str">
        <f aca="false">IF(G68&lt;&gt;"",HYPERLINK("https://www.tradingview.com/chart/?symbol="&amp;G68&amp;"&amp;interval=60&amp;from="&amp;(AG68-10*3600)&amp;"&amp;to="&amp;(AG68+50*3600),"📈 1H"),"")</f>
        <v/>
      </c>
      <c r="AF68" s="60" t="str">
        <f aca="false">IF(G68&lt;&gt;"",HYPERLINK("https://www.tradingview.com/chart/?symbol="&amp;G68&amp;"&amp;interval=240&amp;from="&amp;(AG68-10*14400)&amp;"&amp;to="&amp;(AG68+50*14400),"📈 4H"),"")</f>
        <v/>
      </c>
      <c r="AG68" s="36" t="str">
        <f aca="false">IF(C68&lt;&gt;"",INT((C68+IF(D68&lt;&gt;"",D68,0)-DATE(1970,1,1))*86400),"")</f>
        <v/>
      </c>
    </row>
    <row r="69" customFormat="false" ht="19.5" hidden="false" customHeight="true" outlineLevel="0" collapsed="false">
      <c r="A69" s="12" t="n">
        <f aca="false">ROW()-4</f>
        <v>65</v>
      </c>
      <c r="B69" s="13"/>
      <c r="C69" s="14"/>
      <c r="D69" s="15"/>
      <c r="E69" s="14"/>
      <c r="F69" s="15"/>
      <c r="G69" s="16"/>
      <c r="H69" s="17"/>
      <c r="I69" s="18"/>
      <c r="J69" s="19"/>
      <c r="K69" s="14"/>
      <c r="L69" s="17"/>
      <c r="M69" s="19"/>
      <c r="N69" s="20"/>
      <c r="O69" s="19"/>
      <c r="P69" s="21"/>
      <c r="Q69" s="22" t="str">
        <f aca="false">IF(L69="","",IF(M69&lt;&gt;"",M69*L69*100,IF(AND(O69&lt;&gt;"",B69&lt;&gt;""),IFERROR(AVERAGEIF($B$5:$B$1004,B69,$M$5:$M$1004)*L69*100,""),"")))</f>
        <v/>
      </c>
      <c r="R69" s="22" t="str">
        <f aca="false">IF(AND(O69&lt;&gt;"",L69&lt;&gt;""),O69*L69*100,"")</f>
        <v/>
      </c>
      <c r="S69" s="23" t="str">
        <f aca="false">IF(AND(P69&lt;&gt;"",L69&lt;&gt;""),P69*L69*100,"")</f>
        <v/>
      </c>
      <c r="T69" s="24" t="str">
        <f aca="false">IF(AND(Q69&lt;&gt;"",R69&lt;&gt;""),R69-Q69,"")</f>
        <v/>
      </c>
      <c r="U69" s="25" t="str">
        <f aca="false">IF(AND(Q69&lt;&gt;"",Q69&lt;&gt;0,T69&lt;&gt;""),T69/Q69,"")</f>
        <v/>
      </c>
      <c r="V69" s="26" t="str">
        <f aca="false">IF(AND(S69&lt;&gt;"",Q69&lt;&gt;""),S69-Q69,"")</f>
        <v/>
      </c>
      <c r="W69" s="27" t="str">
        <f aca="false">IF(AND(Q69&lt;&gt;"",Q69&lt;&gt;0,V69&lt;&gt;""),V69/Q69,"")</f>
        <v/>
      </c>
      <c r="X69" s="28" t="s">
        <v>37</v>
      </c>
      <c r="Y69" s="29" t="str">
        <f aca="false">IF(AND(O69&lt;&gt;"",M69&lt;&gt;"",O69&gt;M69),CONCATENATE("1 : ",TEXT((O69-M69)/M69,"0.00")),IF(AND(O69&lt;&gt;"",M69&lt;&gt;"",O69&lt;M69),CONCATENATE("-1 : ",TEXT((M69-O69)/M69,"0.00")),"—"))</f>
        <v>—</v>
      </c>
      <c r="Z69" s="30" t="str">
        <f aca="false">IF(AND(P69&lt;&gt;"",M69&lt;&gt;"",P69&gt;M69),CONCATENATE("1 : ",TEXT((P69-M69)/M69,"0.00")),"—")</f>
        <v>—</v>
      </c>
      <c r="AA69" s="31" t="str">
        <f aca="false">IF(AND(C69&lt;&gt;"",E69&lt;&gt;""),E69-C69,"")</f>
        <v/>
      </c>
      <c r="AB69" s="17"/>
      <c r="AC69" s="32"/>
      <c r="AD69" s="33"/>
      <c r="AE69" s="34" t="str">
        <f aca="false">IF(G69&lt;&gt;"",HYPERLINK("https://www.tradingview.com/chart/?symbol="&amp;G69&amp;"&amp;interval=60&amp;from="&amp;(AG69-10*3600)&amp;"&amp;to="&amp;(AG69+50*3600),"📈 1H"),"")</f>
        <v/>
      </c>
      <c r="AF69" s="35" t="str">
        <f aca="false">IF(G69&lt;&gt;"",HYPERLINK("https://www.tradingview.com/chart/?symbol="&amp;G69&amp;"&amp;interval=240&amp;from="&amp;(AG69-10*14400)&amp;"&amp;to="&amp;(AG69+50*14400),"📈 4H"),"")</f>
        <v/>
      </c>
      <c r="AG69" s="36" t="str">
        <f aca="false">IF(C69&lt;&gt;"",INT((C69+IF(D69&lt;&gt;"",D69,0)-DATE(1970,1,1))*86400),"")</f>
        <v/>
      </c>
    </row>
    <row r="70" customFormat="false" ht="19.5" hidden="false" customHeight="true" outlineLevel="0" collapsed="false">
      <c r="A70" s="37" t="n">
        <f aca="false">ROW()-4</f>
        <v>66</v>
      </c>
      <c r="B70" s="38"/>
      <c r="C70" s="39"/>
      <c r="D70" s="40"/>
      <c r="E70" s="39"/>
      <c r="F70" s="40"/>
      <c r="G70" s="41"/>
      <c r="H70" s="42"/>
      <c r="I70" s="43"/>
      <c r="J70" s="44"/>
      <c r="K70" s="39"/>
      <c r="L70" s="42"/>
      <c r="M70" s="44"/>
      <c r="N70" s="45"/>
      <c r="O70" s="44"/>
      <c r="P70" s="46"/>
      <c r="Q70" s="47" t="str">
        <f aca="false">IF(L70="","",IF(M70&lt;&gt;"",M70*L70*100,IF(AND(O70&lt;&gt;"",B70&lt;&gt;""),IFERROR(AVERAGEIF($B$5:$B$1004,B70,$M$5:$M$1004)*L70*100,""),"")))</f>
        <v/>
      </c>
      <c r="R70" s="47" t="str">
        <f aca="false">IF(AND(O70&lt;&gt;"",L70&lt;&gt;""),O70*L70*100,"")</f>
        <v/>
      </c>
      <c r="S70" s="48" t="str">
        <f aca="false">IF(AND(P70&lt;&gt;"",L70&lt;&gt;""),P70*L70*100,"")</f>
        <v/>
      </c>
      <c r="T70" s="49" t="str">
        <f aca="false">IF(AND(Q70&lt;&gt;"",R70&lt;&gt;""),R70-Q70,"")</f>
        <v/>
      </c>
      <c r="U70" s="50" t="str">
        <f aca="false">IF(AND(Q70&lt;&gt;"",Q70&lt;&gt;0,T70&lt;&gt;""),T70/Q70,"")</f>
        <v/>
      </c>
      <c r="V70" s="51" t="str">
        <f aca="false">IF(AND(S70&lt;&gt;"",Q70&lt;&gt;""),S70-Q70,"")</f>
        <v/>
      </c>
      <c r="W70" s="52" t="str">
        <f aca="false">IF(AND(Q70&lt;&gt;"",Q70&lt;&gt;0,V70&lt;&gt;""),V70/Q70,"")</f>
        <v/>
      </c>
      <c r="X70" s="53" t="s">
        <v>37</v>
      </c>
      <c r="Y70" s="54" t="str">
        <f aca="false">IF(AND(O70&lt;&gt;"",M70&lt;&gt;"",O70&gt;M70),CONCATENATE("1 : ",TEXT((O70-M70)/M70,"0.00")),IF(AND(O70&lt;&gt;"",M70&lt;&gt;"",O70&lt;M70),CONCATENATE("-1 : ",TEXT((M70-O70)/M70,"0.00")),"—"))</f>
        <v>—</v>
      </c>
      <c r="Z70" s="55" t="str">
        <f aca="false">IF(AND(P70&lt;&gt;"",M70&lt;&gt;"",P70&gt;M70),CONCATENATE("1 : ",TEXT((P70-M70)/M70,"0.00")),"—")</f>
        <v>—</v>
      </c>
      <c r="AA70" s="56" t="str">
        <f aca="false">IF(AND(C70&lt;&gt;"",E70&lt;&gt;""),E70-C70,"")</f>
        <v/>
      </c>
      <c r="AB70" s="42"/>
      <c r="AC70" s="57"/>
      <c r="AD70" s="58"/>
      <c r="AE70" s="59" t="str">
        <f aca="false">IF(G70&lt;&gt;"",HYPERLINK("https://www.tradingview.com/chart/?symbol="&amp;G70&amp;"&amp;interval=60&amp;from="&amp;(AG70-10*3600)&amp;"&amp;to="&amp;(AG70+50*3600),"📈 1H"),"")</f>
        <v/>
      </c>
      <c r="AF70" s="60" t="str">
        <f aca="false">IF(G70&lt;&gt;"",HYPERLINK("https://www.tradingview.com/chart/?symbol="&amp;G70&amp;"&amp;interval=240&amp;from="&amp;(AG70-10*14400)&amp;"&amp;to="&amp;(AG70+50*14400),"📈 4H"),"")</f>
        <v/>
      </c>
      <c r="AG70" s="36" t="str">
        <f aca="false">IF(C70&lt;&gt;"",INT((C70+IF(D70&lt;&gt;"",D70,0)-DATE(1970,1,1))*86400),"")</f>
        <v/>
      </c>
    </row>
    <row r="71" customFormat="false" ht="19.5" hidden="false" customHeight="true" outlineLevel="0" collapsed="false">
      <c r="A71" s="12" t="n">
        <f aca="false">ROW()-4</f>
        <v>67</v>
      </c>
      <c r="B71" s="13"/>
      <c r="C71" s="14"/>
      <c r="D71" s="15"/>
      <c r="E71" s="14"/>
      <c r="F71" s="15"/>
      <c r="G71" s="16"/>
      <c r="H71" s="17"/>
      <c r="I71" s="18"/>
      <c r="J71" s="19"/>
      <c r="K71" s="14"/>
      <c r="L71" s="17"/>
      <c r="M71" s="19"/>
      <c r="N71" s="20"/>
      <c r="O71" s="19"/>
      <c r="P71" s="21"/>
      <c r="Q71" s="22" t="str">
        <f aca="false">IF(L71="","",IF(M71&lt;&gt;"",M71*L71*100,IF(AND(O71&lt;&gt;"",B71&lt;&gt;""),IFERROR(AVERAGEIF($B$5:$B$1004,B71,$M$5:$M$1004)*L71*100,""),"")))</f>
        <v/>
      </c>
      <c r="R71" s="22" t="str">
        <f aca="false">IF(AND(O71&lt;&gt;"",L71&lt;&gt;""),O71*L71*100,"")</f>
        <v/>
      </c>
      <c r="S71" s="23" t="str">
        <f aca="false">IF(AND(P71&lt;&gt;"",L71&lt;&gt;""),P71*L71*100,"")</f>
        <v/>
      </c>
      <c r="T71" s="24" t="str">
        <f aca="false">IF(AND(Q71&lt;&gt;"",R71&lt;&gt;""),R71-Q71,"")</f>
        <v/>
      </c>
      <c r="U71" s="25" t="str">
        <f aca="false">IF(AND(Q71&lt;&gt;"",Q71&lt;&gt;0,T71&lt;&gt;""),T71/Q71,"")</f>
        <v/>
      </c>
      <c r="V71" s="26" t="str">
        <f aca="false">IF(AND(S71&lt;&gt;"",Q71&lt;&gt;""),S71-Q71,"")</f>
        <v/>
      </c>
      <c r="W71" s="27" t="str">
        <f aca="false">IF(AND(Q71&lt;&gt;"",Q71&lt;&gt;0,V71&lt;&gt;""),V71/Q71,"")</f>
        <v/>
      </c>
      <c r="X71" s="28" t="s">
        <v>37</v>
      </c>
      <c r="Y71" s="29" t="str">
        <f aca="false">IF(AND(O71&lt;&gt;"",M71&lt;&gt;"",O71&gt;M71),CONCATENATE("1 : ",TEXT((O71-M71)/M71,"0.00")),IF(AND(O71&lt;&gt;"",M71&lt;&gt;"",O71&lt;M71),CONCATENATE("-1 : ",TEXT((M71-O71)/M71,"0.00")),"—"))</f>
        <v>—</v>
      </c>
      <c r="Z71" s="30" t="str">
        <f aca="false">IF(AND(P71&lt;&gt;"",M71&lt;&gt;"",P71&gt;M71),CONCATENATE("1 : ",TEXT((P71-M71)/M71,"0.00")),"—")</f>
        <v>—</v>
      </c>
      <c r="AA71" s="31" t="str">
        <f aca="false">IF(AND(C71&lt;&gt;"",E71&lt;&gt;""),E71-C71,"")</f>
        <v/>
      </c>
      <c r="AB71" s="17"/>
      <c r="AC71" s="32"/>
      <c r="AD71" s="33"/>
      <c r="AE71" s="34" t="str">
        <f aca="false">IF(G71&lt;&gt;"",HYPERLINK("https://www.tradingview.com/chart/?symbol="&amp;G71&amp;"&amp;interval=60&amp;from="&amp;(AG71-10*3600)&amp;"&amp;to="&amp;(AG71+50*3600),"📈 1H"),"")</f>
        <v/>
      </c>
      <c r="AF71" s="35" t="str">
        <f aca="false">IF(G71&lt;&gt;"",HYPERLINK("https://www.tradingview.com/chart/?symbol="&amp;G71&amp;"&amp;interval=240&amp;from="&amp;(AG71-10*14400)&amp;"&amp;to="&amp;(AG71+50*14400),"📈 4H"),"")</f>
        <v/>
      </c>
      <c r="AG71" s="36" t="str">
        <f aca="false">IF(C71&lt;&gt;"",INT((C71+IF(D71&lt;&gt;"",D71,0)-DATE(1970,1,1))*86400),"")</f>
        <v/>
      </c>
    </row>
    <row r="72" customFormat="false" ht="19.5" hidden="false" customHeight="true" outlineLevel="0" collapsed="false">
      <c r="A72" s="37" t="n">
        <f aca="false">ROW()-4</f>
        <v>68</v>
      </c>
      <c r="B72" s="38"/>
      <c r="C72" s="39"/>
      <c r="D72" s="40"/>
      <c r="E72" s="39"/>
      <c r="F72" s="40"/>
      <c r="G72" s="41"/>
      <c r="H72" s="42"/>
      <c r="I72" s="43"/>
      <c r="J72" s="44"/>
      <c r="K72" s="39"/>
      <c r="L72" s="42"/>
      <c r="M72" s="44"/>
      <c r="N72" s="45"/>
      <c r="O72" s="44"/>
      <c r="P72" s="46"/>
      <c r="Q72" s="47" t="str">
        <f aca="false">IF(L72="","",IF(M72&lt;&gt;"",M72*L72*100,IF(AND(O72&lt;&gt;"",B72&lt;&gt;""),IFERROR(AVERAGEIF($B$5:$B$1004,B72,$M$5:$M$1004)*L72*100,""),"")))</f>
        <v/>
      </c>
      <c r="R72" s="47" t="str">
        <f aca="false">IF(AND(O72&lt;&gt;"",L72&lt;&gt;""),O72*L72*100,"")</f>
        <v/>
      </c>
      <c r="S72" s="48" t="str">
        <f aca="false">IF(AND(P72&lt;&gt;"",L72&lt;&gt;""),P72*L72*100,"")</f>
        <v/>
      </c>
      <c r="T72" s="49" t="str">
        <f aca="false">IF(AND(Q72&lt;&gt;"",R72&lt;&gt;""),R72-Q72,"")</f>
        <v/>
      </c>
      <c r="U72" s="50" t="str">
        <f aca="false">IF(AND(Q72&lt;&gt;"",Q72&lt;&gt;0,T72&lt;&gt;""),T72/Q72,"")</f>
        <v/>
      </c>
      <c r="V72" s="51" t="str">
        <f aca="false">IF(AND(S72&lt;&gt;"",Q72&lt;&gt;""),S72-Q72,"")</f>
        <v/>
      </c>
      <c r="W72" s="52" t="str">
        <f aca="false">IF(AND(Q72&lt;&gt;"",Q72&lt;&gt;0,V72&lt;&gt;""),V72/Q72,"")</f>
        <v/>
      </c>
      <c r="X72" s="53" t="s">
        <v>37</v>
      </c>
      <c r="Y72" s="54" t="str">
        <f aca="false">IF(AND(O72&lt;&gt;"",M72&lt;&gt;"",O72&gt;M72),CONCATENATE("1 : ",TEXT((O72-M72)/M72,"0.00")),IF(AND(O72&lt;&gt;"",M72&lt;&gt;"",O72&lt;M72),CONCATENATE("-1 : ",TEXT((M72-O72)/M72,"0.00")),"—"))</f>
        <v>—</v>
      </c>
      <c r="Z72" s="55" t="str">
        <f aca="false">IF(AND(P72&lt;&gt;"",M72&lt;&gt;"",P72&gt;M72),CONCATENATE("1 : ",TEXT((P72-M72)/M72,"0.00")),"—")</f>
        <v>—</v>
      </c>
      <c r="AA72" s="56" t="str">
        <f aca="false">IF(AND(C72&lt;&gt;"",E72&lt;&gt;""),E72-C72,"")</f>
        <v/>
      </c>
      <c r="AB72" s="42"/>
      <c r="AC72" s="57"/>
      <c r="AD72" s="58"/>
      <c r="AE72" s="59" t="str">
        <f aca="false">IF(G72&lt;&gt;"",HYPERLINK("https://www.tradingview.com/chart/?symbol="&amp;G72&amp;"&amp;interval=60&amp;from="&amp;(AG72-10*3600)&amp;"&amp;to="&amp;(AG72+50*3600),"📈 1H"),"")</f>
        <v/>
      </c>
      <c r="AF72" s="60" t="str">
        <f aca="false">IF(G72&lt;&gt;"",HYPERLINK("https://www.tradingview.com/chart/?symbol="&amp;G72&amp;"&amp;interval=240&amp;from="&amp;(AG72-10*14400)&amp;"&amp;to="&amp;(AG72+50*14400),"📈 4H"),"")</f>
        <v/>
      </c>
      <c r="AG72" s="36" t="str">
        <f aca="false">IF(C72&lt;&gt;"",INT((C72+IF(D72&lt;&gt;"",D72,0)-DATE(1970,1,1))*86400),"")</f>
        <v/>
      </c>
    </row>
    <row r="73" customFormat="false" ht="19.5" hidden="false" customHeight="true" outlineLevel="0" collapsed="false">
      <c r="A73" s="12" t="n">
        <f aca="false">ROW()-4</f>
        <v>69</v>
      </c>
      <c r="B73" s="13"/>
      <c r="C73" s="14"/>
      <c r="D73" s="15"/>
      <c r="E73" s="14"/>
      <c r="F73" s="15"/>
      <c r="G73" s="16"/>
      <c r="H73" s="17"/>
      <c r="I73" s="18"/>
      <c r="J73" s="19"/>
      <c r="K73" s="14"/>
      <c r="L73" s="17"/>
      <c r="M73" s="19"/>
      <c r="N73" s="20"/>
      <c r="O73" s="19"/>
      <c r="P73" s="21"/>
      <c r="Q73" s="22" t="str">
        <f aca="false">IF(L73="","",IF(M73&lt;&gt;"",M73*L73*100,IF(AND(O73&lt;&gt;"",B73&lt;&gt;""),IFERROR(AVERAGEIF($B$5:$B$1004,B73,$M$5:$M$1004)*L73*100,""),"")))</f>
        <v/>
      </c>
      <c r="R73" s="22" t="str">
        <f aca="false">IF(AND(O73&lt;&gt;"",L73&lt;&gt;""),O73*L73*100,"")</f>
        <v/>
      </c>
      <c r="S73" s="23" t="str">
        <f aca="false">IF(AND(P73&lt;&gt;"",L73&lt;&gt;""),P73*L73*100,"")</f>
        <v/>
      </c>
      <c r="T73" s="24" t="str">
        <f aca="false">IF(AND(Q73&lt;&gt;"",R73&lt;&gt;""),R73-Q73,"")</f>
        <v/>
      </c>
      <c r="U73" s="25" t="str">
        <f aca="false">IF(AND(Q73&lt;&gt;"",Q73&lt;&gt;0,T73&lt;&gt;""),T73/Q73,"")</f>
        <v/>
      </c>
      <c r="V73" s="26" t="str">
        <f aca="false">IF(AND(S73&lt;&gt;"",Q73&lt;&gt;""),S73-Q73,"")</f>
        <v/>
      </c>
      <c r="W73" s="27" t="str">
        <f aca="false">IF(AND(Q73&lt;&gt;"",Q73&lt;&gt;0,V73&lt;&gt;""),V73/Q73,"")</f>
        <v/>
      </c>
      <c r="X73" s="28" t="s">
        <v>37</v>
      </c>
      <c r="Y73" s="29" t="str">
        <f aca="false">IF(AND(O73&lt;&gt;"",M73&lt;&gt;"",O73&gt;M73),CONCATENATE("1 : ",TEXT((O73-M73)/M73,"0.00")),IF(AND(O73&lt;&gt;"",M73&lt;&gt;"",O73&lt;M73),CONCATENATE("-1 : ",TEXT((M73-O73)/M73,"0.00")),"—"))</f>
        <v>—</v>
      </c>
      <c r="Z73" s="30" t="str">
        <f aca="false">IF(AND(P73&lt;&gt;"",M73&lt;&gt;"",P73&gt;M73),CONCATENATE("1 : ",TEXT((P73-M73)/M73,"0.00")),"—")</f>
        <v>—</v>
      </c>
      <c r="AA73" s="31" t="str">
        <f aca="false">IF(AND(C73&lt;&gt;"",E73&lt;&gt;""),E73-C73,"")</f>
        <v/>
      </c>
      <c r="AB73" s="17"/>
      <c r="AC73" s="32"/>
      <c r="AD73" s="33"/>
      <c r="AE73" s="34" t="str">
        <f aca="false">IF(G73&lt;&gt;"",HYPERLINK("https://www.tradingview.com/chart/?symbol="&amp;G73&amp;"&amp;interval=60&amp;from="&amp;(AG73-10*3600)&amp;"&amp;to="&amp;(AG73+50*3600),"📈 1H"),"")</f>
        <v/>
      </c>
      <c r="AF73" s="35" t="str">
        <f aca="false">IF(G73&lt;&gt;"",HYPERLINK("https://www.tradingview.com/chart/?symbol="&amp;G73&amp;"&amp;interval=240&amp;from="&amp;(AG73-10*14400)&amp;"&amp;to="&amp;(AG73+50*14400),"📈 4H"),"")</f>
        <v/>
      </c>
      <c r="AG73" s="36" t="str">
        <f aca="false">IF(C73&lt;&gt;"",INT((C73+IF(D73&lt;&gt;"",D73,0)-DATE(1970,1,1))*86400),"")</f>
        <v/>
      </c>
    </row>
    <row r="74" customFormat="false" ht="19.5" hidden="false" customHeight="true" outlineLevel="0" collapsed="false">
      <c r="A74" s="37" t="n">
        <f aca="false">ROW()-4</f>
        <v>70</v>
      </c>
      <c r="B74" s="38"/>
      <c r="C74" s="39"/>
      <c r="D74" s="40"/>
      <c r="E74" s="39"/>
      <c r="F74" s="40"/>
      <c r="G74" s="41"/>
      <c r="H74" s="42"/>
      <c r="I74" s="43"/>
      <c r="J74" s="44"/>
      <c r="K74" s="39"/>
      <c r="L74" s="42"/>
      <c r="M74" s="44"/>
      <c r="N74" s="45"/>
      <c r="O74" s="44"/>
      <c r="P74" s="46"/>
      <c r="Q74" s="47" t="str">
        <f aca="false">IF(L74="","",IF(M74&lt;&gt;"",M74*L74*100,IF(AND(O74&lt;&gt;"",B74&lt;&gt;""),IFERROR(AVERAGEIF($B$5:$B$1004,B74,$M$5:$M$1004)*L74*100,""),"")))</f>
        <v/>
      </c>
      <c r="R74" s="47" t="str">
        <f aca="false">IF(AND(O74&lt;&gt;"",L74&lt;&gt;""),O74*L74*100,"")</f>
        <v/>
      </c>
      <c r="S74" s="48" t="str">
        <f aca="false">IF(AND(P74&lt;&gt;"",L74&lt;&gt;""),P74*L74*100,"")</f>
        <v/>
      </c>
      <c r="T74" s="49" t="str">
        <f aca="false">IF(AND(Q74&lt;&gt;"",R74&lt;&gt;""),R74-Q74,"")</f>
        <v/>
      </c>
      <c r="U74" s="50" t="str">
        <f aca="false">IF(AND(Q74&lt;&gt;"",Q74&lt;&gt;0,T74&lt;&gt;""),T74/Q74,"")</f>
        <v/>
      </c>
      <c r="V74" s="51" t="str">
        <f aca="false">IF(AND(S74&lt;&gt;"",Q74&lt;&gt;""),S74-Q74,"")</f>
        <v/>
      </c>
      <c r="W74" s="52" t="str">
        <f aca="false">IF(AND(Q74&lt;&gt;"",Q74&lt;&gt;0,V74&lt;&gt;""),V74/Q74,"")</f>
        <v/>
      </c>
      <c r="X74" s="53" t="s">
        <v>37</v>
      </c>
      <c r="Y74" s="54" t="str">
        <f aca="false">IF(AND(O74&lt;&gt;"",M74&lt;&gt;"",O74&gt;M74),CONCATENATE("1 : ",TEXT((O74-M74)/M74,"0.00")),IF(AND(O74&lt;&gt;"",M74&lt;&gt;"",O74&lt;M74),CONCATENATE("-1 : ",TEXT((M74-O74)/M74,"0.00")),"—"))</f>
        <v>—</v>
      </c>
      <c r="Z74" s="55" t="str">
        <f aca="false">IF(AND(P74&lt;&gt;"",M74&lt;&gt;"",P74&gt;M74),CONCATENATE("1 : ",TEXT((P74-M74)/M74,"0.00")),"—")</f>
        <v>—</v>
      </c>
      <c r="AA74" s="56" t="str">
        <f aca="false">IF(AND(C74&lt;&gt;"",E74&lt;&gt;""),E74-C74,"")</f>
        <v/>
      </c>
      <c r="AB74" s="42"/>
      <c r="AC74" s="57"/>
      <c r="AD74" s="58"/>
      <c r="AE74" s="59" t="str">
        <f aca="false">IF(G74&lt;&gt;"",HYPERLINK("https://www.tradingview.com/chart/?symbol="&amp;G74&amp;"&amp;interval=60&amp;from="&amp;(AG74-10*3600)&amp;"&amp;to="&amp;(AG74+50*3600),"📈 1H"),"")</f>
        <v/>
      </c>
      <c r="AF74" s="60" t="str">
        <f aca="false">IF(G74&lt;&gt;"",HYPERLINK("https://www.tradingview.com/chart/?symbol="&amp;G74&amp;"&amp;interval=240&amp;from="&amp;(AG74-10*14400)&amp;"&amp;to="&amp;(AG74+50*14400),"📈 4H"),"")</f>
        <v/>
      </c>
      <c r="AG74" s="36" t="str">
        <f aca="false">IF(C74&lt;&gt;"",INT((C74+IF(D74&lt;&gt;"",D74,0)-DATE(1970,1,1))*86400),"")</f>
        <v/>
      </c>
    </row>
    <row r="75" customFormat="false" ht="19.5" hidden="false" customHeight="true" outlineLevel="0" collapsed="false">
      <c r="A75" s="12" t="n">
        <f aca="false">ROW()-4</f>
        <v>71</v>
      </c>
      <c r="B75" s="13"/>
      <c r="C75" s="14"/>
      <c r="D75" s="15"/>
      <c r="E75" s="14"/>
      <c r="F75" s="15"/>
      <c r="G75" s="16"/>
      <c r="H75" s="17"/>
      <c r="I75" s="18"/>
      <c r="J75" s="19"/>
      <c r="K75" s="14"/>
      <c r="L75" s="17"/>
      <c r="M75" s="19"/>
      <c r="N75" s="20"/>
      <c r="O75" s="19"/>
      <c r="P75" s="21"/>
      <c r="Q75" s="22" t="str">
        <f aca="false">IF(L75="","",IF(M75&lt;&gt;"",M75*L75*100,IF(AND(O75&lt;&gt;"",B75&lt;&gt;""),IFERROR(AVERAGEIF($B$5:$B$1004,B75,$M$5:$M$1004)*L75*100,""),"")))</f>
        <v/>
      </c>
      <c r="R75" s="22" t="str">
        <f aca="false">IF(AND(O75&lt;&gt;"",L75&lt;&gt;""),O75*L75*100,"")</f>
        <v/>
      </c>
      <c r="S75" s="23" t="str">
        <f aca="false">IF(AND(P75&lt;&gt;"",L75&lt;&gt;""),P75*L75*100,"")</f>
        <v/>
      </c>
      <c r="T75" s="24" t="str">
        <f aca="false">IF(AND(Q75&lt;&gt;"",R75&lt;&gt;""),R75-Q75,"")</f>
        <v/>
      </c>
      <c r="U75" s="25" t="str">
        <f aca="false">IF(AND(Q75&lt;&gt;"",Q75&lt;&gt;0,T75&lt;&gt;""),T75/Q75,"")</f>
        <v/>
      </c>
      <c r="V75" s="26" t="str">
        <f aca="false">IF(AND(S75&lt;&gt;"",Q75&lt;&gt;""),S75-Q75,"")</f>
        <v/>
      </c>
      <c r="W75" s="27" t="str">
        <f aca="false">IF(AND(Q75&lt;&gt;"",Q75&lt;&gt;0,V75&lt;&gt;""),V75/Q75,"")</f>
        <v/>
      </c>
      <c r="X75" s="28" t="s">
        <v>37</v>
      </c>
      <c r="Y75" s="29" t="str">
        <f aca="false">IF(AND(O75&lt;&gt;"",M75&lt;&gt;"",O75&gt;M75),CONCATENATE("1 : ",TEXT((O75-M75)/M75,"0.00")),IF(AND(O75&lt;&gt;"",M75&lt;&gt;"",O75&lt;M75),CONCATENATE("-1 : ",TEXT((M75-O75)/M75,"0.00")),"—"))</f>
        <v>—</v>
      </c>
      <c r="Z75" s="30" t="str">
        <f aca="false">IF(AND(P75&lt;&gt;"",M75&lt;&gt;"",P75&gt;M75),CONCATENATE("1 : ",TEXT((P75-M75)/M75,"0.00")),"—")</f>
        <v>—</v>
      </c>
      <c r="AA75" s="31" t="str">
        <f aca="false">IF(AND(C75&lt;&gt;"",E75&lt;&gt;""),E75-C75,"")</f>
        <v/>
      </c>
      <c r="AB75" s="17"/>
      <c r="AC75" s="32"/>
      <c r="AD75" s="33"/>
      <c r="AE75" s="34" t="str">
        <f aca="false">IF(G75&lt;&gt;"",HYPERLINK("https://www.tradingview.com/chart/?symbol="&amp;G75&amp;"&amp;interval=60&amp;from="&amp;(AG75-10*3600)&amp;"&amp;to="&amp;(AG75+50*3600),"📈 1H"),"")</f>
        <v/>
      </c>
      <c r="AF75" s="35" t="str">
        <f aca="false">IF(G75&lt;&gt;"",HYPERLINK("https://www.tradingview.com/chart/?symbol="&amp;G75&amp;"&amp;interval=240&amp;from="&amp;(AG75-10*14400)&amp;"&amp;to="&amp;(AG75+50*14400),"📈 4H"),"")</f>
        <v/>
      </c>
      <c r="AG75" s="36" t="str">
        <f aca="false">IF(C75&lt;&gt;"",INT((C75+IF(D75&lt;&gt;"",D75,0)-DATE(1970,1,1))*86400),"")</f>
        <v/>
      </c>
    </row>
    <row r="76" customFormat="false" ht="19.5" hidden="false" customHeight="true" outlineLevel="0" collapsed="false">
      <c r="A76" s="37" t="n">
        <f aca="false">ROW()-4</f>
        <v>72</v>
      </c>
      <c r="B76" s="38"/>
      <c r="C76" s="39"/>
      <c r="D76" s="40"/>
      <c r="E76" s="39"/>
      <c r="F76" s="40"/>
      <c r="G76" s="41"/>
      <c r="H76" s="42"/>
      <c r="I76" s="43"/>
      <c r="J76" s="44"/>
      <c r="K76" s="39"/>
      <c r="L76" s="42"/>
      <c r="M76" s="44"/>
      <c r="N76" s="45"/>
      <c r="O76" s="44"/>
      <c r="P76" s="46"/>
      <c r="Q76" s="47" t="str">
        <f aca="false">IF(L76="","",IF(M76&lt;&gt;"",M76*L76*100,IF(AND(O76&lt;&gt;"",B76&lt;&gt;""),IFERROR(AVERAGEIF($B$5:$B$1004,B76,$M$5:$M$1004)*L76*100,""),"")))</f>
        <v/>
      </c>
      <c r="R76" s="47" t="str">
        <f aca="false">IF(AND(O76&lt;&gt;"",L76&lt;&gt;""),O76*L76*100,"")</f>
        <v/>
      </c>
      <c r="S76" s="48" t="str">
        <f aca="false">IF(AND(P76&lt;&gt;"",L76&lt;&gt;""),P76*L76*100,"")</f>
        <v/>
      </c>
      <c r="T76" s="49" t="str">
        <f aca="false">IF(AND(Q76&lt;&gt;"",R76&lt;&gt;""),R76-Q76,"")</f>
        <v/>
      </c>
      <c r="U76" s="50" t="str">
        <f aca="false">IF(AND(Q76&lt;&gt;"",Q76&lt;&gt;0,T76&lt;&gt;""),T76/Q76,"")</f>
        <v/>
      </c>
      <c r="V76" s="51" t="str">
        <f aca="false">IF(AND(S76&lt;&gt;"",Q76&lt;&gt;""),S76-Q76,"")</f>
        <v/>
      </c>
      <c r="W76" s="52" t="str">
        <f aca="false">IF(AND(Q76&lt;&gt;"",Q76&lt;&gt;0,V76&lt;&gt;""),V76/Q76,"")</f>
        <v/>
      </c>
      <c r="X76" s="53" t="s">
        <v>37</v>
      </c>
      <c r="Y76" s="54" t="str">
        <f aca="false">IF(AND(O76&lt;&gt;"",M76&lt;&gt;"",O76&gt;M76),CONCATENATE("1 : ",TEXT((O76-M76)/M76,"0.00")),IF(AND(O76&lt;&gt;"",M76&lt;&gt;"",O76&lt;M76),CONCATENATE("-1 : ",TEXT((M76-O76)/M76,"0.00")),"—"))</f>
        <v>—</v>
      </c>
      <c r="Z76" s="55" t="str">
        <f aca="false">IF(AND(P76&lt;&gt;"",M76&lt;&gt;"",P76&gt;M76),CONCATENATE("1 : ",TEXT((P76-M76)/M76,"0.00")),"—")</f>
        <v>—</v>
      </c>
      <c r="AA76" s="56" t="str">
        <f aca="false">IF(AND(C76&lt;&gt;"",E76&lt;&gt;""),E76-C76,"")</f>
        <v/>
      </c>
      <c r="AB76" s="42"/>
      <c r="AC76" s="57"/>
      <c r="AD76" s="58"/>
      <c r="AE76" s="59" t="str">
        <f aca="false">IF(G76&lt;&gt;"",HYPERLINK("https://www.tradingview.com/chart/?symbol="&amp;G76&amp;"&amp;interval=60&amp;from="&amp;(AG76-10*3600)&amp;"&amp;to="&amp;(AG76+50*3600),"📈 1H"),"")</f>
        <v/>
      </c>
      <c r="AF76" s="60" t="str">
        <f aca="false">IF(G76&lt;&gt;"",HYPERLINK("https://www.tradingview.com/chart/?symbol="&amp;G76&amp;"&amp;interval=240&amp;from="&amp;(AG76-10*14400)&amp;"&amp;to="&amp;(AG76+50*14400),"📈 4H"),"")</f>
        <v/>
      </c>
      <c r="AG76" s="36" t="str">
        <f aca="false">IF(C76&lt;&gt;"",INT((C76+IF(D76&lt;&gt;"",D76,0)-DATE(1970,1,1))*86400),"")</f>
        <v/>
      </c>
    </row>
    <row r="77" customFormat="false" ht="19.5" hidden="false" customHeight="true" outlineLevel="0" collapsed="false">
      <c r="A77" s="12" t="n">
        <f aca="false">ROW()-4</f>
        <v>73</v>
      </c>
      <c r="B77" s="13"/>
      <c r="C77" s="14"/>
      <c r="D77" s="15"/>
      <c r="E77" s="14"/>
      <c r="F77" s="15"/>
      <c r="G77" s="16"/>
      <c r="H77" s="17"/>
      <c r="I77" s="18"/>
      <c r="J77" s="19"/>
      <c r="K77" s="14"/>
      <c r="L77" s="17"/>
      <c r="M77" s="19"/>
      <c r="N77" s="20"/>
      <c r="O77" s="19"/>
      <c r="P77" s="21"/>
      <c r="Q77" s="22" t="str">
        <f aca="false">IF(L77="","",IF(M77&lt;&gt;"",M77*L77*100,IF(AND(O77&lt;&gt;"",B77&lt;&gt;""),IFERROR(AVERAGEIF($B$5:$B$1004,B77,$M$5:$M$1004)*L77*100,""),"")))</f>
        <v/>
      </c>
      <c r="R77" s="22" t="str">
        <f aca="false">IF(AND(O77&lt;&gt;"",L77&lt;&gt;""),O77*L77*100,"")</f>
        <v/>
      </c>
      <c r="S77" s="23" t="str">
        <f aca="false">IF(AND(P77&lt;&gt;"",L77&lt;&gt;""),P77*L77*100,"")</f>
        <v/>
      </c>
      <c r="T77" s="24" t="str">
        <f aca="false">IF(AND(Q77&lt;&gt;"",R77&lt;&gt;""),R77-Q77,"")</f>
        <v/>
      </c>
      <c r="U77" s="25" t="str">
        <f aca="false">IF(AND(Q77&lt;&gt;"",Q77&lt;&gt;0,T77&lt;&gt;""),T77/Q77,"")</f>
        <v/>
      </c>
      <c r="V77" s="26" t="str">
        <f aca="false">IF(AND(S77&lt;&gt;"",Q77&lt;&gt;""),S77-Q77,"")</f>
        <v/>
      </c>
      <c r="W77" s="27" t="str">
        <f aca="false">IF(AND(Q77&lt;&gt;"",Q77&lt;&gt;0,V77&lt;&gt;""),V77/Q77,"")</f>
        <v/>
      </c>
      <c r="X77" s="28" t="s">
        <v>37</v>
      </c>
      <c r="Y77" s="29" t="str">
        <f aca="false">IF(AND(O77&lt;&gt;"",M77&lt;&gt;"",O77&gt;M77),CONCATENATE("1 : ",TEXT((O77-M77)/M77,"0.00")),IF(AND(O77&lt;&gt;"",M77&lt;&gt;"",O77&lt;M77),CONCATENATE("-1 : ",TEXT((M77-O77)/M77,"0.00")),"—"))</f>
        <v>—</v>
      </c>
      <c r="Z77" s="30" t="str">
        <f aca="false">IF(AND(P77&lt;&gt;"",M77&lt;&gt;"",P77&gt;M77),CONCATENATE("1 : ",TEXT((P77-M77)/M77,"0.00")),"—")</f>
        <v>—</v>
      </c>
      <c r="AA77" s="31" t="str">
        <f aca="false">IF(AND(C77&lt;&gt;"",E77&lt;&gt;""),E77-C77,"")</f>
        <v/>
      </c>
      <c r="AB77" s="17"/>
      <c r="AC77" s="32"/>
      <c r="AD77" s="33"/>
      <c r="AE77" s="34" t="str">
        <f aca="false">IF(G77&lt;&gt;"",HYPERLINK("https://www.tradingview.com/chart/?symbol="&amp;G77&amp;"&amp;interval=60&amp;from="&amp;(AG77-10*3600)&amp;"&amp;to="&amp;(AG77+50*3600),"📈 1H"),"")</f>
        <v/>
      </c>
      <c r="AF77" s="35" t="str">
        <f aca="false">IF(G77&lt;&gt;"",HYPERLINK("https://www.tradingview.com/chart/?symbol="&amp;G77&amp;"&amp;interval=240&amp;from="&amp;(AG77-10*14400)&amp;"&amp;to="&amp;(AG77+50*14400),"📈 4H"),"")</f>
        <v/>
      </c>
      <c r="AG77" s="36" t="str">
        <f aca="false">IF(C77&lt;&gt;"",INT((C77+IF(D77&lt;&gt;"",D77,0)-DATE(1970,1,1))*86400),"")</f>
        <v/>
      </c>
    </row>
    <row r="78" customFormat="false" ht="19.5" hidden="false" customHeight="true" outlineLevel="0" collapsed="false">
      <c r="A78" s="37" t="n">
        <f aca="false">ROW()-4</f>
        <v>74</v>
      </c>
      <c r="B78" s="38"/>
      <c r="C78" s="39"/>
      <c r="D78" s="40"/>
      <c r="E78" s="39"/>
      <c r="F78" s="40"/>
      <c r="G78" s="41"/>
      <c r="H78" s="42"/>
      <c r="I78" s="43"/>
      <c r="J78" s="44"/>
      <c r="K78" s="39"/>
      <c r="L78" s="42"/>
      <c r="M78" s="44"/>
      <c r="N78" s="45"/>
      <c r="O78" s="44"/>
      <c r="P78" s="46"/>
      <c r="Q78" s="47" t="str">
        <f aca="false">IF(L78="","",IF(M78&lt;&gt;"",M78*L78*100,IF(AND(O78&lt;&gt;"",B78&lt;&gt;""),IFERROR(AVERAGEIF($B$5:$B$1004,B78,$M$5:$M$1004)*L78*100,""),"")))</f>
        <v/>
      </c>
      <c r="R78" s="47" t="str">
        <f aca="false">IF(AND(O78&lt;&gt;"",L78&lt;&gt;""),O78*L78*100,"")</f>
        <v/>
      </c>
      <c r="S78" s="48" t="str">
        <f aca="false">IF(AND(P78&lt;&gt;"",L78&lt;&gt;""),P78*L78*100,"")</f>
        <v/>
      </c>
      <c r="T78" s="49" t="str">
        <f aca="false">IF(AND(Q78&lt;&gt;"",R78&lt;&gt;""),R78-Q78,"")</f>
        <v/>
      </c>
      <c r="U78" s="50" t="str">
        <f aca="false">IF(AND(Q78&lt;&gt;"",Q78&lt;&gt;0,T78&lt;&gt;""),T78/Q78,"")</f>
        <v/>
      </c>
      <c r="V78" s="51" t="str">
        <f aca="false">IF(AND(S78&lt;&gt;"",Q78&lt;&gt;""),S78-Q78,"")</f>
        <v/>
      </c>
      <c r="W78" s="52" t="str">
        <f aca="false">IF(AND(Q78&lt;&gt;"",Q78&lt;&gt;0,V78&lt;&gt;""),V78/Q78,"")</f>
        <v/>
      </c>
      <c r="X78" s="53" t="s">
        <v>37</v>
      </c>
      <c r="Y78" s="54" t="str">
        <f aca="false">IF(AND(O78&lt;&gt;"",M78&lt;&gt;"",O78&gt;M78),CONCATENATE("1 : ",TEXT((O78-M78)/M78,"0.00")),IF(AND(O78&lt;&gt;"",M78&lt;&gt;"",O78&lt;M78),CONCATENATE("-1 : ",TEXT((M78-O78)/M78,"0.00")),"—"))</f>
        <v>—</v>
      </c>
      <c r="Z78" s="55" t="str">
        <f aca="false">IF(AND(P78&lt;&gt;"",M78&lt;&gt;"",P78&gt;M78),CONCATENATE("1 : ",TEXT((P78-M78)/M78,"0.00")),"—")</f>
        <v>—</v>
      </c>
      <c r="AA78" s="56" t="str">
        <f aca="false">IF(AND(C78&lt;&gt;"",E78&lt;&gt;""),E78-C78,"")</f>
        <v/>
      </c>
      <c r="AB78" s="42"/>
      <c r="AC78" s="57"/>
      <c r="AD78" s="58"/>
      <c r="AE78" s="59" t="str">
        <f aca="false">IF(G78&lt;&gt;"",HYPERLINK("https://www.tradingview.com/chart/?symbol="&amp;G78&amp;"&amp;interval=60&amp;from="&amp;(AG78-10*3600)&amp;"&amp;to="&amp;(AG78+50*3600),"📈 1H"),"")</f>
        <v/>
      </c>
      <c r="AF78" s="60" t="str">
        <f aca="false">IF(G78&lt;&gt;"",HYPERLINK("https://www.tradingview.com/chart/?symbol="&amp;G78&amp;"&amp;interval=240&amp;from="&amp;(AG78-10*14400)&amp;"&amp;to="&amp;(AG78+50*14400),"📈 4H"),"")</f>
        <v/>
      </c>
      <c r="AG78" s="36" t="str">
        <f aca="false">IF(C78&lt;&gt;"",INT((C78+IF(D78&lt;&gt;"",D78,0)-DATE(1970,1,1))*86400),"")</f>
        <v/>
      </c>
    </row>
    <row r="79" customFormat="false" ht="19.5" hidden="false" customHeight="true" outlineLevel="0" collapsed="false">
      <c r="A79" s="12" t="n">
        <f aca="false">ROW()-4</f>
        <v>75</v>
      </c>
      <c r="B79" s="13"/>
      <c r="C79" s="14"/>
      <c r="D79" s="15"/>
      <c r="E79" s="14"/>
      <c r="F79" s="15"/>
      <c r="G79" s="16"/>
      <c r="H79" s="17"/>
      <c r="I79" s="18"/>
      <c r="J79" s="19"/>
      <c r="K79" s="14"/>
      <c r="L79" s="17"/>
      <c r="M79" s="19"/>
      <c r="N79" s="20"/>
      <c r="O79" s="19"/>
      <c r="P79" s="21"/>
      <c r="Q79" s="22" t="str">
        <f aca="false">IF(L79="","",IF(M79&lt;&gt;"",M79*L79*100,IF(AND(O79&lt;&gt;"",B79&lt;&gt;""),IFERROR(AVERAGEIF($B$5:$B$1004,B79,$M$5:$M$1004)*L79*100,""),"")))</f>
        <v/>
      </c>
      <c r="R79" s="22" t="str">
        <f aca="false">IF(AND(O79&lt;&gt;"",L79&lt;&gt;""),O79*L79*100,"")</f>
        <v/>
      </c>
      <c r="S79" s="23" t="str">
        <f aca="false">IF(AND(P79&lt;&gt;"",L79&lt;&gt;""),P79*L79*100,"")</f>
        <v/>
      </c>
      <c r="T79" s="24" t="str">
        <f aca="false">IF(AND(Q79&lt;&gt;"",R79&lt;&gt;""),R79-Q79,"")</f>
        <v/>
      </c>
      <c r="U79" s="25" t="str">
        <f aca="false">IF(AND(Q79&lt;&gt;"",Q79&lt;&gt;0,T79&lt;&gt;""),T79/Q79,"")</f>
        <v/>
      </c>
      <c r="V79" s="26" t="str">
        <f aca="false">IF(AND(S79&lt;&gt;"",Q79&lt;&gt;""),S79-Q79,"")</f>
        <v/>
      </c>
      <c r="W79" s="27" t="str">
        <f aca="false">IF(AND(Q79&lt;&gt;"",Q79&lt;&gt;0,V79&lt;&gt;""),V79/Q79,"")</f>
        <v/>
      </c>
      <c r="X79" s="28" t="s">
        <v>37</v>
      </c>
      <c r="Y79" s="29" t="str">
        <f aca="false">IF(AND(O79&lt;&gt;"",M79&lt;&gt;"",O79&gt;M79),CONCATENATE("1 : ",TEXT((O79-M79)/M79,"0.00")),IF(AND(O79&lt;&gt;"",M79&lt;&gt;"",O79&lt;M79),CONCATENATE("-1 : ",TEXT((M79-O79)/M79,"0.00")),"—"))</f>
        <v>—</v>
      </c>
      <c r="Z79" s="30" t="str">
        <f aca="false">IF(AND(P79&lt;&gt;"",M79&lt;&gt;"",P79&gt;M79),CONCATENATE("1 : ",TEXT((P79-M79)/M79,"0.00")),"—")</f>
        <v>—</v>
      </c>
      <c r="AA79" s="31" t="str">
        <f aca="false">IF(AND(C79&lt;&gt;"",E79&lt;&gt;""),E79-C79,"")</f>
        <v/>
      </c>
      <c r="AB79" s="17"/>
      <c r="AC79" s="32"/>
      <c r="AD79" s="33"/>
      <c r="AE79" s="34" t="str">
        <f aca="false">IF(G79&lt;&gt;"",HYPERLINK("https://www.tradingview.com/chart/?symbol="&amp;G79&amp;"&amp;interval=60&amp;from="&amp;(AG79-10*3600)&amp;"&amp;to="&amp;(AG79+50*3600),"📈 1H"),"")</f>
        <v/>
      </c>
      <c r="AF79" s="35" t="str">
        <f aca="false">IF(G79&lt;&gt;"",HYPERLINK("https://www.tradingview.com/chart/?symbol="&amp;G79&amp;"&amp;interval=240&amp;from="&amp;(AG79-10*14400)&amp;"&amp;to="&amp;(AG79+50*14400),"📈 4H"),"")</f>
        <v/>
      </c>
      <c r="AG79" s="36" t="str">
        <f aca="false">IF(C79&lt;&gt;"",INT((C79+IF(D79&lt;&gt;"",D79,0)-DATE(1970,1,1))*86400),"")</f>
        <v/>
      </c>
    </row>
    <row r="80" customFormat="false" ht="19.5" hidden="false" customHeight="true" outlineLevel="0" collapsed="false">
      <c r="A80" s="37" t="n">
        <f aca="false">ROW()-4</f>
        <v>76</v>
      </c>
      <c r="B80" s="38"/>
      <c r="C80" s="39"/>
      <c r="D80" s="40"/>
      <c r="E80" s="39"/>
      <c r="F80" s="40"/>
      <c r="G80" s="41"/>
      <c r="H80" s="42"/>
      <c r="I80" s="43"/>
      <c r="J80" s="44"/>
      <c r="K80" s="39"/>
      <c r="L80" s="42"/>
      <c r="M80" s="44"/>
      <c r="N80" s="45"/>
      <c r="O80" s="44"/>
      <c r="P80" s="46"/>
      <c r="Q80" s="47" t="str">
        <f aca="false">IF(L80="","",IF(M80&lt;&gt;"",M80*L80*100,IF(AND(O80&lt;&gt;"",B80&lt;&gt;""),IFERROR(AVERAGEIF($B$5:$B$1004,B80,$M$5:$M$1004)*L80*100,""),"")))</f>
        <v/>
      </c>
      <c r="R80" s="47" t="str">
        <f aca="false">IF(AND(O80&lt;&gt;"",L80&lt;&gt;""),O80*L80*100,"")</f>
        <v/>
      </c>
      <c r="S80" s="48" t="str">
        <f aca="false">IF(AND(P80&lt;&gt;"",L80&lt;&gt;""),P80*L80*100,"")</f>
        <v/>
      </c>
      <c r="T80" s="49" t="str">
        <f aca="false">IF(AND(Q80&lt;&gt;"",R80&lt;&gt;""),R80-Q80,"")</f>
        <v/>
      </c>
      <c r="U80" s="50" t="str">
        <f aca="false">IF(AND(Q80&lt;&gt;"",Q80&lt;&gt;0,T80&lt;&gt;""),T80/Q80,"")</f>
        <v/>
      </c>
      <c r="V80" s="51" t="str">
        <f aca="false">IF(AND(S80&lt;&gt;"",Q80&lt;&gt;""),S80-Q80,"")</f>
        <v/>
      </c>
      <c r="W80" s="52" t="str">
        <f aca="false">IF(AND(Q80&lt;&gt;"",Q80&lt;&gt;0,V80&lt;&gt;""),V80/Q80,"")</f>
        <v/>
      </c>
      <c r="X80" s="53" t="s">
        <v>37</v>
      </c>
      <c r="Y80" s="54" t="str">
        <f aca="false">IF(AND(O80&lt;&gt;"",M80&lt;&gt;"",O80&gt;M80),CONCATENATE("1 : ",TEXT((O80-M80)/M80,"0.00")),IF(AND(O80&lt;&gt;"",M80&lt;&gt;"",O80&lt;M80),CONCATENATE("-1 : ",TEXT((M80-O80)/M80,"0.00")),"—"))</f>
        <v>—</v>
      </c>
      <c r="Z80" s="55" t="str">
        <f aca="false">IF(AND(P80&lt;&gt;"",M80&lt;&gt;"",P80&gt;M80),CONCATENATE("1 : ",TEXT((P80-M80)/M80,"0.00")),"—")</f>
        <v>—</v>
      </c>
      <c r="AA80" s="56" t="str">
        <f aca="false">IF(AND(C80&lt;&gt;"",E80&lt;&gt;""),E80-C80,"")</f>
        <v/>
      </c>
      <c r="AB80" s="42"/>
      <c r="AC80" s="57"/>
      <c r="AD80" s="58"/>
      <c r="AE80" s="59" t="str">
        <f aca="false">IF(G80&lt;&gt;"",HYPERLINK("https://www.tradingview.com/chart/?symbol="&amp;G80&amp;"&amp;interval=60&amp;from="&amp;(AG80-10*3600)&amp;"&amp;to="&amp;(AG80+50*3600),"📈 1H"),"")</f>
        <v/>
      </c>
      <c r="AF80" s="60" t="str">
        <f aca="false">IF(G80&lt;&gt;"",HYPERLINK("https://www.tradingview.com/chart/?symbol="&amp;G80&amp;"&amp;interval=240&amp;from="&amp;(AG80-10*14400)&amp;"&amp;to="&amp;(AG80+50*14400),"📈 4H"),"")</f>
        <v/>
      </c>
      <c r="AG80" s="36" t="str">
        <f aca="false">IF(C80&lt;&gt;"",INT((C80+IF(D80&lt;&gt;"",D80,0)-DATE(1970,1,1))*86400),"")</f>
        <v/>
      </c>
    </row>
    <row r="81" customFormat="false" ht="19.5" hidden="false" customHeight="true" outlineLevel="0" collapsed="false">
      <c r="A81" s="12" t="n">
        <f aca="false">ROW()-4</f>
        <v>77</v>
      </c>
      <c r="B81" s="13"/>
      <c r="C81" s="14"/>
      <c r="D81" s="15"/>
      <c r="E81" s="14"/>
      <c r="F81" s="15"/>
      <c r="G81" s="16"/>
      <c r="H81" s="17"/>
      <c r="I81" s="18"/>
      <c r="J81" s="19"/>
      <c r="K81" s="14"/>
      <c r="L81" s="17"/>
      <c r="M81" s="19"/>
      <c r="N81" s="20"/>
      <c r="O81" s="19"/>
      <c r="P81" s="21"/>
      <c r="Q81" s="22" t="str">
        <f aca="false">IF(L81="","",IF(M81&lt;&gt;"",M81*L81*100,IF(AND(O81&lt;&gt;"",B81&lt;&gt;""),IFERROR(AVERAGEIF($B$5:$B$1004,B81,$M$5:$M$1004)*L81*100,""),"")))</f>
        <v/>
      </c>
      <c r="R81" s="22" t="str">
        <f aca="false">IF(AND(O81&lt;&gt;"",L81&lt;&gt;""),O81*L81*100,"")</f>
        <v/>
      </c>
      <c r="S81" s="23" t="str">
        <f aca="false">IF(AND(P81&lt;&gt;"",L81&lt;&gt;""),P81*L81*100,"")</f>
        <v/>
      </c>
      <c r="T81" s="24" t="str">
        <f aca="false">IF(AND(Q81&lt;&gt;"",R81&lt;&gt;""),R81-Q81,"")</f>
        <v/>
      </c>
      <c r="U81" s="25" t="str">
        <f aca="false">IF(AND(Q81&lt;&gt;"",Q81&lt;&gt;0,T81&lt;&gt;""),T81/Q81,"")</f>
        <v/>
      </c>
      <c r="V81" s="26" t="str">
        <f aca="false">IF(AND(S81&lt;&gt;"",Q81&lt;&gt;""),S81-Q81,"")</f>
        <v/>
      </c>
      <c r="W81" s="27" t="str">
        <f aca="false">IF(AND(Q81&lt;&gt;"",Q81&lt;&gt;0,V81&lt;&gt;""),V81/Q81,"")</f>
        <v/>
      </c>
      <c r="X81" s="28" t="s">
        <v>37</v>
      </c>
      <c r="Y81" s="29" t="str">
        <f aca="false">IF(AND(O81&lt;&gt;"",M81&lt;&gt;"",O81&gt;M81),CONCATENATE("1 : ",TEXT((O81-M81)/M81,"0.00")),IF(AND(O81&lt;&gt;"",M81&lt;&gt;"",O81&lt;M81),CONCATENATE("-1 : ",TEXT((M81-O81)/M81,"0.00")),"—"))</f>
        <v>—</v>
      </c>
      <c r="Z81" s="30" t="str">
        <f aca="false">IF(AND(P81&lt;&gt;"",M81&lt;&gt;"",P81&gt;M81),CONCATENATE("1 : ",TEXT((P81-M81)/M81,"0.00")),"—")</f>
        <v>—</v>
      </c>
      <c r="AA81" s="31" t="str">
        <f aca="false">IF(AND(C81&lt;&gt;"",E81&lt;&gt;""),E81-C81,"")</f>
        <v/>
      </c>
      <c r="AB81" s="17"/>
      <c r="AC81" s="32"/>
      <c r="AD81" s="33"/>
      <c r="AE81" s="34" t="str">
        <f aca="false">IF(G81&lt;&gt;"",HYPERLINK("https://www.tradingview.com/chart/?symbol="&amp;G81&amp;"&amp;interval=60&amp;from="&amp;(AG81-10*3600)&amp;"&amp;to="&amp;(AG81+50*3600),"📈 1H"),"")</f>
        <v/>
      </c>
      <c r="AF81" s="35" t="str">
        <f aca="false">IF(G81&lt;&gt;"",HYPERLINK("https://www.tradingview.com/chart/?symbol="&amp;G81&amp;"&amp;interval=240&amp;from="&amp;(AG81-10*14400)&amp;"&amp;to="&amp;(AG81+50*14400),"📈 4H"),"")</f>
        <v/>
      </c>
      <c r="AG81" s="36" t="str">
        <f aca="false">IF(C81&lt;&gt;"",INT((C81+IF(D81&lt;&gt;"",D81,0)-DATE(1970,1,1))*86400),"")</f>
        <v/>
      </c>
    </row>
    <row r="82" customFormat="false" ht="19.5" hidden="false" customHeight="true" outlineLevel="0" collapsed="false">
      <c r="A82" s="37" t="n">
        <f aca="false">ROW()-4</f>
        <v>78</v>
      </c>
      <c r="B82" s="38"/>
      <c r="C82" s="39"/>
      <c r="D82" s="40"/>
      <c r="E82" s="39"/>
      <c r="F82" s="40"/>
      <c r="G82" s="41"/>
      <c r="H82" s="42"/>
      <c r="I82" s="43"/>
      <c r="J82" s="44"/>
      <c r="K82" s="39"/>
      <c r="L82" s="42"/>
      <c r="M82" s="44"/>
      <c r="N82" s="45"/>
      <c r="O82" s="44"/>
      <c r="P82" s="46"/>
      <c r="Q82" s="47" t="str">
        <f aca="false">IF(L82="","",IF(M82&lt;&gt;"",M82*L82*100,IF(AND(O82&lt;&gt;"",B82&lt;&gt;""),IFERROR(AVERAGEIF($B$5:$B$1004,B82,$M$5:$M$1004)*L82*100,""),"")))</f>
        <v/>
      </c>
      <c r="R82" s="47" t="str">
        <f aca="false">IF(AND(O82&lt;&gt;"",L82&lt;&gt;""),O82*L82*100,"")</f>
        <v/>
      </c>
      <c r="S82" s="48" t="str">
        <f aca="false">IF(AND(P82&lt;&gt;"",L82&lt;&gt;""),P82*L82*100,"")</f>
        <v/>
      </c>
      <c r="T82" s="49" t="str">
        <f aca="false">IF(AND(Q82&lt;&gt;"",R82&lt;&gt;""),R82-Q82,"")</f>
        <v/>
      </c>
      <c r="U82" s="50" t="str">
        <f aca="false">IF(AND(Q82&lt;&gt;"",Q82&lt;&gt;0,T82&lt;&gt;""),T82/Q82,"")</f>
        <v/>
      </c>
      <c r="V82" s="51" t="str">
        <f aca="false">IF(AND(S82&lt;&gt;"",Q82&lt;&gt;""),S82-Q82,"")</f>
        <v/>
      </c>
      <c r="W82" s="52" t="str">
        <f aca="false">IF(AND(Q82&lt;&gt;"",Q82&lt;&gt;0,V82&lt;&gt;""),V82/Q82,"")</f>
        <v/>
      </c>
      <c r="X82" s="53" t="s">
        <v>37</v>
      </c>
      <c r="Y82" s="54" t="str">
        <f aca="false">IF(AND(O82&lt;&gt;"",M82&lt;&gt;"",O82&gt;M82),CONCATENATE("1 : ",TEXT((O82-M82)/M82,"0.00")),IF(AND(O82&lt;&gt;"",M82&lt;&gt;"",O82&lt;M82),CONCATENATE("-1 : ",TEXT((M82-O82)/M82,"0.00")),"—"))</f>
        <v>—</v>
      </c>
      <c r="Z82" s="55" t="str">
        <f aca="false">IF(AND(P82&lt;&gt;"",M82&lt;&gt;"",P82&gt;M82),CONCATENATE("1 : ",TEXT((P82-M82)/M82,"0.00")),"—")</f>
        <v>—</v>
      </c>
      <c r="AA82" s="56" t="str">
        <f aca="false">IF(AND(C82&lt;&gt;"",E82&lt;&gt;""),E82-C82,"")</f>
        <v/>
      </c>
      <c r="AB82" s="42"/>
      <c r="AC82" s="57"/>
      <c r="AD82" s="58"/>
      <c r="AE82" s="59" t="str">
        <f aca="false">IF(G82&lt;&gt;"",HYPERLINK("https://www.tradingview.com/chart/?symbol="&amp;G82&amp;"&amp;interval=60&amp;from="&amp;(AG82-10*3600)&amp;"&amp;to="&amp;(AG82+50*3600),"📈 1H"),"")</f>
        <v/>
      </c>
      <c r="AF82" s="60" t="str">
        <f aca="false">IF(G82&lt;&gt;"",HYPERLINK("https://www.tradingview.com/chart/?symbol="&amp;G82&amp;"&amp;interval=240&amp;from="&amp;(AG82-10*14400)&amp;"&amp;to="&amp;(AG82+50*14400),"📈 4H"),"")</f>
        <v/>
      </c>
      <c r="AG82" s="36" t="str">
        <f aca="false">IF(C82&lt;&gt;"",INT((C82+IF(D82&lt;&gt;"",D82,0)-DATE(1970,1,1))*86400),"")</f>
        <v/>
      </c>
    </row>
    <row r="83" customFormat="false" ht="19.5" hidden="false" customHeight="true" outlineLevel="0" collapsed="false">
      <c r="A83" s="12" t="n">
        <f aca="false">ROW()-4</f>
        <v>79</v>
      </c>
      <c r="B83" s="13"/>
      <c r="C83" s="14"/>
      <c r="D83" s="15"/>
      <c r="E83" s="14"/>
      <c r="F83" s="15"/>
      <c r="G83" s="16"/>
      <c r="H83" s="17"/>
      <c r="I83" s="18"/>
      <c r="J83" s="19"/>
      <c r="K83" s="14"/>
      <c r="L83" s="17"/>
      <c r="M83" s="19"/>
      <c r="N83" s="20"/>
      <c r="O83" s="19"/>
      <c r="P83" s="21"/>
      <c r="Q83" s="22" t="str">
        <f aca="false">IF(L83="","",IF(M83&lt;&gt;"",M83*L83*100,IF(AND(O83&lt;&gt;"",B83&lt;&gt;""),IFERROR(AVERAGEIF($B$5:$B$1004,B83,$M$5:$M$1004)*L83*100,""),"")))</f>
        <v/>
      </c>
      <c r="R83" s="22" t="str">
        <f aca="false">IF(AND(O83&lt;&gt;"",L83&lt;&gt;""),O83*L83*100,"")</f>
        <v/>
      </c>
      <c r="S83" s="23" t="str">
        <f aca="false">IF(AND(P83&lt;&gt;"",L83&lt;&gt;""),P83*L83*100,"")</f>
        <v/>
      </c>
      <c r="T83" s="24" t="str">
        <f aca="false">IF(AND(Q83&lt;&gt;"",R83&lt;&gt;""),R83-Q83,"")</f>
        <v/>
      </c>
      <c r="U83" s="25" t="str">
        <f aca="false">IF(AND(Q83&lt;&gt;"",Q83&lt;&gt;0,T83&lt;&gt;""),T83/Q83,"")</f>
        <v/>
      </c>
      <c r="V83" s="26" t="str">
        <f aca="false">IF(AND(S83&lt;&gt;"",Q83&lt;&gt;""),S83-Q83,"")</f>
        <v/>
      </c>
      <c r="W83" s="27" t="str">
        <f aca="false">IF(AND(Q83&lt;&gt;"",Q83&lt;&gt;0,V83&lt;&gt;""),V83/Q83,"")</f>
        <v/>
      </c>
      <c r="X83" s="28" t="s">
        <v>37</v>
      </c>
      <c r="Y83" s="29" t="str">
        <f aca="false">IF(AND(O83&lt;&gt;"",M83&lt;&gt;"",O83&gt;M83),CONCATENATE("1 : ",TEXT((O83-M83)/M83,"0.00")),IF(AND(O83&lt;&gt;"",M83&lt;&gt;"",O83&lt;M83),CONCATENATE("-1 : ",TEXT((M83-O83)/M83,"0.00")),"—"))</f>
        <v>—</v>
      </c>
      <c r="Z83" s="30" t="str">
        <f aca="false">IF(AND(P83&lt;&gt;"",M83&lt;&gt;"",P83&gt;M83),CONCATENATE("1 : ",TEXT((P83-M83)/M83,"0.00")),"—")</f>
        <v>—</v>
      </c>
      <c r="AA83" s="31" t="str">
        <f aca="false">IF(AND(C83&lt;&gt;"",E83&lt;&gt;""),E83-C83,"")</f>
        <v/>
      </c>
      <c r="AB83" s="17"/>
      <c r="AC83" s="32"/>
      <c r="AD83" s="33"/>
      <c r="AE83" s="34" t="str">
        <f aca="false">IF(G83&lt;&gt;"",HYPERLINK("https://www.tradingview.com/chart/?symbol="&amp;G83&amp;"&amp;interval=60&amp;from="&amp;(AG83-10*3600)&amp;"&amp;to="&amp;(AG83+50*3600),"📈 1H"),"")</f>
        <v/>
      </c>
      <c r="AF83" s="35" t="str">
        <f aca="false">IF(G83&lt;&gt;"",HYPERLINK("https://www.tradingview.com/chart/?symbol="&amp;G83&amp;"&amp;interval=240&amp;from="&amp;(AG83-10*14400)&amp;"&amp;to="&amp;(AG83+50*14400),"📈 4H"),"")</f>
        <v/>
      </c>
      <c r="AG83" s="36" t="str">
        <f aca="false">IF(C83&lt;&gt;"",INT((C83+IF(D83&lt;&gt;"",D83,0)-DATE(1970,1,1))*86400),"")</f>
        <v/>
      </c>
    </row>
    <row r="84" customFormat="false" ht="19.5" hidden="false" customHeight="true" outlineLevel="0" collapsed="false">
      <c r="A84" s="37" t="n">
        <f aca="false">ROW()-4</f>
        <v>80</v>
      </c>
      <c r="B84" s="38"/>
      <c r="C84" s="39"/>
      <c r="D84" s="40"/>
      <c r="E84" s="39"/>
      <c r="F84" s="40"/>
      <c r="G84" s="41"/>
      <c r="H84" s="42"/>
      <c r="I84" s="43"/>
      <c r="J84" s="44"/>
      <c r="K84" s="39"/>
      <c r="L84" s="42"/>
      <c r="M84" s="44"/>
      <c r="N84" s="45"/>
      <c r="O84" s="44"/>
      <c r="P84" s="46"/>
      <c r="Q84" s="47" t="str">
        <f aca="false">IF(L84="","",IF(M84&lt;&gt;"",M84*L84*100,IF(AND(O84&lt;&gt;"",B84&lt;&gt;""),IFERROR(AVERAGEIF($B$5:$B$1004,B84,$M$5:$M$1004)*L84*100,""),"")))</f>
        <v/>
      </c>
      <c r="R84" s="47" t="str">
        <f aca="false">IF(AND(O84&lt;&gt;"",L84&lt;&gt;""),O84*L84*100,"")</f>
        <v/>
      </c>
      <c r="S84" s="48" t="str">
        <f aca="false">IF(AND(P84&lt;&gt;"",L84&lt;&gt;""),P84*L84*100,"")</f>
        <v/>
      </c>
      <c r="T84" s="49" t="str">
        <f aca="false">IF(AND(Q84&lt;&gt;"",R84&lt;&gt;""),R84-Q84,"")</f>
        <v/>
      </c>
      <c r="U84" s="50" t="str">
        <f aca="false">IF(AND(Q84&lt;&gt;"",Q84&lt;&gt;0,T84&lt;&gt;""),T84/Q84,"")</f>
        <v/>
      </c>
      <c r="V84" s="51" t="str">
        <f aca="false">IF(AND(S84&lt;&gt;"",Q84&lt;&gt;""),S84-Q84,"")</f>
        <v/>
      </c>
      <c r="W84" s="52" t="str">
        <f aca="false">IF(AND(Q84&lt;&gt;"",Q84&lt;&gt;0,V84&lt;&gt;""),V84/Q84,"")</f>
        <v/>
      </c>
      <c r="X84" s="53" t="s">
        <v>37</v>
      </c>
      <c r="Y84" s="54" t="str">
        <f aca="false">IF(AND(O84&lt;&gt;"",M84&lt;&gt;"",O84&gt;M84),CONCATENATE("1 : ",TEXT((O84-M84)/M84,"0.00")),IF(AND(O84&lt;&gt;"",M84&lt;&gt;"",O84&lt;M84),CONCATENATE("-1 : ",TEXT((M84-O84)/M84,"0.00")),"—"))</f>
        <v>—</v>
      </c>
      <c r="Z84" s="55" t="str">
        <f aca="false">IF(AND(P84&lt;&gt;"",M84&lt;&gt;"",P84&gt;M84),CONCATENATE("1 : ",TEXT((P84-M84)/M84,"0.00")),"—")</f>
        <v>—</v>
      </c>
      <c r="AA84" s="56" t="str">
        <f aca="false">IF(AND(C84&lt;&gt;"",E84&lt;&gt;""),E84-C84,"")</f>
        <v/>
      </c>
      <c r="AB84" s="42"/>
      <c r="AC84" s="57"/>
      <c r="AD84" s="58"/>
      <c r="AE84" s="59" t="str">
        <f aca="false">IF(G84&lt;&gt;"",HYPERLINK("https://www.tradingview.com/chart/?symbol="&amp;G84&amp;"&amp;interval=60&amp;from="&amp;(AG84-10*3600)&amp;"&amp;to="&amp;(AG84+50*3600),"📈 1H"),"")</f>
        <v/>
      </c>
      <c r="AF84" s="60" t="str">
        <f aca="false">IF(G84&lt;&gt;"",HYPERLINK("https://www.tradingview.com/chart/?symbol="&amp;G84&amp;"&amp;interval=240&amp;from="&amp;(AG84-10*14400)&amp;"&amp;to="&amp;(AG84+50*14400),"📈 4H"),"")</f>
        <v/>
      </c>
      <c r="AG84" s="36" t="str">
        <f aca="false">IF(C84&lt;&gt;"",INT((C84+IF(D84&lt;&gt;"",D84,0)-DATE(1970,1,1))*86400),"")</f>
        <v/>
      </c>
    </row>
    <row r="85" customFormat="false" ht="19.5" hidden="false" customHeight="true" outlineLevel="0" collapsed="false">
      <c r="A85" s="12" t="n">
        <f aca="false">ROW()-4</f>
        <v>81</v>
      </c>
      <c r="B85" s="13"/>
      <c r="C85" s="14"/>
      <c r="D85" s="15"/>
      <c r="E85" s="14"/>
      <c r="F85" s="15"/>
      <c r="G85" s="16"/>
      <c r="H85" s="17"/>
      <c r="I85" s="18"/>
      <c r="J85" s="19"/>
      <c r="K85" s="14"/>
      <c r="L85" s="17"/>
      <c r="M85" s="19"/>
      <c r="N85" s="20"/>
      <c r="O85" s="19"/>
      <c r="P85" s="21"/>
      <c r="Q85" s="22" t="str">
        <f aca="false">IF(L85="","",IF(M85&lt;&gt;"",M85*L85*100,IF(AND(O85&lt;&gt;"",B85&lt;&gt;""),IFERROR(AVERAGEIF($B$5:$B$1004,B85,$M$5:$M$1004)*L85*100,""),"")))</f>
        <v/>
      </c>
      <c r="R85" s="22" t="str">
        <f aca="false">IF(AND(O85&lt;&gt;"",L85&lt;&gt;""),O85*L85*100,"")</f>
        <v/>
      </c>
      <c r="S85" s="23" t="str">
        <f aca="false">IF(AND(P85&lt;&gt;"",L85&lt;&gt;""),P85*L85*100,"")</f>
        <v/>
      </c>
      <c r="T85" s="24" t="str">
        <f aca="false">IF(AND(Q85&lt;&gt;"",R85&lt;&gt;""),R85-Q85,"")</f>
        <v/>
      </c>
      <c r="U85" s="25" t="str">
        <f aca="false">IF(AND(Q85&lt;&gt;"",Q85&lt;&gt;0,T85&lt;&gt;""),T85/Q85,"")</f>
        <v/>
      </c>
      <c r="V85" s="26" t="str">
        <f aca="false">IF(AND(S85&lt;&gt;"",Q85&lt;&gt;""),S85-Q85,"")</f>
        <v/>
      </c>
      <c r="W85" s="27" t="str">
        <f aca="false">IF(AND(Q85&lt;&gt;"",Q85&lt;&gt;0,V85&lt;&gt;""),V85/Q85,"")</f>
        <v/>
      </c>
      <c r="X85" s="28" t="s">
        <v>37</v>
      </c>
      <c r="Y85" s="29" t="str">
        <f aca="false">IF(AND(O85&lt;&gt;"",M85&lt;&gt;"",O85&gt;M85),CONCATENATE("1 : ",TEXT((O85-M85)/M85,"0.00")),IF(AND(O85&lt;&gt;"",M85&lt;&gt;"",O85&lt;M85),CONCATENATE("-1 : ",TEXT((M85-O85)/M85,"0.00")),"—"))</f>
        <v>—</v>
      </c>
      <c r="Z85" s="30" t="str">
        <f aca="false">IF(AND(P85&lt;&gt;"",M85&lt;&gt;"",P85&gt;M85),CONCATENATE("1 : ",TEXT((P85-M85)/M85,"0.00")),"—")</f>
        <v>—</v>
      </c>
      <c r="AA85" s="31" t="str">
        <f aca="false">IF(AND(C85&lt;&gt;"",E85&lt;&gt;""),E85-C85,"")</f>
        <v/>
      </c>
      <c r="AB85" s="17"/>
      <c r="AC85" s="32"/>
      <c r="AD85" s="33"/>
      <c r="AE85" s="34" t="str">
        <f aca="false">IF(G85&lt;&gt;"",HYPERLINK("https://www.tradingview.com/chart/?symbol="&amp;G85&amp;"&amp;interval=60&amp;from="&amp;(AG85-10*3600)&amp;"&amp;to="&amp;(AG85+50*3600),"📈 1H"),"")</f>
        <v/>
      </c>
      <c r="AF85" s="35" t="str">
        <f aca="false">IF(G85&lt;&gt;"",HYPERLINK("https://www.tradingview.com/chart/?symbol="&amp;G85&amp;"&amp;interval=240&amp;from="&amp;(AG85-10*14400)&amp;"&amp;to="&amp;(AG85+50*14400),"📈 4H"),"")</f>
        <v/>
      </c>
      <c r="AG85" s="36" t="str">
        <f aca="false">IF(C85&lt;&gt;"",INT((C85+IF(D85&lt;&gt;"",D85,0)-DATE(1970,1,1))*86400),"")</f>
        <v/>
      </c>
    </row>
    <row r="86" customFormat="false" ht="19.5" hidden="false" customHeight="true" outlineLevel="0" collapsed="false">
      <c r="A86" s="37" t="n">
        <f aca="false">ROW()-4</f>
        <v>82</v>
      </c>
      <c r="B86" s="38"/>
      <c r="C86" s="39"/>
      <c r="D86" s="40"/>
      <c r="E86" s="39"/>
      <c r="F86" s="40"/>
      <c r="G86" s="41"/>
      <c r="H86" s="42"/>
      <c r="I86" s="43"/>
      <c r="J86" s="44"/>
      <c r="K86" s="39"/>
      <c r="L86" s="42"/>
      <c r="M86" s="44"/>
      <c r="N86" s="45"/>
      <c r="O86" s="44"/>
      <c r="P86" s="46"/>
      <c r="Q86" s="47" t="str">
        <f aca="false">IF(L86="","",IF(M86&lt;&gt;"",M86*L86*100,IF(AND(O86&lt;&gt;"",B86&lt;&gt;""),IFERROR(AVERAGEIF($B$5:$B$1004,B86,$M$5:$M$1004)*L86*100,""),"")))</f>
        <v/>
      </c>
      <c r="R86" s="47" t="str">
        <f aca="false">IF(AND(O86&lt;&gt;"",L86&lt;&gt;""),O86*L86*100,"")</f>
        <v/>
      </c>
      <c r="S86" s="48" t="str">
        <f aca="false">IF(AND(P86&lt;&gt;"",L86&lt;&gt;""),P86*L86*100,"")</f>
        <v/>
      </c>
      <c r="T86" s="49" t="str">
        <f aca="false">IF(AND(Q86&lt;&gt;"",R86&lt;&gt;""),R86-Q86,"")</f>
        <v/>
      </c>
      <c r="U86" s="50" t="str">
        <f aca="false">IF(AND(Q86&lt;&gt;"",Q86&lt;&gt;0,T86&lt;&gt;""),T86/Q86,"")</f>
        <v/>
      </c>
      <c r="V86" s="51" t="str">
        <f aca="false">IF(AND(S86&lt;&gt;"",Q86&lt;&gt;""),S86-Q86,"")</f>
        <v/>
      </c>
      <c r="W86" s="52" t="str">
        <f aca="false">IF(AND(Q86&lt;&gt;"",Q86&lt;&gt;0,V86&lt;&gt;""),V86/Q86,"")</f>
        <v/>
      </c>
      <c r="X86" s="53" t="s">
        <v>37</v>
      </c>
      <c r="Y86" s="54" t="str">
        <f aca="false">IF(AND(O86&lt;&gt;"",M86&lt;&gt;"",O86&gt;M86),CONCATENATE("1 : ",TEXT((O86-M86)/M86,"0.00")),IF(AND(O86&lt;&gt;"",M86&lt;&gt;"",O86&lt;M86),CONCATENATE("-1 : ",TEXT((M86-O86)/M86,"0.00")),"—"))</f>
        <v>—</v>
      </c>
      <c r="Z86" s="55" t="str">
        <f aca="false">IF(AND(P86&lt;&gt;"",M86&lt;&gt;"",P86&gt;M86),CONCATENATE("1 : ",TEXT((P86-M86)/M86,"0.00")),"—")</f>
        <v>—</v>
      </c>
      <c r="AA86" s="56" t="str">
        <f aca="false">IF(AND(C86&lt;&gt;"",E86&lt;&gt;""),E86-C86,"")</f>
        <v/>
      </c>
      <c r="AB86" s="42"/>
      <c r="AC86" s="57"/>
      <c r="AD86" s="58"/>
      <c r="AE86" s="59" t="str">
        <f aca="false">IF(G86&lt;&gt;"",HYPERLINK("https://www.tradingview.com/chart/?symbol="&amp;G86&amp;"&amp;interval=60&amp;from="&amp;(AG86-10*3600)&amp;"&amp;to="&amp;(AG86+50*3600),"📈 1H"),"")</f>
        <v/>
      </c>
      <c r="AF86" s="60" t="str">
        <f aca="false">IF(G86&lt;&gt;"",HYPERLINK("https://www.tradingview.com/chart/?symbol="&amp;G86&amp;"&amp;interval=240&amp;from="&amp;(AG86-10*14400)&amp;"&amp;to="&amp;(AG86+50*14400),"📈 4H"),"")</f>
        <v/>
      </c>
      <c r="AG86" s="36" t="str">
        <f aca="false">IF(C86&lt;&gt;"",INT((C86+IF(D86&lt;&gt;"",D86,0)-DATE(1970,1,1))*86400),"")</f>
        <v/>
      </c>
    </row>
    <row r="87" customFormat="false" ht="19.5" hidden="false" customHeight="true" outlineLevel="0" collapsed="false">
      <c r="A87" s="12" t="n">
        <f aca="false">ROW()-4</f>
        <v>83</v>
      </c>
      <c r="B87" s="13"/>
      <c r="C87" s="14"/>
      <c r="D87" s="15"/>
      <c r="E87" s="14"/>
      <c r="F87" s="15"/>
      <c r="G87" s="16"/>
      <c r="H87" s="17"/>
      <c r="I87" s="18"/>
      <c r="J87" s="19"/>
      <c r="K87" s="14"/>
      <c r="L87" s="17"/>
      <c r="M87" s="19"/>
      <c r="N87" s="20"/>
      <c r="O87" s="19"/>
      <c r="P87" s="21"/>
      <c r="Q87" s="22" t="str">
        <f aca="false">IF(L87="","",IF(M87&lt;&gt;"",M87*L87*100,IF(AND(O87&lt;&gt;"",B87&lt;&gt;""),IFERROR(AVERAGEIF($B$5:$B$1004,B87,$M$5:$M$1004)*L87*100,""),"")))</f>
        <v/>
      </c>
      <c r="R87" s="22" t="str">
        <f aca="false">IF(AND(O87&lt;&gt;"",L87&lt;&gt;""),O87*L87*100,"")</f>
        <v/>
      </c>
      <c r="S87" s="23" t="str">
        <f aca="false">IF(AND(P87&lt;&gt;"",L87&lt;&gt;""),P87*L87*100,"")</f>
        <v/>
      </c>
      <c r="T87" s="24" t="str">
        <f aca="false">IF(AND(Q87&lt;&gt;"",R87&lt;&gt;""),R87-Q87,"")</f>
        <v/>
      </c>
      <c r="U87" s="25" t="str">
        <f aca="false">IF(AND(Q87&lt;&gt;"",Q87&lt;&gt;0,T87&lt;&gt;""),T87/Q87,"")</f>
        <v/>
      </c>
      <c r="V87" s="26" t="str">
        <f aca="false">IF(AND(S87&lt;&gt;"",Q87&lt;&gt;""),S87-Q87,"")</f>
        <v/>
      </c>
      <c r="W87" s="27" t="str">
        <f aca="false">IF(AND(Q87&lt;&gt;"",Q87&lt;&gt;0,V87&lt;&gt;""),V87/Q87,"")</f>
        <v/>
      </c>
      <c r="X87" s="28" t="s">
        <v>37</v>
      </c>
      <c r="Y87" s="29" t="str">
        <f aca="false">IF(AND(O87&lt;&gt;"",M87&lt;&gt;"",O87&gt;M87),CONCATENATE("1 : ",TEXT((O87-M87)/M87,"0.00")),IF(AND(O87&lt;&gt;"",M87&lt;&gt;"",O87&lt;M87),CONCATENATE("-1 : ",TEXT((M87-O87)/M87,"0.00")),"—"))</f>
        <v>—</v>
      </c>
      <c r="Z87" s="30" t="str">
        <f aca="false">IF(AND(P87&lt;&gt;"",M87&lt;&gt;"",P87&gt;M87),CONCATENATE("1 : ",TEXT((P87-M87)/M87,"0.00")),"—")</f>
        <v>—</v>
      </c>
      <c r="AA87" s="31" t="str">
        <f aca="false">IF(AND(C87&lt;&gt;"",E87&lt;&gt;""),E87-C87,"")</f>
        <v/>
      </c>
      <c r="AB87" s="17"/>
      <c r="AC87" s="32"/>
      <c r="AD87" s="33"/>
      <c r="AE87" s="34" t="str">
        <f aca="false">IF(G87&lt;&gt;"",HYPERLINK("https://www.tradingview.com/chart/?symbol="&amp;G87&amp;"&amp;interval=60&amp;from="&amp;(AG87-10*3600)&amp;"&amp;to="&amp;(AG87+50*3600),"📈 1H"),"")</f>
        <v/>
      </c>
      <c r="AF87" s="35" t="str">
        <f aca="false">IF(G87&lt;&gt;"",HYPERLINK("https://www.tradingview.com/chart/?symbol="&amp;G87&amp;"&amp;interval=240&amp;from="&amp;(AG87-10*14400)&amp;"&amp;to="&amp;(AG87+50*14400),"📈 4H"),"")</f>
        <v/>
      </c>
      <c r="AG87" s="36" t="str">
        <f aca="false">IF(C87&lt;&gt;"",INT((C87+IF(D87&lt;&gt;"",D87,0)-DATE(1970,1,1))*86400),"")</f>
        <v/>
      </c>
    </row>
    <row r="88" customFormat="false" ht="19.5" hidden="false" customHeight="true" outlineLevel="0" collapsed="false">
      <c r="A88" s="37" t="n">
        <f aca="false">ROW()-4</f>
        <v>84</v>
      </c>
      <c r="B88" s="38"/>
      <c r="C88" s="39"/>
      <c r="D88" s="40"/>
      <c r="E88" s="39"/>
      <c r="F88" s="40"/>
      <c r="G88" s="41"/>
      <c r="H88" s="42"/>
      <c r="I88" s="43"/>
      <c r="J88" s="44"/>
      <c r="K88" s="39"/>
      <c r="L88" s="42"/>
      <c r="M88" s="44"/>
      <c r="N88" s="45"/>
      <c r="O88" s="44"/>
      <c r="P88" s="46"/>
      <c r="Q88" s="47" t="str">
        <f aca="false">IF(L88="","",IF(M88&lt;&gt;"",M88*L88*100,IF(AND(O88&lt;&gt;"",B88&lt;&gt;""),IFERROR(AVERAGEIF($B$5:$B$1004,B88,$M$5:$M$1004)*L88*100,""),"")))</f>
        <v/>
      </c>
      <c r="R88" s="47" t="str">
        <f aca="false">IF(AND(O88&lt;&gt;"",L88&lt;&gt;""),O88*L88*100,"")</f>
        <v/>
      </c>
      <c r="S88" s="48" t="str">
        <f aca="false">IF(AND(P88&lt;&gt;"",L88&lt;&gt;""),P88*L88*100,"")</f>
        <v/>
      </c>
      <c r="T88" s="49" t="str">
        <f aca="false">IF(AND(Q88&lt;&gt;"",R88&lt;&gt;""),R88-Q88,"")</f>
        <v/>
      </c>
      <c r="U88" s="50" t="str">
        <f aca="false">IF(AND(Q88&lt;&gt;"",Q88&lt;&gt;0,T88&lt;&gt;""),T88/Q88,"")</f>
        <v/>
      </c>
      <c r="V88" s="51" t="str">
        <f aca="false">IF(AND(S88&lt;&gt;"",Q88&lt;&gt;""),S88-Q88,"")</f>
        <v/>
      </c>
      <c r="W88" s="52" t="str">
        <f aca="false">IF(AND(Q88&lt;&gt;"",Q88&lt;&gt;0,V88&lt;&gt;""),V88/Q88,"")</f>
        <v/>
      </c>
      <c r="X88" s="53" t="s">
        <v>37</v>
      </c>
      <c r="Y88" s="54" t="str">
        <f aca="false">IF(AND(O88&lt;&gt;"",M88&lt;&gt;"",O88&gt;M88),CONCATENATE("1 : ",TEXT((O88-M88)/M88,"0.00")),IF(AND(O88&lt;&gt;"",M88&lt;&gt;"",O88&lt;M88),CONCATENATE("-1 : ",TEXT((M88-O88)/M88,"0.00")),"—"))</f>
        <v>—</v>
      </c>
      <c r="Z88" s="55" t="str">
        <f aca="false">IF(AND(P88&lt;&gt;"",M88&lt;&gt;"",P88&gt;M88),CONCATENATE("1 : ",TEXT((P88-M88)/M88,"0.00")),"—")</f>
        <v>—</v>
      </c>
      <c r="AA88" s="56" t="str">
        <f aca="false">IF(AND(C88&lt;&gt;"",E88&lt;&gt;""),E88-C88,"")</f>
        <v/>
      </c>
      <c r="AB88" s="42"/>
      <c r="AC88" s="57"/>
      <c r="AD88" s="58"/>
      <c r="AE88" s="59" t="str">
        <f aca="false">IF(G88&lt;&gt;"",HYPERLINK("https://www.tradingview.com/chart/?symbol="&amp;G88&amp;"&amp;interval=60&amp;from="&amp;(AG88-10*3600)&amp;"&amp;to="&amp;(AG88+50*3600),"📈 1H"),"")</f>
        <v/>
      </c>
      <c r="AF88" s="60" t="str">
        <f aca="false">IF(G88&lt;&gt;"",HYPERLINK("https://www.tradingview.com/chart/?symbol="&amp;G88&amp;"&amp;interval=240&amp;from="&amp;(AG88-10*14400)&amp;"&amp;to="&amp;(AG88+50*14400),"📈 4H"),"")</f>
        <v/>
      </c>
      <c r="AG88" s="36" t="str">
        <f aca="false">IF(C88&lt;&gt;"",INT((C88+IF(D88&lt;&gt;"",D88,0)-DATE(1970,1,1))*86400),"")</f>
        <v/>
      </c>
    </row>
    <row r="89" customFormat="false" ht="19.5" hidden="false" customHeight="true" outlineLevel="0" collapsed="false">
      <c r="A89" s="12" t="n">
        <f aca="false">ROW()-4</f>
        <v>85</v>
      </c>
      <c r="B89" s="13"/>
      <c r="C89" s="14"/>
      <c r="D89" s="15"/>
      <c r="E89" s="14"/>
      <c r="F89" s="15"/>
      <c r="G89" s="16"/>
      <c r="H89" s="17"/>
      <c r="I89" s="18"/>
      <c r="J89" s="19"/>
      <c r="K89" s="14"/>
      <c r="L89" s="17"/>
      <c r="M89" s="19"/>
      <c r="N89" s="20"/>
      <c r="O89" s="19"/>
      <c r="P89" s="21"/>
      <c r="Q89" s="22" t="str">
        <f aca="false">IF(L89="","",IF(M89&lt;&gt;"",M89*L89*100,IF(AND(O89&lt;&gt;"",B89&lt;&gt;""),IFERROR(AVERAGEIF($B$5:$B$1004,B89,$M$5:$M$1004)*L89*100,""),"")))</f>
        <v/>
      </c>
      <c r="R89" s="22" t="str">
        <f aca="false">IF(AND(O89&lt;&gt;"",L89&lt;&gt;""),O89*L89*100,"")</f>
        <v/>
      </c>
      <c r="S89" s="23" t="str">
        <f aca="false">IF(AND(P89&lt;&gt;"",L89&lt;&gt;""),P89*L89*100,"")</f>
        <v/>
      </c>
      <c r="T89" s="24" t="str">
        <f aca="false">IF(AND(Q89&lt;&gt;"",R89&lt;&gt;""),R89-Q89,"")</f>
        <v/>
      </c>
      <c r="U89" s="25" t="str">
        <f aca="false">IF(AND(Q89&lt;&gt;"",Q89&lt;&gt;0,T89&lt;&gt;""),T89/Q89,"")</f>
        <v/>
      </c>
      <c r="V89" s="26" t="str">
        <f aca="false">IF(AND(S89&lt;&gt;"",Q89&lt;&gt;""),S89-Q89,"")</f>
        <v/>
      </c>
      <c r="W89" s="27" t="str">
        <f aca="false">IF(AND(Q89&lt;&gt;"",Q89&lt;&gt;0,V89&lt;&gt;""),V89/Q89,"")</f>
        <v/>
      </c>
      <c r="X89" s="28" t="s">
        <v>37</v>
      </c>
      <c r="Y89" s="29" t="str">
        <f aca="false">IF(AND(O89&lt;&gt;"",M89&lt;&gt;"",O89&gt;M89),CONCATENATE("1 : ",TEXT((O89-M89)/M89,"0.00")),IF(AND(O89&lt;&gt;"",M89&lt;&gt;"",O89&lt;M89),CONCATENATE("-1 : ",TEXT((M89-O89)/M89,"0.00")),"—"))</f>
        <v>—</v>
      </c>
      <c r="Z89" s="30" t="str">
        <f aca="false">IF(AND(P89&lt;&gt;"",M89&lt;&gt;"",P89&gt;M89),CONCATENATE("1 : ",TEXT((P89-M89)/M89,"0.00")),"—")</f>
        <v>—</v>
      </c>
      <c r="AA89" s="31" t="str">
        <f aca="false">IF(AND(C89&lt;&gt;"",E89&lt;&gt;""),E89-C89,"")</f>
        <v/>
      </c>
      <c r="AB89" s="17"/>
      <c r="AC89" s="32"/>
      <c r="AD89" s="33"/>
      <c r="AE89" s="34" t="str">
        <f aca="false">IF(G89&lt;&gt;"",HYPERLINK("https://www.tradingview.com/chart/?symbol="&amp;G89&amp;"&amp;interval=60&amp;from="&amp;(AG89-10*3600)&amp;"&amp;to="&amp;(AG89+50*3600),"📈 1H"),"")</f>
        <v/>
      </c>
      <c r="AF89" s="35" t="str">
        <f aca="false">IF(G89&lt;&gt;"",HYPERLINK("https://www.tradingview.com/chart/?symbol="&amp;G89&amp;"&amp;interval=240&amp;from="&amp;(AG89-10*14400)&amp;"&amp;to="&amp;(AG89+50*14400),"📈 4H"),"")</f>
        <v/>
      </c>
      <c r="AG89" s="36" t="str">
        <f aca="false">IF(C89&lt;&gt;"",INT((C89+IF(D89&lt;&gt;"",D89,0)-DATE(1970,1,1))*86400),"")</f>
        <v/>
      </c>
    </row>
    <row r="90" customFormat="false" ht="19.5" hidden="false" customHeight="true" outlineLevel="0" collapsed="false">
      <c r="A90" s="37" t="n">
        <f aca="false">ROW()-4</f>
        <v>86</v>
      </c>
      <c r="B90" s="38"/>
      <c r="C90" s="39"/>
      <c r="D90" s="40"/>
      <c r="E90" s="39"/>
      <c r="F90" s="40"/>
      <c r="G90" s="41"/>
      <c r="H90" s="42"/>
      <c r="I90" s="43"/>
      <c r="J90" s="44"/>
      <c r="K90" s="39"/>
      <c r="L90" s="42"/>
      <c r="M90" s="44"/>
      <c r="N90" s="45"/>
      <c r="O90" s="44"/>
      <c r="P90" s="46"/>
      <c r="Q90" s="47" t="str">
        <f aca="false">IF(L90="","",IF(M90&lt;&gt;"",M90*L90*100,IF(AND(O90&lt;&gt;"",B90&lt;&gt;""),IFERROR(AVERAGEIF($B$5:$B$1004,B90,$M$5:$M$1004)*L90*100,""),"")))</f>
        <v/>
      </c>
      <c r="R90" s="47" t="str">
        <f aca="false">IF(AND(O90&lt;&gt;"",L90&lt;&gt;""),O90*L90*100,"")</f>
        <v/>
      </c>
      <c r="S90" s="48" t="str">
        <f aca="false">IF(AND(P90&lt;&gt;"",L90&lt;&gt;""),P90*L90*100,"")</f>
        <v/>
      </c>
      <c r="T90" s="49" t="str">
        <f aca="false">IF(AND(Q90&lt;&gt;"",R90&lt;&gt;""),R90-Q90,"")</f>
        <v/>
      </c>
      <c r="U90" s="50" t="str">
        <f aca="false">IF(AND(Q90&lt;&gt;"",Q90&lt;&gt;0,T90&lt;&gt;""),T90/Q90,"")</f>
        <v/>
      </c>
      <c r="V90" s="51" t="str">
        <f aca="false">IF(AND(S90&lt;&gt;"",Q90&lt;&gt;""),S90-Q90,"")</f>
        <v/>
      </c>
      <c r="W90" s="52" t="str">
        <f aca="false">IF(AND(Q90&lt;&gt;"",Q90&lt;&gt;0,V90&lt;&gt;""),V90/Q90,"")</f>
        <v/>
      </c>
      <c r="X90" s="53" t="s">
        <v>37</v>
      </c>
      <c r="Y90" s="54" t="str">
        <f aca="false">IF(AND(O90&lt;&gt;"",M90&lt;&gt;"",O90&gt;M90),CONCATENATE("1 : ",TEXT((O90-M90)/M90,"0.00")),IF(AND(O90&lt;&gt;"",M90&lt;&gt;"",O90&lt;M90),CONCATENATE("-1 : ",TEXT((M90-O90)/M90,"0.00")),"—"))</f>
        <v>—</v>
      </c>
      <c r="Z90" s="55" t="str">
        <f aca="false">IF(AND(P90&lt;&gt;"",M90&lt;&gt;"",P90&gt;M90),CONCATENATE("1 : ",TEXT((P90-M90)/M90,"0.00")),"—")</f>
        <v>—</v>
      </c>
      <c r="AA90" s="56" t="str">
        <f aca="false">IF(AND(C90&lt;&gt;"",E90&lt;&gt;""),E90-C90,"")</f>
        <v/>
      </c>
      <c r="AB90" s="42"/>
      <c r="AC90" s="57"/>
      <c r="AD90" s="58"/>
      <c r="AE90" s="59" t="str">
        <f aca="false">IF(G90&lt;&gt;"",HYPERLINK("https://www.tradingview.com/chart/?symbol="&amp;G90&amp;"&amp;interval=60&amp;from="&amp;(AG90-10*3600)&amp;"&amp;to="&amp;(AG90+50*3600),"📈 1H"),"")</f>
        <v/>
      </c>
      <c r="AF90" s="60" t="str">
        <f aca="false">IF(G90&lt;&gt;"",HYPERLINK("https://www.tradingview.com/chart/?symbol="&amp;G90&amp;"&amp;interval=240&amp;from="&amp;(AG90-10*14400)&amp;"&amp;to="&amp;(AG90+50*14400),"📈 4H"),"")</f>
        <v/>
      </c>
      <c r="AG90" s="36" t="str">
        <f aca="false">IF(C90&lt;&gt;"",INT((C90+IF(D90&lt;&gt;"",D90,0)-DATE(1970,1,1))*86400),"")</f>
        <v/>
      </c>
    </row>
    <row r="91" customFormat="false" ht="19.5" hidden="false" customHeight="true" outlineLevel="0" collapsed="false">
      <c r="A91" s="12" t="n">
        <f aca="false">ROW()-4</f>
        <v>87</v>
      </c>
      <c r="B91" s="13"/>
      <c r="C91" s="14"/>
      <c r="D91" s="15"/>
      <c r="E91" s="14"/>
      <c r="F91" s="15"/>
      <c r="G91" s="16"/>
      <c r="H91" s="17"/>
      <c r="I91" s="18"/>
      <c r="J91" s="19"/>
      <c r="K91" s="14"/>
      <c r="L91" s="17"/>
      <c r="M91" s="19"/>
      <c r="N91" s="20"/>
      <c r="O91" s="19"/>
      <c r="P91" s="21"/>
      <c r="Q91" s="22" t="str">
        <f aca="false">IF(L91="","",IF(M91&lt;&gt;"",M91*L91*100,IF(AND(O91&lt;&gt;"",B91&lt;&gt;""),IFERROR(AVERAGEIF($B$5:$B$1004,B91,$M$5:$M$1004)*L91*100,""),"")))</f>
        <v/>
      </c>
      <c r="R91" s="22" t="str">
        <f aca="false">IF(AND(O91&lt;&gt;"",L91&lt;&gt;""),O91*L91*100,"")</f>
        <v/>
      </c>
      <c r="S91" s="23" t="str">
        <f aca="false">IF(AND(P91&lt;&gt;"",L91&lt;&gt;""),P91*L91*100,"")</f>
        <v/>
      </c>
      <c r="T91" s="24" t="str">
        <f aca="false">IF(AND(Q91&lt;&gt;"",R91&lt;&gt;""),R91-Q91,"")</f>
        <v/>
      </c>
      <c r="U91" s="25" t="str">
        <f aca="false">IF(AND(Q91&lt;&gt;"",Q91&lt;&gt;0,T91&lt;&gt;""),T91/Q91,"")</f>
        <v/>
      </c>
      <c r="V91" s="26" t="str">
        <f aca="false">IF(AND(S91&lt;&gt;"",Q91&lt;&gt;""),S91-Q91,"")</f>
        <v/>
      </c>
      <c r="W91" s="27" t="str">
        <f aca="false">IF(AND(Q91&lt;&gt;"",Q91&lt;&gt;0,V91&lt;&gt;""),V91/Q91,"")</f>
        <v/>
      </c>
      <c r="X91" s="28" t="s">
        <v>37</v>
      </c>
      <c r="Y91" s="29" t="str">
        <f aca="false">IF(AND(O91&lt;&gt;"",M91&lt;&gt;"",O91&gt;M91),CONCATENATE("1 : ",TEXT((O91-M91)/M91,"0.00")),IF(AND(O91&lt;&gt;"",M91&lt;&gt;"",O91&lt;M91),CONCATENATE("-1 : ",TEXT((M91-O91)/M91,"0.00")),"—"))</f>
        <v>—</v>
      </c>
      <c r="Z91" s="30" t="str">
        <f aca="false">IF(AND(P91&lt;&gt;"",M91&lt;&gt;"",P91&gt;M91),CONCATENATE("1 : ",TEXT((P91-M91)/M91,"0.00")),"—")</f>
        <v>—</v>
      </c>
      <c r="AA91" s="31" t="str">
        <f aca="false">IF(AND(C91&lt;&gt;"",E91&lt;&gt;""),E91-C91,"")</f>
        <v/>
      </c>
      <c r="AB91" s="17"/>
      <c r="AC91" s="32"/>
      <c r="AD91" s="33"/>
      <c r="AE91" s="34" t="str">
        <f aca="false">IF(G91&lt;&gt;"",HYPERLINK("https://www.tradingview.com/chart/?symbol="&amp;G91&amp;"&amp;interval=60&amp;from="&amp;(AG91-10*3600)&amp;"&amp;to="&amp;(AG91+50*3600),"📈 1H"),"")</f>
        <v/>
      </c>
      <c r="AF91" s="35" t="str">
        <f aca="false">IF(G91&lt;&gt;"",HYPERLINK("https://www.tradingview.com/chart/?symbol="&amp;G91&amp;"&amp;interval=240&amp;from="&amp;(AG91-10*14400)&amp;"&amp;to="&amp;(AG91+50*14400),"📈 4H"),"")</f>
        <v/>
      </c>
      <c r="AG91" s="36" t="str">
        <f aca="false">IF(C91&lt;&gt;"",INT((C91+IF(D91&lt;&gt;"",D91,0)-DATE(1970,1,1))*86400),"")</f>
        <v/>
      </c>
    </row>
    <row r="92" customFormat="false" ht="19.5" hidden="false" customHeight="true" outlineLevel="0" collapsed="false">
      <c r="A92" s="37" t="n">
        <f aca="false">ROW()-4</f>
        <v>88</v>
      </c>
      <c r="B92" s="38"/>
      <c r="C92" s="39"/>
      <c r="D92" s="40"/>
      <c r="E92" s="39"/>
      <c r="F92" s="40"/>
      <c r="G92" s="41"/>
      <c r="H92" s="42"/>
      <c r="I92" s="43"/>
      <c r="J92" s="44"/>
      <c r="K92" s="39"/>
      <c r="L92" s="42"/>
      <c r="M92" s="44"/>
      <c r="N92" s="45"/>
      <c r="O92" s="44"/>
      <c r="P92" s="46"/>
      <c r="Q92" s="47" t="str">
        <f aca="false">IF(L92="","",IF(M92&lt;&gt;"",M92*L92*100,IF(AND(O92&lt;&gt;"",B92&lt;&gt;""),IFERROR(AVERAGEIF($B$5:$B$1004,B92,$M$5:$M$1004)*L92*100,""),"")))</f>
        <v/>
      </c>
      <c r="R92" s="47" t="str">
        <f aca="false">IF(AND(O92&lt;&gt;"",L92&lt;&gt;""),O92*L92*100,"")</f>
        <v/>
      </c>
      <c r="S92" s="48" t="str">
        <f aca="false">IF(AND(P92&lt;&gt;"",L92&lt;&gt;""),P92*L92*100,"")</f>
        <v/>
      </c>
      <c r="T92" s="49" t="str">
        <f aca="false">IF(AND(Q92&lt;&gt;"",R92&lt;&gt;""),R92-Q92,"")</f>
        <v/>
      </c>
      <c r="U92" s="50" t="str">
        <f aca="false">IF(AND(Q92&lt;&gt;"",Q92&lt;&gt;0,T92&lt;&gt;""),T92/Q92,"")</f>
        <v/>
      </c>
      <c r="V92" s="51" t="str">
        <f aca="false">IF(AND(S92&lt;&gt;"",Q92&lt;&gt;""),S92-Q92,"")</f>
        <v/>
      </c>
      <c r="W92" s="52" t="str">
        <f aca="false">IF(AND(Q92&lt;&gt;"",Q92&lt;&gt;0,V92&lt;&gt;""),V92/Q92,"")</f>
        <v/>
      </c>
      <c r="X92" s="53" t="s">
        <v>37</v>
      </c>
      <c r="Y92" s="54" t="str">
        <f aca="false">IF(AND(O92&lt;&gt;"",M92&lt;&gt;"",O92&gt;M92),CONCATENATE("1 : ",TEXT((O92-M92)/M92,"0.00")),IF(AND(O92&lt;&gt;"",M92&lt;&gt;"",O92&lt;M92),CONCATENATE("-1 : ",TEXT((M92-O92)/M92,"0.00")),"—"))</f>
        <v>—</v>
      </c>
      <c r="Z92" s="55" t="str">
        <f aca="false">IF(AND(P92&lt;&gt;"",M92&lt;&gt;"",P92&gt;M92),CONCATENATE("1 : ",TEXT((P92-M92)/M92,"0.00")),"—")</f>
        <v>—</v>
      </c>
      <c r="AA92" s="56" t="str">
        <f aca="false">IF(AND(C92&lt;&gt;"",E92&lt;&gt;""),E92-C92,"")</f>
        <v/>
      </c>
      <c r="AB92" s="42"/>
      <c r="AC92" s="57"/>
      <c r="AD92" s="58"/>
      <c r="AE92" s="59" t="str">
        <f aca="false">IF(G92&lt;&gt;"",HYPERLINK("https://www.tradingview.com/chart/?symbol="&amp;G92&amp;"&amp;interval=60&amp;from="&amp;(AG92-10*3600)&amp;"&amp;to="&amp;(AG92+50*3600),"📈 1H"),"")</f>
        <v/>
      </c>
      <c r="AF92" s="60" t="str">
        <f aca="false">IF(G92&lt;&gt;"",HYPERLINK("https://www.tradingview.com/chart/?symbol="&amp;G92&amp;"&amp;interval=240&amp;from="&amp;(AG92-10*14400)&amp;"&amp;to="&amp;(AG92+50*14400),"📈 4H"),"")</f>
        <v/>
      </c>
      <c r="AG92" s="36" t="str">
        <f aca="false">IF(C92&lt;&gt;"",INT((C92+IF(D92&lt;&gt;"",D92,0)-DATE(1970,1,1))*86400),"")</f>
        <v/>
      </c>
    </row>
    <row r="93" customFormat="false" ht="19.5" hidden="false" customHeight="true" outlineLevel="0" collapsed="false">
      <c r="A93" s="12" t="n">
        <f aca="false">ROW()-4</f>
        <v>89</v>
      </c>
      <c r="B93" s="13"/>
      <c r="C93" s="14"/>
      <c r="D93" s="15"/>
      <c r="E93" s="14"/>
      <c r="F93" s="15"/>
      <c r="G93" s="16"/>
      <c r="H93" s="17"/>
      <c r="I93" s="18"/>
      <c r="J93" s="19"/>
      <c r="K93" s="14"/>
      <c r="L93" s="17"/>
      <c r="M93" s="19"/>
      <c r="N93" s="20"/>
      <c r="O93" s="19"/>
      <c r="P93" s="21"/>
      <c r="Q93" s="22" t="str">
        <f aca="false">IF(L93="","",IF(M93&lt;&gt;"",M93*L93*100,IF(AND(O93&lt;&gt;"",B93&lt;&gt;""),IFERROR(AVERAGEIF($B$5:$B$1004,B93,$M$5:$M$1004)*L93*100,""),"")))</f>
        <v/>
      </c>
      <c r="R93" s="22" t="str">
        <f aca="false">IF(AND(O93&lt;&gt;"",L93&lt;&gt;""),O93*L93*100,"")</f>
        <v/>
      </c>
      <c r="S93" s="23" t="str">
        <f aca="false">IF(AND(P93&lt;&gt;"",L93&lt;&gt;""),P93*L93*100,"")</f>
        <v/>
      </c>
      <c r="T93" s="24" t="str">
        <f aca="false">IF(AND(Q93&lt;&gt;"",R93&lt;&gt;""),R93-Q93,"")</f>
        <v/>
      </c>
      <c r="U93" s="25" t="str">
        <f aca="false">IF(AND(Q93&lt;&gt;"",Q93&lt;&gt;0,T93&lt;&gt;""),T93/Q93,"")</f>
        <v/>
      </c>
      <c r="V93" s="26" t="str">
        <f aca="false">IF(AND(S93&lt;&gt;"",Q93&lt;&gt;""),S93-Q93,"")</f>
        <v/>
      </c>
      <c r="W93" s="27" t="str">
        <f aca="false">IF(AND(Q93&lt;&gt;"",Q93&lt;&gt;0,V93&lt;&gt;""),V93/Q93,"")</f>
        <v/>
      </c>
      <c r="X93" s="28" t="s">
        <v>37</v>
      </c>
      <c r="Y93" s="29" t="str">
        <f aca="false">IF(AND(O93&lt;&gt;"",M93&lt;&gt;"",O93&gt;M93),CONCATENATE("1 : ",TEXT((O93-M93)/M93,"0.00")),IF(AND(O93&lt;&gt;"",M93&lt;&gt;"",O93&lt;M93),CONCATENATE("-1 : ",TEXT((M93-O93)/M93,"0.00")),"—"))</f>
        <v>—</v>
      </c>
      <c r="Z93" s="30" t="str">
        <f aca="false">IF(AND(P93&lt;&gt;"",M93&lt;&gt;"",P93&gt;M93),CONCATENATE("1 : ",TEXT((P93-M93)/M93,"0.00")),"—")</f>
        <v>—</v>
      </c>
      <c r="AA93" s="31" t="str">
        <f aca="false">IF(AND(C93&lt;&gt;"",E93&lt;&gt;""),E93-C93,"")</f>
        <v/>
      </c>
      <c r="AB93" s="17"/>
      <c r="AC93" s="32"/>
      <c r="AD93" s="33"/>
      <c r="AE93" s="34" t="str">
        <f aca="false">IF(G93&lt;&gt;"",HYPERLINK("https://www.tradingview.com/chart/?symbol="&amp;G93&amp;"&amp;interval=60&amp;from="&amp;(AG93-10*3600)&amp;"&amp;to="&amp;(AG93+50*3600),"📈 1H"),"")</f>
        <v/>
      </c>
      <c r="AF93" s="35" t="str">
        <f aca="false">IF(G93&lt;&gt;"",HYPERLINK("https://www.tradingview.com/chart/?symbol="&amp;G93&amp;"&amp;interval=240&amp;from="&amp;(AG93-10*14400)&amp;"&amp;to="&amp;(AG93+50*14400),"📈 4H"),"")</f>
        <v/>
      </c>
      <c r="AG93" s="36" t="str">
        <f aca="false">IF(C93&lt;&gt;"",INT((C93+IF(D93&lt;&gt;"",D93,0)-DATE(1970,1,1))*86400),"")</f>
        <v/>
      </c>
    </row>
    <row r="94" customFormat="false" ht="19.5" hidden="false" customHeight="true" outlineLevel="0" collapsed="false">
      <c r="A94" s="37" t="n">
        <f aca="false">ROW()-4</f>
        <v>90</v>
      </c>
      <c r="B94" s="38"/>
      <c r="C94" s="39"/>
      <c r="D94" s="40"/>
      <c r="E94" s="39"/>
      <c r="F94" s="40"/>
      <c r="G94" s="41"/>
      <c r="H94" s="42"/>
      <c r="I94" s="43"/>
      <c r="J94" s="44"/>
      <c r="K94" s="39"/>
      <c r="L94" s="42"/>
      <c r="M94" s="44"/>
      <c r="N94" s="45"/>
      <c r="O94" s="44"/>
      <c r="P94" s="46"/>
      <c r="Q94" s="47" t="str">
        <f aca="false">IF(L94="","",IF(M94&lt;&gt;"",M94*L94*100,IF(AND(O94&lt;&gt;"",B94&lt;&gt;""),IFERROR(AVERAGEIF($B$5:$B$1004,B94,$M$5:$M$1004)*L94*100,""),"")))</f>
        <v/>
      </c>
      <c r="R94" s="47" t="str">
        <f aca="false">IF(AND(O94&lt;&gt;"",L94&lt;&gt;""),O94*L94*100,"")</f>
        <v/>
      </c>
      <c r="S94" s="48" t="str">
        <f aca="false">IF(AND(P94&lt;&gt;"",L94&lt;&gt;""),P94*L94*100,"")</f>
        <v/>
      </c>
      <c r="T94" s="49" t="str">
        <f aca="false">IF(AND(Q94&lt;&gt;"",R94&lt;&gt;""),R94-Q94,"")</f>
        <v/>
      </c>
      <c r="U94" s="50" t="str">
        <f aca="false">IF(AND(Q94&lt;&gt;"",Q94&lt;&gt;0,T94&lt;&gt;""),T94/Q94,"")</f>
        <v/>
      </c>
      <c r="V94" s="51" t="str">
        <f aca="false">IF(AND(S94&lt;&gt;"",Q94&lt;&gt;""),S94-Q94,"")</f>
        <v/>
      </c>
      <c r="W94" s="52" t="str">
        <f aca="false">IF(AND(Q94&lt;&gt;"",Q94&lt;&gt;0,V94&lt;&gt;""),V94/Q94,"")</f>
        <v/>
      </c>
      <c r="X94" s="53" t="s">
        <v>37</v>
      </c>
      <c r="Y94" s="54" t="str">
        <f aca="false">IF(AND(O94&lt;&gt;"",M94&lt;&gt;"",O94&gt;M94),CONCATENATE("1 : ",TEXT((O94-M94)/M94,"0.00")),IF(AND(O94&lt;&gt;"",M94&lt;&gt;"",O94&lt;M94),CONCATENATE("-1 : ",TEXT((M94-O94)/M94,"0.00")),"—"))</f>
        <v>—</v>
      </c>
      <c r="Z94" s="55" t="str">
        <f aca="false">IF(AND(P94&lt;&gt;"",M94&lt;&gt;"",P94&gt;M94),CONCATENATE("1 : ",TEXT((P94-M94)/M94,"0.00")),"—")</f>
        <v>—</v>
      </c>
      <c r="AA94" s="56" t="str">
        <f aca="false">IF(AND(C94&lt;&gt;"",E94&lt;&gt;""),E94-C94,"")</f>
        <v/>
      </c>
      <c r="AB94" s="42"/>
      <c r="AC94" s="57"/>
      <c r="AD94" s="58"/>
      <c r="AE94" s="59" t="str">
        <f aca="false">IF(G94&lt;&gt;"",HYPERLINK("https://www.tradingview.com/chart/?symbol="&amp;G94&amp;"&amp;interval=60&amp;from="&amp;(AG94-10*3600)&amp;"&amp;to="&amp;(AG94+50*3600),"📈 1H"),"")</f>
        <v/>
      </c>
      <c r="AF94" s="60" t="str">
        <f aca="false">IF(G94&lt;&gt;"",HYPERLINK("https://www.tradingview.com/chart/?symbol="&amp;G94&amp;"&amp;interval=240&amp;from="&amp;(AG94-10*14400)&amp;"&amp;to="&amp;(AG94+50*14400),"📈 4H"),"")</f>
        <v/>
      </c>
      <c r="AG94" s="36" t="str">
        <f aca="false">IF(C94&lt;&gt;"",INT((C94+IF(D94&lt;&gt;"",D94,0)-DATE(1970,1,1))*86400),"")</f>
        <v/>
      </c>
    </row>
    <row r="95" customFormat="false" ht="19.5" hidden="false" customHeight="true" outlineLevel="0" collapsed="false">
      <c r="A95" s="12" t="n">
        <f aca="false">ROW()-4</f>
        <v>91</v>
      </c>
      <c r="B95" s="13"/>
      <c r="C95" s="14"/>
      <c r="D95" s="15"/>
      <c r="E95" s="14"/>
      <c r="F95" s="15"/>
      <c r="G95" s="16"/>
      <c r="H95" s="17"/>
      <c r="I95" s="18"/>
      <c r="J95" s="19"/>
      <c r="K95" s="14"/>
      <c r="L95" s="17"/>
      <c r="M95" s="19"/>
      <c r="N95" s="20"/>
      <c r="O95" s="19"/>
      <c r="P95" s="21"/>
      <c r="Q95" s="22" t="str">
        <f aca="false">IF(L95="","",IF(M95&lt;&gt;"",M95*L95*100,IF(AND(O95&lt;&gt;"",B95&lt;&gt;""),IFERROR(AVERAGEIF($B$5:$B$1004,B95,$M$5:$M$1004)*L95*100,""),"")))</f>
        <v/>
      </c>
      <c r="R95" s="22" t="str">
        <f aca="false">IF(AND(O95&lt;&gt;"",L95&lt;&gt;""),O95*L95*100,"")</f>
        <v/>
      </c>
      <c r="S95" s="23" t="str">
        <f aca="false">IF(AND(P95&lt;&gt;"",L95&lt;&gt;""),P95*L95*100,"")</f>
        <v/>
      </c>
      <c r="T95" s="24" t="str">
        <f aca="false">IF(AND(Q95&lt;&gt;"",R95&lt;&gt;""),R95-Q95,"")</f>
        <v/>
      </c>
      <c r="U95" s="25" t="str">
        <f aca="false">IF(AND(Q95&lt;&gt;"",Q95&lt;&gt;0,T95&lt;&gt;""),T95/Q95,"")</f>
        <v/>
      </c>
      <c r="V95" s="26" t="str">
        <f aca="false">IF(AND(S95&lt;&gt;"",Q95&lt;&gt;""),S95-Q95,"")</f>
        <v/>
      </c>
      <c r="W95" s="27" t="str">
        <f aca="false">IF(AND(Q95&lt;&gt;"",Q95&lt;&gt;0,V95&lt;&gt;""),V95/Q95,"")</f>
        <v/>
      </c>
      <c r="X95" s="28" t="s">
        <v>37</v>
      </c>
      <c r="Y95" s="29" t="str">
        <f aca="false">IF(AND(O95&lt;&gt;"",M95&lt;&gt;"",O95&gt;M95),CONCATENATE("1 : ",TEXT((O95-M95)/M95,"0.00")),IF(AND(O95&lt;&gt;"",M95&lt;&gt;"",O95&lt;M95),CONCATENATE("-1 : ",TEXT((M95-O95)/M95,"0.00")),"—"))</f>
        <v>—</v>
      </c>
      <c r="Z95" s="30" t="str">
        <f aca="false">IF(AND(P95&lt;&gt;"",M95&lt;&gt;"",P95&gt;M95),CONCATENATE("1 : ",TEXT((P95-M95)/M95,"0.00")),"—")</f>
        <v>—</v>
      </c>
      <c r="AA95" s="31" t="str">
        <f aca="false">IF(AND(C95&lt;&gt;"",E95&lt;&gt;""),E95-C95,"")</f>
        <v/>
      </c>
      <c r="AB95" s="17"/>
      <c r="AC95" s="32"/>
      <c r="AD95" s="33"/>
      <c r="AE95" s="34" t="str">
        <f aca="false">IF(G95&lt;&gt;"",HYPERLINK("https://www.tradingview.com/chart/?symbol="&amp;G95&amp;"&amp;interval=60&amp;from="&amp;(AG95-10*3600)&amp;"&amp;to="&amp;(AG95+50*3600),"📈 1H"),"")</f>
        <v/>
      </c>
      <c r="AF95" s="35" t="str">
        <f aca="false">IF(G95&lt;&gt;"",HYPERLINK("https://www.tradingview.com/chart/?symbol="&amp;G95&amp;"&amp;interval=240&amp;from="&amp;(AG95-10*14400)&amp;"&amp;to="&amp;(AG95+50*14400),"📈 4H"),"")</f>
        <v/>
      </c>
      <c r="AG95" s="36" t="str">
        <f aca="false">IF(C95&lt;&gt;"",INT((C95+IF(D95&lt;&gt;"",D95,0)-DATE(1970,1,1))*86400),"")</f>
        <v/>
      </c>
    </row>
    <row r="96" customFormat="false" ht="19.5" hidden="false" customHeight="true" outlineLevel="0" collapsed="false">
      <c r="A96" s="37" t="n">
        <f aca="false">ROW()-4</f>
        <v>92</v>
      </c>
      <c r="B96" s="38"/>
      <c r="C96" s="39"/>
      <c r="D96" s="40"/>
      <c r="E96" s="39"/>
      <c r="F96" s="40"/>
      <c r="G96" s="41"/>
      <c r="H96" s="42"/>
      <c r="I96" s="43"/>
      <c r="J96" s="44"/>
      <c r="K96" s="39"/>
      <c r="L96" s="42"/>
      <c r="M96" s="44"/>
      <c r="N96" s="45"/>
      <c r="O96" s="44"/>
      <c r="P96" s="46"/>
      <c r="Q96" s="47" t="str">
        <f aca="false">IF(L96="","",IF(M96&lt;&gt;"",M96*L96*100,IF(AND(O96&lt;&gt;"",B96&lt;&gt;""),IFERROR(AVERAGEIF($B$5:$B$1004,B96,$M$5:$M$1004)*L96*100,""),"")))</f>
        <v/>
      </c>
      <c r="R96" s="47" t="str">
        <f aca="false">IF(AND(O96&lt;&gt;"",L96&lt;&gt;""),O96*L96*100,"")</f>
        <v/>
      </c>
      <c r="S96" s="48" t="str">
        <f aca="false">IF(AND(P96&lt;&gt;"",L96&lt;&gt;""),P96*L96*100,"")</f>
        <v/>
      </c>
      <c r="T96" s="49" t="str">
        <f aca="false">IF(AND(Q96&lt;&gt;"",R96&lt;&gt;""),R96-Q96,"")</f>
        <v/>
      </c>
      <c r="U96" s="50" t="str">
        <f aca="false">IF(AND(Q96&lt;&gt;"",Q96&lt;&gt;0,T96&lt;&gt;""),T96/Q96,"")</f>
        <v/>
      </c>
      <c r="V96" s="51" t="str">
        <f aca="false">IF(AND(S96&lt;&gt;"",Q96&lt;&gt;""),S96-Q96,"")</f>
        <v/>
      </c>
      <c r="W96" s="52" t="str">
        <f aca="false">IF(AND(Q96&lt;&gt;"",Q96&lt;&gt;0,V96&lt;&gt;""),V96/Q96,"")</f>
        <v/>
      </c>
      <c r="X96" s="53" t="s">
        <v>37</v>
      </c>
      <c r="Y96" s="54" t="str">
        <f aca="false">IF(AND(O96&lt;&gt;"",M96&lt;&gt;"",O96&gt;M96),CONCATENATE("1 : ",TEXT((O96-M96)/M96,"0.00")),IF(AND(O96&lt;&gt;"",M96&lt;&gt;"",O96&lt;M96),CONCATENATE("-1 : ",TEXT((M96-O96)/M96,"0.00")),"—"))</f>
        <v>—</v>
      </c>
      <c r="Z96" s="55" t="str">
        <f aca="false">IF(AND(P96&lt;&gt;"",M96&lt;&gt;"",P96&gt;M96),CONCATENATE("1 : ",TEXT((P96-M96)/M96,"0.00")),"—")</f>
        <v>—</v>
      </c>
      <c r="AA96" s="56" t="str">
        <f aca="false">IF(AND(C96&lt;&gt;"",E96&lt;&gt;""),E96-C96,"")</f>
        <v/>
      </c>
      <c r="AB96" s="42"/>
      <c r="AC96" s="57"/>
      <c r="AD96" s="58"/>
      <c r="AE96" s="59" t="str">
        <f aca="false">IF(G96&lt;&gt;"",HYPERLINK("https://www.tradingview.com/chart/?symbol="&amp;G96&amp;"&amp;interval=60&amp;from="&amp;(AG96-10*3600)&amp;"&amp;to="&amp;(AG96+50*3600),"📈 1H"),"")</f>
        <v/>
      </c>
      <c r="AF96" s="60" t="str">
        <f aca="false">IF(G96&lt;&gt;"",HYPERLINK("https://www.tradingview.com/chart/?symbol="&amp;G96&amp;"&amp;interval=240&amp;from="&amp;(AG96-10*14400)&amp;"&amp;to="&amp;(AG96+50*14400),"📈 4H"),"")</f>
        <v/>
      </c>
      <c r="AG96" s="36" t="str">
        <f aca="false">IF(C96&lt;&gt;"",INT((C96+IF(D96&lt;&gt;"",D96,0)-DATE(1970,1,1))*86400),"")</f>
        <v/>
      </c>
    </row>
    <row r="97" customFormat="false" ht="19.5" hidden="false" customHeight="true" outlineLevel="0" collapsed="false">
      <c r="A97" s="12" t="n">
        <f aca="false">ROW()-4</f>
        <v>93</v>
      </c>
      <c r="B97" s="13"/>
      <c r="C97" s="14"/>
      <c r="D97" s="15"/>
      <c r="E97" s="14"/>
      <c r="F97" s="15"/>
      <c r="G97" s="16"/>
      <c r="H97" s="17"/>
      <c r="I97" s="18"/>
      <c r="J97" s="19"/>
      <c r="K97" s="14"/>
      <c r="L97" s="17"/>
      <c r="M97" s="19"/>
      <c r="N97" s="20"/>
      <c r="O97" s="19"/>
      <c r="P97" s="21"/>
      <c r="Q97" s="22" t="str">
        <f aca="false">IF(L97="","",IF(M97&lt;&gt;"",M97*L97*100,IF(AND(O97&lt;&gt;"",B97&lt;&gt;""),IFERROR(AVERAGEIF($B$5:$B$1004,B97,$M$5:$M$1004)*L97*100,""),"")))</f>
        <v/>
      </c>
      <c r="R97" s="22" t="str">
        <f aca="false">IF(AND(O97&lt;&gt;"",L97&lt;&gt;""),O97*L97*100,"")</f>
        <v/>
      </c>
      <c r="S97" s="23" t="str">
        <f aca="false">IF(AND(P97&lt;&gt;"",L97&lt;&gt;""),P97*L97*100,"")</f>
        <v/>
      </c>
      <c r="T97" s="24" t="str">
        <f aca="false">IF(AND(Q97&lt;&gt;"",R97&lt;&gt;""),R97-Q97,"")</f>
        <v/>
      </c>
      <c r="U97" s="25" t="str">
        <f aca="false">IF(AND(Q97&lt;&gt;"",Q97&lt;&gt;0,T97&lt;&gt;""),T97/Q97,"")</f>
        <v/>
      </c>
      <c r="V97" s="26" t="str">
        <f aca="false">IF(AND(S97&lt;&gt;"",Q97&lt;&gt;""),S97-Q97,"")</f>
        <v/>
      </c>
      <c r="W97" s="27" t="str">
        <f aca="false">IF(AND(Q97&lt;&gt;"",Q97&lt;&gt;0,V97&lt;&gt;""),V97/Q97,"")</f>
        <v/>
      </c>
      <c r="X97" s="28" t="s">
        <v>37</v>
      </c>
      <c r="Y97" s="29" t="str">
        <f aca="false">IF(AND(O97&lt;&gt;"",M97&lt;&gt;"",O97&gt;M97),CONCATENATE("1 : ",TEXT((O97-M97)/M97,"0.00")),IF(AND(O97&lt;&gt;"",M97&lt;&gt;"",O97&lt;M97),CONCATENATE("-1 : ",TEXT((M97-O97)/M97,"0.00")),"—"))</f>
        <v>—</v>
      </c>
      <c r="Z97" s="30" t="str">
        <f aca="false">IF(AND(P97&lt;&gt;"",M97&lt;&gt;"",P97&gt;M97),CONCATENATE("1 : ",TEXT((P97-M97)/M97,"0.00")),"—")</f>
        <v>—</v>
      </c>
      <c r="AA97" s="31" t="str">
        <f aca="false">IF(AND(C97&lt;&gt;"",E97&lt;&gt;""),E97-C97,"")</f>
        <v/>
      </c>
      <c r="AB97" s="17"/>
      <c r="AC97" s="32"/>
      <c r="AD97" s="33"/>
      <c r="AE97" s="34" t="str">
        <f aca="false">IF(G97&lt;&gt;"",HYPERLINK("https://www.tradingview.com/chart/?symbol="&amp;G97&amp;"&amp;interval=60&amp;from="&amp;(AG97-10*3600)&amp;"&amp;to="&amp;(AG97+50*3600),"📈 1H"),"")</f>
        <v/>
      </c>
      <c r="AF97" s="35" t="str">
        <f aca="false">IF(G97&lt;&gt;"",HYPERLINK("https://www.tradingview.com/chart/?symbol="&amp;G97&amp;"&amp;interval=240&amp;from="&amp;(AG97-10*14400)&amp;"&amp;to="&amp;(AG97+50*14400),"📈 4H"),"")</f>
        <v/>
      </c>
      <c r="AG97" s="36" t="str">
        <f aca="false">IF(C97&lt;&gt;"",INT((C97+IF(D97&lt;&gt;"",D97,0)-DATE(1970,1,1))*86400),"")</f>
        <v/>
      </c>
    </row>
    <row r="98" customFormat="false" ht="19.5" hidden="false" customHeight="true" outlineLevel="0" collapsed="false">
      <c r="A98" s="37" t="n">
        <f aca="false">ROW()-4</f>
        <v>94</v>
      </c>
      <c r="B98" s="38"/>
      <c r="C98" s="39"/>
      <c r="D98" s="40"/>
      <c r="E98" s="39"/>
      <c r="F98" s="40"/>
      <c r="G98" s="41"/>
      <c r="H98" s="42"/>
      <c r="I98" s="43"/>
      <c r="J98" s="44"/>
      <c r="K98" s="39"/>
      <c r="L98" s="42"/>
      <c r="M98" s="44"/>
      <c r="N98" s="45"/>
      <c r="O98" s="44"/>
      <c r="P98" s="46"/>
      <c r="Q98" s="47" t="str">
        <f aca="false">IF(L98="","",IF(M98&lt;&gt;"",M98*L98*100,IF(AND(O98&lt;&gt;"",B98&lt;&gt;""),IFERROR(AVERAGEIF($B$5:$B$1004,B98,$M$5:$M$1004)*L98*100,""),"")))</f>
        <v/>
      </c>
      <c r="R98" s="47" t="str">
        <f aca="false">IF(AND(O98&lt;&gt;"",L98&lt;&gt;""),O98*L98*100,"")</f>
        <v/>
      </c>
      <c r="S98" s="48" t="str">
        <f aca="false">IF(AND(P98&lt;&gt;"",L98&lt;&gt;""),P98*L98*100,"")</f>
        <v/>
      </c>
      <c r="T98" s="49" t="str">
        <f aca="false">IF(AND(Q98&lt;&gt;"",R98&lt;&gt;""),R98-Q98,"")</f>
        <v/>
      </c>
      <c r="U98" s="50" t="str">
        <f aca="false">IF(AND(Q98&lt;&gt;"",Q98&lt;&gt;0,T98&lt;&gt;""),T98/Q98,"")</f>
        <v/>
      </c>
      <c r="V98" s="51" t="str">
        <f aca="false">IF(AND(S98&lt;&gt;"",Q98&lt;&gt;""),S98-Q98,"")</f>
        <v/>
      </c>
      <c r="W98" s="52" t="str">
        <f aca="false">IF(AND(Q98&lt;&gt;"",Q98&lt;&gt;0,V98&lt;&gt;""),V98/Q98,"")</f>
        <v/>
      </c>
      <c r="X98" s="53" t="s">
        <v>37</v>
      </c>
      <c r="Y98" s="54" t="str">
        <f aca="false">IF(AND(O98&lt;&gt;"",M98&lt;&gt;"",O98&gt;M98),CONCATENATE("1 : ",TEXT((O98-M98)/M98,"0.00")),IF(AND(O98&lt;&gt;"",M98&lt;&gt;"",O98&lt;M98),CONCATENATE("-1 : ",TEXT((M98-O98)/M98,"0.00")),"—"))</f>
        <v>—</v>
      </c>
      <c r="Z98" s="55" t="str">
        <f aca="false">IF(AND(P98&lt;&gt;"",M98&lt;&gt;"",P98&gt;M98),CONCATENATE("1 : ",TEXT((P98-M98)/M98,"0.00")),"—")</f>
        <v>—</v>
      </c>
      <c r="AA98" s="56" t="str">
        <f aca="false">IF(AND(C98&lt;&gt;"",E98&lt;&gt;""),E98-C98,"")</f>
        <v/>
      </c>
      <c r="AB98" s="42"/>
      <c r="AC98" s="57"/>
      <c r="AD98" s="58"/>
      <c r="AE98" s="59" t="str">
        <f aca="false">IF(G98&lt;&gt;"",HYPERLINK("https://www.tradingview.com/chart/?symbol="&amp;G98&amp;"&amp;interval=60&amp;from="&amp;(AG98-10*3600)&amp;"&amp;to="&amp;(AG98+50*3600),"📈 1H"),"")</f>
        <v/>
      </c>
      <c r="AF98" s="60" t="str">
        <f aca="false">IF(G98&lt;&gt;"",HYPERLINK("https://www.tradingview.com/chart/?symbol="&amp;G98&amp;"&amp;interval=240&amp;from="&amp;(AG98-10*14400)&amp;"&amp;to="&amp;(AG98+50*14400),"📈 4H"),"")</f>
        <v/>
      </c>
      <c r="AG98" s="36" t="str">
        <f aca="false">IF(C98&lt;&gt;"",INT((C98+IF(D98&lt;&gt;"",D98,0)-DATE(1970,1,1))*86400),"")</f>
        <v/>
      </c>
    </row>
    <row r="99" customFormat="false" ht="19.5" hidden="false" customHeight="true" outlineLevel="0" collapsed="false">
      <c r="A99" s="12" t="n">
        <f aca="false">ROW()-4</f>
        <v>95</v>
      </c>
      <c r="B99" s="13"/>
      <c r="C99" s="14"/>
      <c r="D99" s="15"/>
      <c r="E99" s="14"/>
      <c r="F99" s="15"/>
      <c r="G99" s="16"/>
      <c r="H99" s="17"/>
      <c r="I99" s="18"/>
      <c r="J99" s="19"/>
      <c r="K99" s="14"/>
      <c r="L99" s="17"/>
      <c r="M99" s="19"/>
      <c r="N99" s="20"/>
      <c r="O99" s="19"/>
      <c r="P99" s="21"/>
      <c r="Q99" s="22" t="str">
        <f aca="false">IF(L99="","",IF(M99&lt;&gt;"",M99*L99*100,IF(AND(O99&lt;&gt;"",B99&lt;&gt;""),IFERROR(AVERAGEIF($B$5:$B$1004,B99,$M$5:$M$1004)*L99*100,""),"")))</f>
        <v/>
      </c>
      <c r="R99" s="22" t="str">
        <f aca="false">IF(AND(O99&lt;&gt;"",L99&lt;&gt;""),O99*L99*100,"")</f>
        <v/>
      </c>
      <c r="S99" s="23" t="str">
        <f aca="false">IF(AND(P99&lt;&gt;"",L99&lt;&gt;""),P99*L99*100,"")</f>
        <v/>
      </c>
      <c r="T99" s="24" t="str">
        <f aca="false">IF(AND(Q99&lt;&gt;"",R99&lt;&gt;""),R99-Q99,"")</f>
        <v/>
      </c>
      <c r="U99" s="25" t="str">
        <f aca="false">IF(AND(Q99&lt;&gt;"",Q99&lt;&gt;0,T99&lt;&gt;""),T99/Q99,"")</f>
        <v/>
      </c>
      <c r="V99" s="26" t="str">
        <f aca="false">IF(AND(S99&lt;&gt;"",Q99&lt;&gt;""),S99-Q99,"")</f>
        <v/>
      </c>
      <c r="W99" s="27" t="str">
        <f aca="false">IF(AND(Q99&lt;&gt;"",Q99&lt;&gt;0,V99&lt;&gt;""),V99/Q99,"")</f>
        <v/>
      </c>
      <c r="X99" s="28" t="s">
        <v>37</v>
      </c>
      <c r="Y99" s="29" t="str">
        <f aca="false">IF(AND(O99&lt;&gt;"",M99&lt;&gt;"",O99&gt;M99),CONCATENATE("1 : ",TEXT((O99-M99)/M99,"0.00")),IF(AND(O99&lt;&gt;"",M99&lt;&gt;"",O99&lt;M99),CONCATENATE("-1 : ",TEXT((M99-O99)/M99,"0.00")),"—"))</f>
        <v>—</v>
      </c>
      <c r="Z99" s="30" t="str">
        <f aca="false">IF(AND(P99&lt;&gt;"",M99&lt;&gt;"",P99&gt;M99),CONCATENATE("1 : ",TEXT((P99-M99)/M99,"0.00")),"—")</f>
        <v>—</v>
      </c>
      <c r="AA99" s="31" t="str">
        <f aca="false">IF(AND(C99&lt;&gt;"",E99&lt;&gt;""),E99-C99,"")</f>
        <v/>
      </c>
      <c r="AB99" s="17"/>
      <c r="AC99" s="32"/>
      <c r="AD99" s="33"/>
      <c r="AE99" s="34" t="str">
        <f aca="false">IF(G99&lt;&gt;"",HYPERLINK("https://www.tradingview.com/chart/?symbol="&amp;G99&amp;"&amp;interval=60&amp;from="&amp;(AG99-10*3600)&amp;"&amp;to="&amp;(AG99+50*3600),"📈 1H"),"")</f>
        <v/>
      </c>
      <c r="AF99" s="35" t="str">
        <f aca="false">IF(G99&lt;&gt;"",HYPERLINK("https://www.tradingview.com/chart/?symbol="&amp;G99&amp;"&amp;interval=240&amp;from="&amp;(AG99-10*14400)&amp;"&amp;to="&amp;(AG99+50*14400),"📈 4H"),"")</f>
        <v/>
      </c>
      <c r="AG99" s="36" t="str">
        <f aca="false">IF(C99&lt;&gt;"",INT((C99+IF(D99&lt;&gt;"",D99,0)-DATE(1970,1,1))*86400),"")</f>
        <v/>
      </c>
    </row>
    <row r="100" customFormat="false" ht="19.5" hidden="false" customHeight="true" outlineLevel="0" collapsed="false">
      <c r="A100" s="37" t="n">
        <f aca="false">ROW()-4</f>
        <v>96</v>
      </c>
      <c r="B100" s="38"/>
      <c r="C100" s="39"/>
      <c r="D100" s="40"/>
      <c r="E100" s="39"/>
      <c r="F100" s="40"/>
      <c r="G100" s="41"/>
      <c r="H100" s="42"/>
      <c r="I100" s="43"/>
      <c r="J100" s="44"/>
      <c r="K100" s="39"/>
      <c r="L100" s="42"/>
      <c r="M100" s="44"/>
      <c r="N100" s="45"/>
      <c r="O100" s="44"/>
      <c r="P100" s="46"/>
      <c r="Q100" s="47" t="str">
        <f aca="false">IF(L100="","",IF(M100&lt;&gt;"",M100*L100*100,IF(AND(O100&lt;&gt;"",B100&lt;&gt;""),IFERROR(AVERAGEIF($B$5:$B$1004,B100,$M$5:$M$1004)*L100*100,""),"")))</f>
        <v/>
      </c>
      <c r="R100" s="47" t="str">
        <f aca="false">IF(AND(O100&lt;&gt;"",L100&lt;&gt;""),O100*L100*100,"")</f>
        <v/>
      </c>
      <c r="S100" s="48" t="str">
        <f aca="false">IF(AND(P100&lt;&gt;"",L100&lt;&gt;""),P100*L100*100,"")</f>
        <v/>
      </c>
      <c r="T100" s="49" t="str">
        <f aca="false">IF(AND(Q100&lt;&gt;"",R100&lt;&gt;""),R100-Q100,"")</f>
        <v/>
      </c>
      <c r="U100" s="50" t="str">
        <f aca="false">IF(AND(Q100&lt;&gt;"",Q100&lt;&gt;0,T100&lt;&gt;""),T100/Q100,"")</f>
        <v/>
      </c>
      <c r="V100" s="51" t="str">
        <f aca="false">IF(AND(S100&lt;&gt;"",Q100&lt;&gt;""),S100-Q100,"")</f>
        <v/>
      </c>
      <c r="W100" s="52" t="str">
        <f aca="false">IF(AND(Q100&lt;&gt;"",Q100&lt;&gt;0,V100&lt;&gt;""),V100/Q100,"")</f>
        <v/>
      </c>
      <c r="X100" s="53" t="s">
        <v>37</v>
      </c>
      <c r="Y100" s="54" t="str">
        <f aca="false">IF(AND(O100&lt;&gt;"",M100&lt;&gt;"",O100&gt;M100),CONCATENATE("1 : ",TEXT((O100-M100)/M100,"0.00")),IF(AND(O100&lt;&gt;"",M100&lt;&gt;"",O100&lt;M100),CONCATENATE("-1 : ",TEXT((M100-O100)/M100,"0.00")),"—"))</f>
        <v>—</v>
      </c>
      <c r="Z100" s="55" t="str">
        <f aca="false">IF(AND(P100&lt;&gt;"",M100&lt;&gt;"",P100&gt;M100),CONCATENATE("1 : ",TEXT((P100-M100)/M100,"0.00")),"—")</f>
        <v>—</v>
      </c>
      <c r="AA100" s="56" t="str">
        <f aca="false">IF(AND(C100&lt;&gt;"",E100&lt;&gt;""),E100-C100,"")</f>
        <v/>
      </c>
      <c r="AB100" s="42"/>
      <c r="AC100" s="57"/>
      <c r="AD100" s="58"/>
      <c r="AE100" s="59" t="str">
        <f aca="false">IF(G100&lt;&gt;"",HYPERLINK("https://www.tradingview.com/chart/?symbol="&amp;G100&amp;"&amp;interval=60&amp;from="&amp;(AG100-10*3600)&amp;"&amp;to="&amp;(AG100+50*3600),"📈 1H"),"")</f>
        <v/>
      </c>
      <c r="AF100" s="60" t="str">
        <f aca="false">IF(G100&lt;&gt;"",HYPERLINK("https://www.tradingview.com/chart/?symbol="&amp;G100&amp;"&amp;interval=240&amp;from="&amp;(AG100-10*14400)&amp;"&amp;to="&amp;(AG100+50*14400),"📈 4H"),"")</f>
        <v/>
      </c>
      <c r="AG100" s="36" t="str">
        <f aca="false">IF(C100&lt;&gt;"",INT((C100+IF(D100&lt;&gt;"",D100,0)-DATE(1970,1,1))*86400),"")</f>
        <v/>
      </c>
    </row>
    <row r="101" customFormat="false" ht="19.5" hidden="false" customHeight="true" outlineLevel="0" collapsed="false">
      <c r="A101" s="12" t="n">
        <f aca="false">ROW()-4</f>
        <v>97</v>
      </c>
      <c r="B101" s="13"/>
      <c r="C101" s="14"/>
      <c r="D101" s="15"/>
      <c r="E101" s="14"/>
      <c r="F101" s="15"/>
      <c r="G101" s="16"/>
      <c r="H101" s="17"/>
      <c r="I101" s="18"/>
      <c r="J101" s="19"/>
      <c r="K101" s="14"/>
      <c r="L101" s="17"/>
      <c r="M101" s="19"/>
      <c r="N101" s="20"/>
      <c r="O101" s="19"/>
      <c r="P101" s="21"/>
      <c r="Q101" s="22" t="str">
        <f aca="false">IF(L101="","",IF(M101&lt;&gt;"",M101*L101*100,IF(AND(O101&lt;&gt;"",B101&lt;&gt;""),IFERROR(AVERAGEIF($B$5:$B$1004,B101,$M$5:$M$1004)*L101*100,""),"")))</f>
        <v/>
      </c>
      <c r="R101" s="22" t="str">
        <f aca="false">IF(AND(O101&lt;&gt;"",L101&lt;&gt;""),O101*L101*100,"")</f>
        <v/>
      </c>
      <c r="S101" s="23" t="str">
        <f aca="false">IF(AND(P101&lt;&gt;"",L101&lt;&gt;""),P101*L101*100,"")</f>
        <v/>
      </c>
      <c r="T101" s="24" t="str">
        <f aca="false">IF(AND(Q101&lt;&gt;"",R101&lt;&gt;""),R101-Q101,"")</f>
        <v/>
      </c>
      <c r="U101" s="25" t="str">
        <f aca="false">IF(AND(Q101&lt;&gt;"",Q101&lt;&gt;0,T101&lt;&gt;""),T101/Q101,"")</f>
        <v/>
      </c>
      <c r="V101" s="26" t="str">
        <f aca="false">IF(AND(S101&lt;&gt;"",Q101&lt;&gt;""),S101-Q101,"")</f>
        <v/>
      </c>
      <c r="W101" s="27" t="str">
        <f aca="false">IF(AND(Q101&lt;&gt;"",Q101&lt;&gt;0,V101&lt;&gt;""),V101/Q101,"")</f>
        <v/>
      </c>
      <c r="X101" s="28" t="s">
        <v>37</v>
      </c>
      <c r="Y101" s="29" t="str">
        <f aca="false">IF(AND(O101&lt;&gt;"",M101&lt;&gt;"",O101&gt;M101),CONCATENATE("1 : ",TEXT((O101-M101)/M101,"0.00")),IF(AND(O101&lt;&gt;"",M101&lt;&gt;"",O101&lt;M101),CONCATENATE("-1 : ",TEXT((M101-O101)/M101,"0.00")),"—"))</f>
        <v>—</v>
      </c>
      <c r="Z101" s="30" t="str">
        <f aca="false">IF(AND(P101&lt;&gt;"",M101&lt;&gt;"",P101&gt;M101),CONCATENATE("1 : ",TEXT((P101-M101)/M101,"0.00")),"—")</f>
        <v>—</v>
      </c>
      <c r="AA101" s="31" t="str">
        <f aca="false">IF(AND(C101&lt;&gt;"",E101&lt;&gt;""),E101-C101,"")</f>
        <v/>
      </c>
      <c r="AB101" s="17"/>
      <c r="AC101" s="32"/>
      <c r="AD101" s="33"/>
      <c r="AE101" s="34" t="str">
        <f aca="false">IF(G101&lt;&gt;"",HYPERLINK("https://www.tradingview.com/chart/?symbol="&amp;G101&amp;"&amp;interval=60&amp;from="&amp;(AG101-10*3600)&amp;"&amp;to="&amp;(AG101+50*3600),"📈 1H"),"")</f>
        <v/>
      </c>
      <c r="AF101" s="35" t="str">
        <f aca="false">IF(G101&lt;&gt;"",HYPERLINK("https://www.tradingview.com/chart/?symbol="&amp;G101&amp;"&amp;interval=240&amp;from="&amp;(AG101-10*14400)&amp;"&amp;to="&amp;(AG101+50*14400),"📈 4H"),"")</f>
        <v/>
      </c>
      <c r="AG101" s="36" t="str">
        <f aca="false">IF(C101&lt;&gt;"",INT((C101+IF(D101&lt;&gt;"",D101,0)-DATE(1970,1,1))*86400),"")</f>
        <v/>
      </c>
    </row>
    <row r="102" customFormat="false" ht="19.5" hidden="false" customHeight="true" outlineLevel="0" collapsed="false">
      <c r="A102" s="37" t="n">
        <f aca="false">ROW()-4</f>
        <v>98</v>
      </c>
      <c r="B102" s="38"/>
      <c r="C102" s="39"/>
      <c r="D102" s="40"/>
      <c r="E102" s="39"/>
      <c r="F102" s="40"/>
      <c r="G102" s="41"/>
      <c r="H102" s="42"/>
      <c r="I102" s="43"/>
      <c r="J102" s="44"/>
      <c r="K102" s="39"/>
      <c r="L102" s="42"/>
      <c r="M102" s="44"/>
      <c r="N102" s="45"/>
      <c r="O102" s="44"/>
      <c r="P102" s="46"/>
      <c r="Q102" s="47" t="str">
        <f aca="false">IF(L102="","",IF(M102&lt;&gt;"",M102*L102*100,IF(AND(O102&lt;&gt;"",B102&lt;&gt;""),IFERROR(AVERAGEIF($B$5:$B$1004,B102,$M$5:$M$1004)*L102*100,""),"")))</f>
        <v/>
      </c>
      <c r="R102" s="47" t="str">
        <f aca="false">IF(AND(O102&lt;&gt;"",L102&lt;&gt;""),O102*L102*100,"")</f>
        <v/>
      </c>
      <c r="S102" s="48" t="str">
        <f aca="false">IF(AND(P102&lt;&gt;"",L102&lt;&gt;""),P102*L102*100,"")</f>
        <v/>
      </c>
      <c r="T102" s="49" t="str">
        <f aca="false">IF(AND(Q102&lt;&gt;"",R102&lt;&gt;""),R102-Q102,"")</f>
        <v/>
      </c>
      <c r="U102" s="50" t="str">
        <f aca="false">IF(AND(Q102&lt;&gt;"",Q102&lt;&gt;0,T102&lt;&gt;""),T102/Q102,"")</f>
        <v/>
      </c>
      <c r="V102" s="51" t="str">
        <f aca="false">IF(AND(S102&lt;&gt;"",Q102&lt;&gt;""),S102-Q102,"")</f>
        <v/>
      </c>
      <c r="W102" s="52" t="str">
        <f aca="false">IF(AND(Q102&lt;&gt;"",Q102&lt;&gt;0,V102&lt;&gt;""),V102/Q102,"")</f>
        <v/>
      </c>
      <c r="X102" s="53" t="s">
        <v>37</v>
      </c>
      <c r="Y102" s="54" t="str">
        <f aca="false">IF(AND(O102&lt;&gt;"",M102&lt;&gt;"",O102&gt;M102),CONCATENATE("1 : ",TEXT((O102-M102)/M102,"0.00")),IF(AND(O102&lt;&gt;"",M102&lt;&gt;"",O102&lt;M102),CONCATENATE("-1 : ",TEXT((M102-O102)/M102,"0.00")),"—"))</f>
        <v>—</v>
      </c>
      <c r="Z102" s="55" t="str">
        <f aca="false">IF(AND(P102&lt;&gt;"",M102&lt;&gt;"",P102&gt;M102),CONCATENATE("1 : ",TEXT((P102-M102)/M102,"0.00")),"—")</f>
        <v>—</v>
      </c>
      <c r="AA102" s="56" t="str">
        <f aca="false">IF(AND(C102&lt;&gt;"",E102&lt;&gt;""),E102-C102,"")</f>
        <v/>
      </c>
      <c r="AB102" s="42"/>
      <c r="AC102" s="57"/>
      <c r="AD102" s="58"/>
      <c r="AE102" s="59" t="str">
        <f aca="false">IF(G102&lt;&gt;"",HYPERLINK("https://www.tradingview.com/chart/?symbol="&amp;G102&amp;"&amp;interval=60&amp;from="&amp;(AG102-10*3600)&amp;"&amp;to="&amp;(AG102+50*3600),"📈 1H"),"")</f>
        <v/>
      </c>
      <c r="AF102" s="60" t="str">
        <f aca="false">IF(G102&lt;&gt;"",HYPERLINK("https://www.tradingview.com/chart/?symbol="&amp;G102&amp;"&amp;interval=240&amp;from="&amp;(AG102-10*14400)&amp;"&amp;to="&amp;(AG102+50*14400),"📈 4H"),"")</f>
        <v/>
      </c>
      <c r="AG102" s="36" t="str">
        <f aca="false">IF(C102&lt;&gt;"",INT((C102+IF(D102&lt;&gt;"",D102,0)-DATE(1970,1,1))*86400),"")</f>
        <v/>
      </c>
    </row>
    <row r="103" customFormat="false" ht="19.5" hidden="false" customHeight="true" outlineLevel="0" collapsed="false">
      <c r="A103" s="12" t="n">
        <f aca="false">ROW()-4</f>
        <v>99</v>
      </c>
      <c r="B103" s="13"/>
      <c r="C103" s="14"/>
      <c r="D103" s="15"/>
      <c r="E103" s="14"/>
      <c r="F103" s="15"/>
      <c r="G103" s="16"/>
      <c r="H103" s="17"/>
      <c r="I103" s="18"/>
      <c r="J103" s="19"/>
      <c r="K103" s="14"/>
      <c r="L103" s="17"/>
      <c r="M103" s="19"/>
      <c r="N103" s="20"/>
      <c r="O103" s="19"/>
      <c r="P103" s="21"/>
      <c r="Q103" s="22" t="str">
        <f aca="false">IF(L103="","",IF(M103&lt;&gt;"",M103*L103*100,IF(AND(O103&lt;&gt;"",B103&lt;&gt;""),IFERROR(AVERAGEIF($B$5:$B$1004,B103,$M$5:$M$1004)*L103*100,""),"")))</f>
        <v/>
      </c>
      <c r="R103" s="22" t="str">
        <f aca="false">IF(AND(O103&lt;&gt;"",L103&lt;&gt;""),O103*L103*100,"")</f>
        <v/>
      </c>
      <c r="S103" s="23" t="str">
        <f aca="false">IF(AND(P103&lt;&gt;"",L103&lt;&gt;""),P103*L103*100,"")</f>
        <v/>
      </c>
      <c r="T103" s="24" t="str">
        <f aca="false">IF(AND(Q103&lt;&gt;"",R103&lt;&gt;""),R103-Q103,"")</f>
        <v/>
      </c>
      <c r="U103" s="25" t="str">
        <f aca="false">IF(AND(Q103&lt;&gt;"",Q103&lt;&gt;0,T103&lt;&gt;""),T103/Q103,"")</f>
        <v/>
      </c>
      <c r="V103" s="26" t="str">
        <f aca="false">IF(AND(S103&lt;&gt;"",Q103&lt;&gt;""),S103-Q103,"")</f>
        <v/>
      </c>
      <c r="W103" s="27" t="str">
        <f aca="false">IF(AND(Q103&lt;&gt;"",Q103&lt;&gt;0,V103&lt;&gt;""),V103/Q103,"")</f>
        <v/>
      </c>
      <c r="X103" s="28" t="s">
        <v>37</v>
      </c>
      <c r="Y103" s="29" t="str">
        <f aca="false">IF(AND(O103&lt;&gt;"",M103&lt;&gt;"",O103&gt;M103),CONCATENATE("1 : ",TEXT((O103-M103)/M103,"0.00")),IF(AND(O103&lt;&gt;"",M103&lt;&gt;"",O103&lt;M103),CONCATENATE("-1 : ",TEXT((M103-O103)/M103,"0.00")),"—"))</f>
        <v>—</v>
      </c>
      <c r="Z103" s="30" t="str">
        <f aca="false">IF(AND(P103&lt;&gt;"",M103&lt;&gt;"",P103&gt;M103),CONCATENATE("1 : ",TEXT((P103-M103)/M103,"0.00")),"—")</f>
        <v>—</v>
      </c>
      <c r="AA103" s="31" t="str">
        <f aca="false">IF(AND(C103&lt;&gt;"",E103&lt;&gt;""),E103-C103,"")</f>
        <v/>
      </c>
      <c r="AB103" s="17"/>
      <c r="AC103" s="32"/>
      <c r="AD103" s="33"/>
      <c r="AE103" s="34" t="str">
        <f aca="false">IF(G103&lt;&gt;"",HYPERLINK("https://www.tradingview.com/chart/?symbol="&amp;G103&amp;"&amp;interval=60&amp;from="&amp;(AG103-10*3600)&amp;"&amp;to="&amp;(AG103+50*3600),"📈 1H"),"")</f>
        <v/>
      </c>
      <c r="AF103" s="35" t="str">
        <f aca="false">IF(G103&lt;&gt;"",HYPERLINK("https://www.tradingview.com/chart/?symbol="&amp;G103&amp;"&amp;interval=240&amp;from="&amp;(AG103-10*14400)&amp;"&amp;to="&amp;(AG103+50*14400),"📈 4H"),"")</f>
        <v/>
      </c>
      <c r="AG103" s="36" t="str">
        <f aca="false">IF(C103&lt;&gt;"",INT((C103+IF(D103&lt;&gt;"",D103,0)-DATE(1970,1,1))*86400),"")</f>
        <v/>
      </c>
    </row>
    <row r="104" customFormat="false" ht="19.5" hidden="false" customHeight="true" outlineLevel="0" collapsed="false">
      <c r="A104" s="37" t="n">
        <f aca="false">ROW()-4</f>
        <v>100</v>
      </c>
      <c r="B104" s="38"/>
      <c r="C104" s="39"/>
      <c r="D104" s="40"/>
      <c r="E104" s="39"/>
      <c r="F104" s="40"/>
      <c r="G104" s="41"/>
      <c r="H104" s="42"/>
      <c r="I104" s="43"/>
      <c r="J104" s="44"/>
      <c r="K104" s="39"/>
      <c r="L104" s="42"/>
      <c r="M104" s="44"/>
      <c r="N104" s="45"/>
      <c r="O104" s="44"/>
      <c r="P104" s="46"/>
      <c r="Q104" s="47" t="str">
        <f aca="false">IF(L104="","",IF(M104&lt;&gt;"",M104*L104*100,IF(AND(O104&lt;&gt;"",B104&lt;&gt;""),IFERROR(AVERAGEIF($B$5:$B$1004,B104,$M$5:$M$1004)*L104*100,""),"")))</f>
        <v/>
      </c>
      <c r="R104" s="47" t="str">
        <f aca="false">IF(AND(O104&lt;&gt;"",L104&lt;&gt;""),O104*L104*100,"")</f>
        <v/>
      </c>
      <c r="S104" s="48" t="str">
        <f aca="false">IF(AND(P104&lt;&gt;"",L104&lt;&gt;""),P104*L104*100,"")</f>
        <v/>
      </c>
      <c r="T104" s="49" t="str">
        <f aca="false">IF(AND(Q104&lt;&gt;"",R104&lt;&gt;""),R104-Q104,"")</f>
        <v/>
      </c>
      <c r="U104" s="50" t="str">
        <f aca="false">IF(AND(Q104&lt;&gt;"",Q104&lt;&gt;0,T104&lt;&gt;""),T104/Q104,"")</f>
        <v/>
      </c>
      <c r="V104" s="51" t="str">
        <f aca="false">IF(AND(S104&lt;&gt;"",Q104&lt;&gt;""),S104-Q104,"")</f>
        <v/>
      </c>
      <c r="W104" s="52" t="str">
        <f aca="false">IF(AND(Q104&lt;&gt;"",Q104&lt;&gt;0,V104&lt;&gt;""),V104/Q104,"")</f>
        <v/>
      </c>
      <c r="X104" s="53" t="s">
        <v>37</v>
      </c>
      <c r="Y104" s="54" t="str">
        <f aca="false">IF(AND(O104&lt;&gt;"",M104&lt;&gt;"",O104&gt;M104),CONCATENATE("1 : ",TEXT((O104-M104)/M104,"0.00")),IF(AND(O104&lt;&gt;"",M104&lt;&gt;"",O104&lt;M104),CONCATENATE("-1 : ",TEXT((M104-O104)/M104,"0.00")),"—"))</f>
        <v>—</v>
      </c>
      <c r="Z104" s="55" t="str">
        <f aca="false">IF(AND(P104&lt;&gt;"",M104&lt;&gt;"",P104&gt;M104),CONCATENATE("1 : ",TEXT((P104-M104)/M104,"0.00")),"—")</f>
        <v>—</v>
      </c>
      <c r="AA104" s="56" t="str">
        <f aca="false">IF(AND(C104&lt;&gt;"",E104&lt;&gt;""),E104-C104,"")</f>
        <v/>
      </c>
      <c r="AB104" s="42"/>
      <c r="AC104" s="57"/>
      <c r="AD104" s="58"/>
      <c r="AE104" s="59" t="str">
        <f aca="false">IF(G104&lt;&gt;"",HYPERLINK("https://www.tradingview.com/chart/?symbol="&amp;G104&amp;"&amp;interval=60&amp;from="&amp;(AG104-10*3600)&amp;"&amp;to="&amp;(AG104+50*3600),"📈 1H"),"")</f>
        <v/>
      </c>
      <c r="AF104" s="60" t="str">
        <f aca="false">IF(G104&lt;&gt;"",HYPERLINK("https://www.tradingview.com/chart/?symbol="&amp;G104&amp;"&amp;interval=240&amp;from="&amp;(AG104-10*14400)&amp;"&amp;to="&amp;(AG104+50*14400),"📈 4H"),"")</f>
        <v/>
      </c>
      <c r="AG104" s="36" t="str">
        <f aca="false">IF(C104&lt;&gt;"",INT((C104+IF(D104&lt;&gt;"",D104,0)-DATE(1970,1,1))*86400),"")</f>
        <v/>
      </c>
    </row>
    <row r="105" customFormat="false" ht="19.5" hidden="false" customHeight="true" outlineLevel="0" collapsed="false">
      <c r="A105" s="12" t="n">
        <f aca="false">ROW()-4</f>
        <v>101</v>
      </c>
      <c r="B105" s="13"/>
      <c r="C105" s="14"/>
      <c r="D105" s="15"/>
      <c r="E105" s="14"/>
      <c r="F105" s="15"/>
      <c r="G105" s="16"/>
      <c r="H105" s="17"/>
      <c r="I105" s="18"/>
      <c r="J105" s="19"/>
      <c r="K105" s="14"/>
      <c r="L105" s="17"/>
      <c r="M105" s="19"/>
      <c r="N105" s="20"/>
      <c r="O105" s="19"/>
      <c r="P105" s="21"/>
      <c r="Q105" s="22" t="str">
        <f aca="false">IF(L105="","",IF(M105&lt;&gt;"",M105*L105*100,IF(AND(O105&lt;&gt;"",B105&lt;&gt;""),IFERROR(AVERAGEIF($B$5:$B$1004,B105,$M$5:$M$1004)*L105*100,""),"")))</f>
        <v/>
      </c>
      <c r="R105" s="22" t="str">
        <f aca="false">IF(AND(O105&lt;&gt;"",L105&lt;&gt;""),O105*L105*100,"")</f>
        <v/>
      </c>
      <c r="S105" s="23" t="str">
        <f aca="false">IF(AND(P105&lt;&gt;"",L105&lt;&gt;""),P105*L105*100,"")</f>
        <v/>
      </c>
      <c r="T105" s="24" t="str">
        <f aca="false">IF(AND(Q105&lt;&gt;"",R105&lt;&gt;""),R105-Q105,"")</f>
        <v/>
      </c>
      <c r="U105" s="25" t="str">
        <f aca="false">IF(AND(Q105&lt;&gt;"",Q105&lt;&gt;0,T105&lt;&gt;""),T105/Q105,"")</f>
        <v/>
      </c>
      <c r="V105" s="26" t="str">
        <f aca="false">IF(AND(S105&lt;&gt;"",Q105&lt;&gt;""),S105-Q105,"")</f>
        <v/>
      </c>
      <c r="W105" s="27" t="str">
        <f aca="false">IF(AND(Q105&lt;&gt;"",Q105&lt;&gt;0,V105&lt;&gt;""),V105/Q105,"")</f>
        <v/>
      </c>
      <c r="X105" s="28" t="s">
        <v>37</v>
      </c>
      <c r="Y105" s="29" t="str">
        <f aca="false">IF(AND(O105&lt;&gt;"",M105&lt;&gt;"",O105&gt;M105),CONCATENATE("1 : ",TEXT((O105-M105)/M105,"0.00")),IF(AND(O105&lt;&gt;"",M105&lt;&gt;"",O105&lt;M105),CONCATENATE("-1 : ",TEXT((M105-O105)/M105,"0.00")),"—"))</f>
        <v>—</v>
      </c>
      <c r="Z105" s="30" t="str">
        <f aca="false">IF(AND(P105&lt;&gt;"",M105&lt;&gt;"",P105&gt;M105),CONCATENATE("1 : ",TEXT((P105-M105)/M105,"0.00")),"—")</f>
        <v>—</v>
      </c>
      <c r="AA105" s="31" t="str">
        <f aca="false">IF(AND(C105&lt;&gt;"",E105&lt;&gt;""),E105-C105,"")</f>
        <v/>
      </c>
      <c r="AB105" s="17"/>
      <c r="AC105" s="32"/>
      <c r="AD105" s="33"/>
      <c r="AE105" s="34" t="str">
        <f aca="false">IF(G105&lt;&gt;"",HYPERLINK("https://www.tradingview.com/chart/?symbol="&amp;G105&amp;"&amp;interval=60&amp;from="&amp;(AG105-10*3600)&amp;"&amp;to="&amp;(AG105+50*3600),"📈 1H"),"")</f>
        <v/>
      </c>
      <c r="AF105" s="35" t="str">
        <f aca="false">IF(G105&lt;&gt;"",HYPERLINK("https://www.tradingview.com/chart/?symbol="&amp;G105&amp;"&amp;interval=240&amp;from="&amp;(AG105-10*14400)&amp;"&amp;to="&amp;(AG105+50*14400),"📈 4H"),"")</f>
        <v/>
      </c>
      <c r="AG105" s="36" t="str">
        <f aca="false">IF(C105&lt;&gt;"",INT((C105+IF(D105&lt;&gt;"",D105,0)-DATE(1970,1,1))*86400),"")</f>
        <v/>
      </c>
    </row>
    <row r="106" customFormat="false" ht="19.5" hidden="false" customHeight="true" outlineLevel="0" collapsed="false">
      <c r="A106" s="37" t="n">
        <f aca="false">ROW()-4</f>
        <v>102</v>
      </c>
      <c r="B106" s="38"/>
      <c r="C106" s="39"/>
      <c r="D106" s="40"/>
      <c r="E106" s="39"/>
      <c r="F106" s="40"/>
      <c r="G106" s="41"/>
      <c r="H106" s="42"/>
      <c r="I106" s="43"/>
      <c r="J106" s="44"/>
      <c r="K106" s="39"/>
      <c r="L106" s="42"/>
      <c r="M106" s="44"/>
      <c r="N106" s="45"/>
      <c r="O106" s="44"/>
      <c r="P106" s="46"/>
      <c r="Q106" s="47" t="str">
        <f aca="false">IF(L106="","",IF(M106&lt;&gt;"",M106*L106*100,IF(AND(O106&lt;&gt;"",B106&lt;&gt;""),IFERROR(AVERAGEIF($B$5:$B$1004,B106,$M$5:$M$1004)*L106*100,""),"")))</f>
        <v/>
      </c>
      <c r="R106" s="47" t="str">
        <f aca="false">IF(AND(O106&lt;&gt;"",L106&lt;&gt;""),O106*L106*100,"")</f>
        <v/>
      </c>
      <c r="S106" s="48" t="str">
        <f aca="false">IF(AND(P106&lt;&gt;"",L106&lt;&gt;""),P106*L106*100,"")</f>
        <v/>
      </c>
      <c r="T106" s="49" t="str">
        <f aca="false">IF(AND(Q106&lt;&gt;"",R106&lt;&gt;""),R106-Q106,"")</f>
        <v/>
      </c>
      <c r="U106" s="50" t="str">
        <f aca="false">IF(AND(Q106&lt;&gt;"",Q106&lt;&gt;0,T106&lt;&gt;""),T106/Q106,"")</f>
        <v/>
      </c>
      <c r="V106" s="51" t="str">
        <f aca="false">IF(AND(S106&lt;&gt;"",Q106&lt;&gt;""),S106-Q106,"")</f>
        <v/>
      </c>
      <c r="W106" s="52" t="str">
        <f aca="false">IF(AND(Q106&lt;&gt;"",Q106&lt;&gt;0,V106&lt;&gt;""),V106/Q106,"")</f>
        <v/>
      </c>
      <c r="X106" s="53" t="s">
        <v>37</v>
      </c>
      <c r="Y106" s="54" t="str">
        <f aca="false">IF(AND(O106&lt;&gt;"",M106&lt;&gt;"",O106&gt;M106),CONCATENATE("1 : ",TEXT((O106-M106)/M106,"0.00")),IF(AND(O106&lt;&gt;"",M106&lt;&gt;"",O106&lt;M106),CONCATENATE("-1 : ",TEXT((M106-O106)/M106,"0.00")),"—"))</f>
        <v>—</v>
      </c>
      <c r="Z106" s="55" t="str">
        <f aca="false">IF(AND(P106&lt;&gt;"",M106&lt;&gt;"",P106&gt;M106),CONCATENATE("1 : ",TEXT((P106-M106)/M106,"0.00")),"—")</f>
        <v>—</v>
      </c>
      <c r="AA106" s="56" t="str">
        <f aca="false">IF(AND(C106&lt;&gt;"",E106&lt;&gt;""),E106-C106,"")</f>
        <v/>
      </c>
      <c r="AB106" s="42"/>
      <c r="AC106" s="57"/>
      <c r="AD106" s="58"/>
      <c r="AE106" s="59" t="str">
        <f aca="false">IF(G106&lt;&gt;"",HYPERLINK("https://www.tradingview.com/chart/?symbol="&amp;G106&amp;"&amp;interval=60&amp;from="&amp;(AG106-10*3600)&amp;"&amp;to="&amp;(AG106+50*3600),"📈 1H"),"")</f>
        <v/>
      </c>
      <c r="AF106" s="60" t="str">
        <f aca="false">IF(G106&lt;&gt;"",HYPERLINK("https://www.tradingview.com/chart/?symbol="&amp;G106&amp;"&amp;interval=240&amp;from="&amp;(AG106-10*14400)&amp;"&amp;to="&amp;(AG106+50*14400),"📈 4H"),"")</f>
        <v/>
      </c>
      <c r="AG106" s="36" t="str">
        <f aca="false">IF(C106&lt;&gt;"",INT((C106+IF(D106&lt;&gt;"",D106,0)-DATE(1970,1,1))*86400),"")</f>
        <v/>
      </c>
    </row>
    <row r="107" customFormat="false" ht="19.5" hidden="false" customHeight="true" outlineLevel="0" collapsed="false">
      <c r="A107" s="12" t="n">
        <f aca="false">ROW()-4</f>
        <v>103</v>
      </c>
      <c r="B107" s="13"/>
      <c r="C107" s="14"/>
      <c r="D107" s="15"/>
      <c r="E107" s="14"/>
      <c r="F107" s="15"/>
      <c r="G107" s="16"/>
      <c r="H107" s="17"/>
      <c r="I107" s="18"/>
      <c r="J107" s="19"/>
      <c r="K107" s="14"/>
      <c r="L107" s="17"/>
      <c r="M107" s="19"/>
      <c r="N107" s="20"/>
      <c r="O107" s="19"/>
      <c r="P107" s="21"/>
      <c r="Q107" s="22" t="str">
        <f aca="false">IF(L107="","",IF(M107&lt;&gt;"",M107*L107*100,IF(AND(O107&lt;&gt;"",B107&lt;&gt;""),IFERROR(AVERAGEIF($B$5:$B$1004,B107,$M$5:$M$1004)*L107*100,""),"")))</f>
        <v/>
      </c>
      <c r="R107" s="22" t="str">
        <f aca="false">IF(AND(O107&lt;&gt;"",L107&lt;&gt;""),O107*L107*100,"")</f>
        <v/>
      </c>
      <c r="S107" s="23" t="str">
        <f aca="false">IF(AND(P107&lt;&gt;"",L107&lt;&gt;""),P107*L107*100,"")</f>
        <v/>
      </c>
      <c r="T107" s="24" t="str">
        <f aca="false">IF(AND(Q107&lt;&gt;"",R107&lt;&gt;""),R107-Q107,"")</f>
        <v/>
      </c>
      <c r="U107" s="25" t="str">
        <f aca="false">IF(AND(Q107&lt;&gt;"",Q107&lt;&gt;0,T107&lt;&gt;""),T107/Q107,"")</f>
        <v/>
      </c>
      <c r="V107" s="26" t="str">
        <f aca="false">IF(AND(S107&lt;&gt;"",Q107&lt;&gt;""),S107-Q107,"")</f>
        <v/>
      </c>
      <c r="W107" s="27" t="str">
        <f aca="false">IF(AND(Q107&lt;&gt;"",Q107&lt;&gt;0,V107&lt;&gt;""),V107/Q107,"")</f>
        <v/>
      </c>
      <c r="X107" s="28" t="s">
        <v>37</v>
      </c>
      <c r="Y107" s="29" t="str">
        <f aca="false">IF(AND(O107&lt;&gt;"",M107&lt;&gt;"",O107&gt;M107),CONCATENATE("1 : ",TEXT((O107-M107)/M107,"0.00")),IF(AND(O107&lt;&gt;"",M107&lt;&gt;"",O107&lt;M107),CONCATENATE("-1 : ",TEXT((M107-O107)/M107,"0.00")),"—"))</f>
        <v>—</v>
      </c>
      <c r="Z107" s="30" t="str">
        <f aca="false">IF(AND(P107&lt;&gt;"",M107&lt;&gt;"",P107&gt;M107),CONCATENATE("1 : ",TEXT((P107-M107)/M107,"0.00")),"—")</f>
        <v>—</v>
      </c>
      <c r="AA107" s="31" t="str">
        <f aca="false">IF(AND(C107&lt;&gt;"",E107&lt;&gt;""),E107-C107,"")</f>
        <v/>
      </c>
      <c r="AB107" s="17"/>
      <c r="AC107" s="32"/>
      <c r="AD107" s="33"/>
      <c r="AE107" s="34" t="str">
        <f aca="false">IF(G107&lt;&gt;"",HYPERLINK("https://www.tradingview.com/chart/?symbol="&amp;G107&amp;"&amp;interval=60&amp;from="&amp;(AG107-10*3600)&amp;"&amp;to="&amp;(AG107+50*3600),"📈 1H"),"")</f>
        <v/>
      </c>
      <c r="AF107" s="35" t="str">
        <f aca="false">IF(G107&lt;&gt;"",HYPERLINK("https://www.tradingview.com/chart/?symbol="&amp;G107&amp;"&amp;interval=240&amp;from="&amp;(AG107-10*14400)&amp;"&amp;to="&amp;(AG107+50*14400),"📈 4H"),"")</f>
        <v/>
      </c>
      <c r="AG107" s="36" t="str">
        <f aca="false">IF(C107&lt;&gt;"",INT((C107+IF(D107&lt;&gt;"",D107,0)-DATE(1970,1,1))*86400),"")</f>
        <v/>
      </c>
    </row>
    <row r="108" customFormat="false" ht="19.5" hidden="false" customHeight="true" outlineLevel="0" collapsed="false">
      <c r="A108" s="37" t="n">
        <f aca="false">ROW()-4</f>
        <v>104</v>
      </c>
      <c r="B108" s="38"/>
      <c r="C108" s="39"/>
      <c r="D108" s="40"/>
      <c r="E108" s="39"/>
      <c r="F108" s="40"/>
      <c r="G108" s="41"/>
      <c r="H108" s="42"/>
      <c r="I108" s="43"/>
      <c r="J108" s="44"/>
      <c r="K108" s="39"/>
      <c r="L108" s="42"/>
      <c r="M108" s="44"/>
      <c r="N108" s="45"/>
      <c r="O108" s="44"/>
      <c r="P108" s="46"/>
      <c r="Q108" s="47" t="str">
        <f aca="false">IF(L108="","",IF(M108&lt;&gt;"",M108*L108*100,IF(AND(O108&lt;&gt;"",B108&lt;&gt;""),IFERROR(AVERAGEIF($B$5:$B$1004,B108,$M$5:$M$1004)*L108*100,""),"")))</f>
        <v/>
      </c>
      <c r="R108" s="47" t="str">
        <f aca="false">IF(AND(O108&lt;&gt;"",L108&lt;&gt;""),O108*L108*100,"")</f>
        <v/>
      </c>
      <c r="S108" s="48" t="str">
        <f aca="false">IF(AND(P108&lt;&gt;"",L108&lt;&gt;""),P108*L108*100,"")</f>
        <v/>
      </c>
      <c r="T108" s="49" t="str">
        <f aca="false">IF(AND(Q108&lt;&gt;"",R108&lt;&gt;""),R108-Q108,"")</f>
        <v/>
      </c>
      <c r="U108" s="50" t="str">
        <f aca="false">IF(AND(Q108&lt;&gt;"",Q108&lt;&gt;0,T108&lt;&gt;""),T108/Q108,"")</f>
        <v/>
      </c>
      <c r="V108" s="51" t="str">
        <f aca="false">IF(AND(S108&lt;&gt;"",Q108&lt;&gt;""),S108-Q108,"")</f>
        <v/>
      </c>
      <c r="W108" s="52" t="str">
        <f aca="false">IF(AND(Q108&lt;&gt;"",Q108&lt;&gt;0,V108&lt;&gt;""),V108/Q108,"")</f>
        <v/>
      </c>
      <c r="X108" s="53" t="s">
        <v>37</v>
      </c>
      <c r="Y108" s="54" t="str">
        <f aca="false">IF(AND(O108&lt;&gt;"",M108&lt;&gt;"",O108&gt;M108),CONCATENATE("1 : ",TEXT((O108-M108)/M108,"0.00")),IF(AND(O108&lt;&gt;"",M108&lt;&gt;"",O108&lt;M108),CONCATENATE("-1 : ",TEXT((M108-O108)/M108,"0.00")),"—"))</f>
        <v>—</v>
      </c>
      <c r="Z108" s="55" t="str">
        <f aca="false">IF(AND(P108&lt;&gt;"",M108&lt;&gt;"",P108&gt;M108),CONCATENATE("1 : ",TEXT((P108-M108)/M108,"0.00")),"—")</f>
        <v>—</v>
      </c>
      <c r="AA108" s="56" t="str">
        <f aca="false">IF(AND(C108&lt;&gt;"",E108&lt;&gt;""),E108-C108,"")</f>
        <v/>
      </c>
      <c r="AB108" s="42"/>
      <c r="AC108" s="57"/>
      <c r="AD108" s="58"/>
      <c r="AE108" s="59" t="str">
        <f aca="false">IF(G108&lt;&gt;"",HYPERLINK("https://www.tradingview.com/chart/?symbol="&amp;G108&amp;"&amp;interval=60&amp;from="&amp;(AG108-10*3600)&amp;"&amp;to="&amp;(AG108+50*3600),"📈 1H"),"")</f>
        <v/>
      </c>
      <c r="AF108" s="60" t="str">
        <f aca="false">IF(G108&lt;&gt;"",HYPERLINK("https://www.tradingview.com/chart/?symbol="&amp;G108&amp;"&amp;interval=240&amp;from="&amp;(AG108-10*14400)&amp;"&amp;to="&amp;(AG108+50*14400),"📈 4H"),"")</f>
        <v/>
      </c>
      <c r="AG108" s="36" t="str">
        <f aca="false">IF(C108&lt;&gt;"",INT((C108+IF(D108&lt;&gt;"",D108,0)-DATE(1970,1,1))*86400),"")</f>
        <v/>
      </c>
    </row>
    <row r="109" customFormat="false" ht="19.5" hidden="false" customHeight="true" outlineLevel="0" collapsed="false">
      <c r="A109" s="12" t="n">
        <f aca="false">ROW()-4</f>
        <v>105</v>
      </c>
      <c r="B109" s="13"/>
      <c r="C109" s="14"/>
      <c r="D109" s="15"/>
      <c r="E109" s="14"/>
      <c r="F109" s="15"/>
      <c r="G109" s="16"/>
      <c r="H109" s="17"/>
      <c r="I109" s="18"/>
      <c r="J109" s="19"/>
      <c r="K109" s="14"/>
      <c r="L109" s="17"/>
      <c r="M109" s="19"/>
      <c r="N109" s="20"/>
      <c r="O109" s="19"/>
      <c r="P109" s="21"/>
      <c r="Q109" s="22" t="str">
        <f aca="false">IF(L109="","",IF(M109&lt;&gt;"",M109*L109*100,IF(AND(O109&lt;&gt;"",B109&lt;&gt;""),IFERROR(AVERAGEIF($B$5:$B$1004,B109,$M$5:$M$1004)*L109*100,""),"")))</f>
        <v/>
      </c>
      <c r="R109" s="22" t="str">
        <f aca="false">IF(AND(O109&lt;&gt;"",L109&lt;&gt;""),O109*L109*100,"")</f>
        <v/>
      </c>
      <c r="S109" s="23" t="str">
        <f aca="false">IF(AND(P109&lt;&gt;"",L109&lt;&gt;""),P109*L109*100,"")</f>
        <v/>
      </c>
      <c r="T109" s="24" t="str">
        <f aca="false">IF(AND(Q109&lt;&gt;"",R109&lt;&gt;""),R109-Q109,"")</f>
        <v/>
      </c>
      <c r="U109" s="25" t="str">
        <f aca="false">IF(AND(Q109&lt;&gt;"",Q109&lt;&gt;0,T109&lt;&gt;""),T109/Q109,"")</f>
        <v/>
      </c>
      <c r="V109" s="26" t="str">
        <f aca="false">IF(AND(S109&lt;&gt;"",Q109&lt;&gt;""),S109-Q109,"")</f>
        <v/>
      </c>
      <c r="W109" s="27" t="str">
        <f aca="false">IF(AND(Q109&lt;&gt;"",Q109&lt;&gt;0,V109&lt;&gt;""),V109/Q109,"")</f>
        <v/>
      </c>
      <c r="X109" s="28" t="s">
        <v>37</v>
      </c>
      <c r="Y109" s="29" t="str">
        <f aca="false">IF(AND(O109&lt;&gt;"",M109&lt;&gt;"",O109&gt;M109),CONCATENATE("1 : ",TEXT((O109-M109)/M109,"0.00")),IF(AND(O109&lt;&gt;"",M109&lt;&gt;"",O109&lt;M109),CONCATENATE("-1 : ",TEXT((M109-O109)/M109,"0.00")),"—"))</f>
        <v>—</v>
      </c>
      <c r="Z109" s="30" t="str">
        <f aca="false">IF(AND(P109&lt;&gt;"",M109&lt;&gt;"",P109&gt;M109),CONCATENATE("1 : ",TEXT((P109-M109)/M109,"0.00")),"—")</f>
        <v>—</v>
      </c>
      <c r="AA109" s="31" t="str">
        <f aca="false">IF(AND(C109&lt;&gt;"",E109&lt;&gt;""),E109-C109,"")</f>
        <v/>
      </c>
      <c r="AB109" s="17"/>
      <c r="AC109" s="32"/>
      <c r="AD109" s="33"/>
      <c r="AE109" s="34" t="str">
        <f aca="false">IF(G109&lt;&gt;"",HYPERLINK("https://www.tradingview.com/chart/?symbol="&amp;G109&amp;"&amp;interval=60&amp;from="&amp;(AG109-10*3600)&amp;"&amp;to="&amp;(AG109+50*3600),"📈 1H"),"")</f>
        <v/>
      </c>
      <c r="AF109" s="35" t="str">
        <f aca="false">IF(G109&lt;&gt;"",HYPERLINK("https://www.tradingview.com/chart/?symbol="&amp;G109&amp;"&amp;interval=240&amp;from="&amp;(AG109-10*14400)&amp;"&amp;to="&amp;(AG109+50*14400),"📈 4H"),"")</f>
        <v/>
      </c>
      <c r="AG109" s="36" t="str">
        <f aca="false">IF(C109&lt;&gt;"",INT((C109+IF(D109&lt;&gt;"",D109,0)-DATE(1970,1,1))*86400),"")</f>
        <v/>
      </c>
    </row>
    <row r="110" customFormat="false" ht="19.5" hidden="false" customHeight="true" outlineLevel="0" collapsed="false">
      <c r="A110" s="37" t="n">
        <f aca="false">ROW()-4</f>
        <v>106</v>
      </c>
      <c r="B110" s="38"/>
      <c r="C110" s="39"/>
      <c r="D110" s="40"/>
      <c r="E110" s="39"/>
      <c r="F110" s="40"/>
      <c r="G110" s="41"/>
      <c r="H110" s="42"/>
      <c r="I110" s="43"/>
      <c r="J110" s="44"/>
      <c r="K110" s="39"/>
      <c r="L110" s="42"/>
      <c r="M110" s="44"/>
      <c r="N110" s="45"/>
      <c r="O110" s="44"/>
      <c r="P110" s="46"/>
      <c r="Q110" s="47" t="str">
        <f aca="false">IF(L110="","",IF(M110&lt;&gt;"",M110*L110*100,IF(AND(O110&lt;&gt;"",B110&lt;&gt;""),IFERROR(AVERAGEIF($B$5:$B$1004,B110,$M$5:$M$1004)*L110*100,""),"")))</f>
        <v/>
      </c>
      <c r="R110" s="47" t="str">
        <f aca="false">IF(AND(O110&lt;&gt;"",L110&lt;&gt;""),O110*L110*100,"")</f>
        <v/>
      </c>
      <c r="S110" s="48" t="str">
        <f aca="false">IF(AND(P110&lt;&gt;"",L110&lt;&gt;""),P110*L110*100,"")</f>
        <v/>
      </c>
      <c r="T110" s="49" t="str">
        <f aca="false">IF(AND(Q110&lt;&gt;"",R110&lt;&gt;""),R110-Q110,"")</f>
        <v/>
      </c>
      <c r="U110" s="50" t="str">
        <f aca="false">IF(AND(Q110&lt;&gt;"",Q110&lt;&gt;0,T110&lt;&gt;""),T110/Q110,"")</f>
        <v/>
      </c>
      <c r="V110" s="51" t="str">
        <f aca="false">IF(AND(S110&lt;&gt;"",Q110&lt;&gt;""),S110-Q110,"")</f>
        <v/>
      </c>
      <c r="W110" s="52" t="str">
        <f aca="false">IF(AND(Q110&lt;&gt;"",Q110&lt;&gt;0,V110&lt;&gt;""),V110/Q110,"")</f>
        <v/>
      </c>
      <c r="X110" s="53" t="s">
        <v>37</v>
      </c>
      <c r="Y110" s="54" t="str">
        <f aca="false">IF(AND(O110&lt;&gt;"",M110&lt;&gt;"",O110&gt;M110),CONCATENATE("1 : ",TEXT((O110-M110)/M110,"0.00")),IF(AND(O110&lt;&gt;"",M110&lt;&gt;"",O110&lt;M110),CONCATENATE("-1 : ",TEXT((M110-O110)/M110,"0.00")),"—"))</f>
        <v>—</v>
      </c>
      <c r="Z110" s="55" t="str">
        <f aca="false">IF(AND(P110&lt;&gt;"",M110&lt;&gt;"",P110&gt;M110),CONCATENATE("1 : ",TEXT((P110-M110)/M110,"0.00")),"—")</f>
        <v>—</v>
      </c>
      <c r="AA110" s="56" t="str">
        <f aca="false">IF(AND(C110&lt;&gt;"",E110&lt;&gt;""),E110-C110,"")</f>
        <v/>
      </c>
      <c r="AB110" s="42"/>
      <c r="AC110" s="57"/>
      <c r="AD110" s="58"/>
      <c r="AE110" s="59" t="str">
        <f aca="false">IF(G110&lt;&gt;"",HYPERLINK("https://www.tradingview.com/chart/?symbol="&amp;G110&amp;"&amp;interval=60&amp;from="&amp;(AG110-10*3600)&amp;"&amp;to="&amp;(AG110+50*3600),"📈 1H"),"")</f>
        <v/>
      </c>
      <c r="AF110" s="60" t="str">
        <f aca="false">IF(G110&lt;&gt;"",HYPERLINK("https://www.tradingview.com/chart/?symbol="&amp;G110&amp;"&amp;interval=240&amp;from="&amp;(AG110-10*14400)&amp;"&amp;to="&amp;(AG110+50*14400),"📈 4H"),"")</f>
        <v/>
      </c>
      <c r="AG110" s="36" t="str">
        <f aca="false">IF(C110&lt;&gt;"",INT((C110+IF(D110&lt;&gt;"",D110,0)-DATE(1970,1,1))*86400),"")</f>
        <v/>
      </c>
    </row>
    <row r="111" customFormat="false" ht="19.5" hidden="false" customHeight="true" outlineLevel="0" collapsed="false">
      <c r="A111" s="12" t="n">
        <f aca="false">ROW()-4</f>
        <v>107</v>
      </c>
      <c r="B111" s="13"/>
      <c r="C111" s="14"/>
      <c r="D111" s="15"/>
      <c r="E111" s="14"/>
      <c r="F111" s="15"/>
      <c r="G111" s="16"/>
      <c r="H111" s="17"/>
      <c r="I111" s="18"/>
      <c r="J111" s="19"/>
      <c r="K111" s="14"/>
      <c r="L111" s="17"/>
      <c r="M111" s="19"/>
      <c r="N111" s="20"/>
      <c r="O111" s="19"/>
      <c r="P111" s="21"/>
      <c r="Q111" s="22" t="str">
        <f aca="false">IF(L111="","",IF(M111&lt;&gt;"",M111*L111*100,IF(AND(O111&lt;&gt;"",B111&lt;&gt;""),IFERROR(AVERAGEIF($B$5:$B$1004,B111,$M$5:$M$1004)*L111*100,""),"")))</f>
        <v/>
      </c>
      <c r="R111" s="22" t="str">
        <f aca="false">IF(AND(O111&lt;&gt;"",L111&lt;&gt;""),O111*L111*100,"")</f>
        <v/>
      </c>
      <c r="S111" s="23" t="str">
        <f aca="false">IF(AND(P111&lt;&gt;"",L111&lt;&gt;""),P111*L111*100,"")</f>
        <v/>
      </c>
      <c r="T111" s="24" t="str">
        <f aca="false">IF(AND(Q111&lt;&gt;"",R111&lt;&gt;""),R111-Q111,"")</f>
        <v/>
      </c>
      <c r="U111" s="25" t="str">
        <f aca="false">IF(AND(Q111&lt;&gt;"",Q111&lt;&gt;0,T111&lt;&gt;""),T111/Q111,"")</f>
        <v/>
      </c>
      <c r="V111" s="26" t="str">
        <f aca="false">IF(AND(S111&lt;&gt;"",Q111&lt;&gt;""),S111-Q111,"")</f>
        <v/>
      </c>
      <c r="W111" s="27" t="str">
        <f aca="false">IF(AND(Q111&lt;&gt;"",Q111&lt;&gt;0,V111&lt;&gt;""),V111/Q111,"")</f>
        <v/>
      </c>
      <c r="X111" s="28" t="s">
        <v>37</v>
      </c>
      <c r="Y111" s="29" t="str">
        <f aca="false">IF(AND(O111&lt;&gt;"",M111&lt;&gt;"",O111&gt;M111),CONCATENATE("1 : ",TEXT((O111-M111)/M111,"0.00")),IF(AND(O111&lt;&gt;"",M111&lt;&gt;"",O111&lt;M111),CONCATENATE("-1 : ",TEXT((M111-O111)/M111,"0.00")),"—"))</f>
        <v>—</v>
      </c>
      <c r="Z111" s="30" t="str">
        <f aca="false">IF(AND(P111&lt;&gt;"",M111&lt;&gt;"",P111&gt;M111),CONCATENATE("1 : ",TEXT((P111-M111)/M111,"0.00")),"—")</f>
        <v>—</v>
      </c>
      <c r="AA111" s="31" t="str">
        <f aca="false">IF(AND(C111&lt;&gt;"",E111&lt;&gt;""),E111-C111,"")</f>
        <v/>
      </c>
      <c r="AB111" s="17"/>
      <c r="AC111" s="32"/>
      <c r="AD111" s="33"/>
      <c r="AE111" s="34" t="str">
        <f aca="false">IF(G111&lt;&gt;"",HYPERLINK("https://www.tradingview.com/chart/?symbol="&amp;G111&amp;"&amp;interval=60&amp;from="&amp;(AG111-10*3600)&amp;"&amp;to="&amp;(AG111+50*3600),"📈 1H"),"")</f>
        <v/>
      </c>
      <c r="AF111" s="35" t="str">
        <f aca="false">IF(G111&lt;&gt;"",HYPERLINK("https://www.tradingview.com/chart/?symbol="&amp;G111&amp;"&amp;interval=240&amp;from="&amp;(AG111-10*14400)&amp;"&amp;to="&amp;(AG111+50*14400),"📈 4H"),"")</f>
        <v/>
      </c>
      <c r="AG111" s="36" t="str">
        <f aca="false">IF(C111&lt;&gt;"",INT((C111+IF(D111&lt;&gt;"",D111,0)-DATE(1970,1,1))*86400),"")</f>
        <v/>
      </c>
    </row>
    <row r="112" customFormat="false" ht="19.5" hidden="false" customHeight="true" outlineLevel="0" collapsed="false">
      <c r="A112" s="37" t="n">
        <f aca="false">ROW()-4</f>
        <v>108</v>
      </c>
      <c r="B112" s="38"/>
      <c r="C112" s="39"/>
      <c r="D112" s="40"/>
      <c r="E112" s="39"/>
      <c r="F112" s="40"/>
      <c r="G112" s="41"/>
      <c r="H112" s="42"/>
      <c r="I112" s="43"/>
      <c r="J112" s="44"/>
      <c r="K112" s="39"/>
      <c r="L112" s="42"/>
      <c r="M112" s="44"/>
      <c r="N112" s="45"/>
      <c r="O112" s="44"/>
      <c r="P112" s="46"/>
      <c r="Q112" s="47" t="str">
        <f aca="false">IF(L112="","",IF(M112&lt;&gt;"",M112*L112*100,IF(AND(O112&lt;&gt;"",B112&lt;&gt;""),IFERROR(AVERAGEIF($B$5:$B$1004,B112,$M$5:$M$1004)*L112*100,""),"")))</f>
        <v/>
      </c>
      <c r="R112" s="47" t="str">
        <f aca="false">IF(AND(O112&lt;&gt;"",L112&lt;&gt;""),O112*L112*100,"")</f>
        <v/>
      </c>
      <c r="S112" s="48" t="str">
        <f aca="false">IF(AND(P112&lt;&gt;"",L112&lt;&gt;""),P112*L112*100,"")</f>
        <v/>
      </c>
      <c r="T112" s="49" t="str">
        <f aca="false">IF(AND(Q112&lt;&gt;"",R112&lt;&gt;""),R112-Q112,"")</f>
        <v/>
      </c>
      <c r="U112" s="50" t="str">
        <f aca="false">IF(AND(Q112&lt;&gt;"",Q112&lt;&gt;0,T112&lt;&gt;""),T112/Q112,"")</f>
        <v/>
      </c>
      <c r="V112" s="51" t="str">
        <f aca="false">IF(AND(S112&lt;&gt;"",Q112&lt;&gt;""),S112-Q112,"")</f>
        <v/>
      </c>
      <c r="W112" s="52" t="str">
        <f aca="false">IF(AND(Q112&lt;&gt;"",Q112&lt;&gt;0,V112&lt;&gt;""),V112/Q112,"")</f>
        <v/>
      </c>
      <c r="X112" s="53" t="s">
        <v>37</v>
      </c>
      <c r="Y112" s="54" t="str">
        <f aca="false">IF(AND(O112&lt;&gt;"",M112&lt;&gt;"",O112&gt;M112),CONCATENATE("1 : ",TEXT((O112-M112)/M112,"0.00")),IF(AND(O112&lt;&gt;"",M112&lt;&gt;"",O112&lt;M112),CONCATENATE("-1 : ",TEXT((M112-O112)/M112,"0.00")),"—"))</f>
        <v>—</v>
      </c>
      <c r="Z112" s="55" t="str">
        <f aca="false">IF(AND(P112&lt;&gt;"",M112&lt;&gt;"",P112&gt;M112),CONCATENATE("1 : ",TEXT((P112-M112)/M112,"0.00")),"—")</f>
        <v>—</v>
      </c>
      <c r="AA112" s="56" t="str">
        <f aca="false">IF(AND(C112&lt;&gt;"",E112&lt;&gt;""),E112-C112,"")</f>
        <v/>
      </c>
      <c r="AB112" s="42"/>
      <c r="AC112" s="57"/>
      <c r="AD112" s="58"/>
      <c r="AE112" s="59" t="str">
        <f aca="false">IF(G112&lt;&gt;"",HYPERLINK("https://www.tradingview.com/chart/?symbol="&amp;G112&amp;"&amp;interval=60&amp;from="&amp;(AG112-10*3600)&amp;"&amp;to="&amp;(AG112+50*3600),"📈 1H"),"")</f>
        <v/>
      </c>
      <c r="AF112" s="60" t="str">
        <f aca="false">IF(G112&lt;&gt;"",HYPERLINK("https://www.tradingview.com/chart/?symbol="&amp;G112&amp;"&amp;interval=240&amp;from="&amp;(AG112-10*14400)&amp;"&amp;to="&amp;(AG112+50*14400),"📈 4H"),"")</f>
        <v/>
      </c>
      <c r="AG112" s="36" t="str">
        <f aca="false">IF(C112&lt;&gt;"",INT((C112+IF(D112&lt;&gt;"",D112,0)-DATE(1970,1,1))*86400),"")</f>
        <v/>
      </c>
    </row>
    <row r="113" customFormat="false" ht="19.5" hidden="false" customHeight="true" outlineLevel="0" collapsed="false">
      <c r="A113" s="12" t="n">
        <f aca="false">ROW()-4</f>
        <v>109</v>
      </c>
      <c r="B113" s="13"/>
      <c r="C113" s="14"/>
      <c r="D113" s="15"/>
      <c r="E113" s="14"/>
      <c r="F113" s="15"/>
      <c r="G113" s="16"/>
      <c r="H113" s="17"/>
      <c r="I113" s="18"/>
      <c r="J113" s="19"/>
      <c r="K113" s="14"/>
      <c r="L113" s="17"/>
      <c r="M113" s="19"/>
      <c r="N113" s="20"/>
      <c r="O113" s="19"/>
      <c r="P113" s="21"/>
      <c r="Q113" s="22" t="str">
        <f aca="false">IF(L113="","",IF(M113&lt;&gt;"",M113*L113*100,IF(AND(O113&lt;&gt;"",B113&lt;&gt;""),IFERROR(AVERAGEIF($B$5:$B$1004,B113,$M$5:$M$1004)*L113*100,""),"")))</f>
        <v/>
      </c>
      <c r="R113" s="22" t="str">
        <f aca="false">IF(AND(O113&lt;&gt;"",L113&lt;&gt;""),O113*L113*100,"")</f>
        <v/>
      </c>
      <c r="S113" s="23" t="str">
        <f aca="false">IF(AND(P113&lt;&gt;"",L113&lt;&gt;""),P113*L113*100,"")</f>
        <v/>
      </c>
      <c r="T113" s="24" t="str">
        <f aca="false">IF(AND(Q113&lt;&gt;"",R113&lt;&gt;""),R113-Q113,"")</f>
        <v/>
      </c>
      <c r="U113" s="25" t="str">
        <f aca="false">IF(AND(Q113&lt;&gt;"",Q113&lt;&gt;0,T113&lt;&gt;""),T113/Q113,"")</f>
        <v/>
      </c>
      <c r="V113" s="26" t="str">
        <f aca="false">IF(AND(S113&lt;&gt;"",Q113&lt;&gt;""),S113-Q113,"")</f>
        <v/>
      </c>
      <c r="W113" s="27" t="str">
        <f aca="false">IF(AND(Q113&lt;&gt;"",Q113&lt;&gt;0,V113&lt;&gt;""),V113/Q113,"")</f>
        <v/>
      </c>
      <c r="X113" s="28" t="s">
        <v>37</v>
      </c>
      <c r="Y113" s="29" t="str">
        <f aca="false">IF(AND(O113&lt;&gt;"",M113&lt;&gt;"",O113&gt;M113),CONCATENATE("1 : ",TEXT((O113-M113)/M113,"0.00")),IF(AND(O113&lt;&gt;"",M113&lt;&gt;"",O113&lt;M113),CONCATENATE("-1 : ",TEXT((M113-O113)/M113,"0.00")),"—"))</f>
        <v>—</v>
      </c>
      <c r="Z113" s="30" t="str">
        <f aca="false">IF(AND(P113&lt;&gt;"",M113&lt;&gt;"",P113&gt;M113),CONCATENATE("1 : ",TEXT((P113-M113)/M113,"0.00")),"—")</f>
        <v>—</v>
      </c>
      <c r="AA113" s="31" t="str">
        <f aca="false">IF(AND(C113&lt;&gt;"",E113&lt;&gt;""),E113-C113,"")</f>
        <v/>
      </c>
      <c r="AB113" s="17"/>
      <c r="AC113" s="32"/>
      <c r="AD113" s="33"/>
      <c r="AE113" s="34" t="str">
        <f aca="false">IF(G113&lt;&gt;"",HYPERLINK("https://www.tradingview.com/chart/?symbol="&amp;G113&amp;"&amp;interval=60&amp;from="&amp;(AG113-10*3600)&amp;"&amp;to="&amp;(AG113+50*3600),"📈 1H"),"")</f>
        <v/>
      </c>
      <c r="AF113" s="35" t="str">
        <f aca="false">IF(G113&lt;&gt;"",HYPERLINK("https://www.tradingview.com/chart/?symbol="&amp;G113&amp;"&amp;interval=240&amp;from="&amp;(AG113-10*14400)&amp;"&amp;to="&amp;(AG113+50*14400),"📈 4H"),"")</f>
        <v/>
      </c>
      <c r="AG113" s="36" t="str">
        <f aca="false">IF(C113&lt;&gt;"",INT((C113+IF(D113&lt;&gt;"",D113,0)-DATE(1970,1,1))*86400),"")</f>
        <v/>
      </c>
    </row>
    <row r="114" customFormat="false" ht="19.5" hidden="false" customHeight="true" outlineLevel="0" collapsed="false">
      <c r="A114" s="37" t="n">
        <f aca="false">ROW()-4</f>
        <v>110</v>
      </c>
      <c r="B114" s="38"/>
      <c r="C114" s="39"/>
      <c r="D114" s="40"/>
      <c r="E114" s="39"/>
      <c r="F114" s="40"/>
      <c r="G114" s="41"/>
      <c r="H114" s="42"/>
      <c r="I114" s="43"/>
      <c r="J114" s="44"/>
      <c r="K114" s="39"/>
      <c r="L114" s="42"/>
      <c r="M114" s="44"/>
      <c r="N114" s="45"/>
      <c r="O114" s="44"/>
      <c r="P114" s="46"/>
      <c r="Q114" s="47" t="str">
        <f aca="false">IF(L114="","",IF(M114&lt;&gt;"",M114*L114*100,IF(AND(O114&lt;&gt;"",B114&lt;&gt;""),IFERROR(AVERAGEIF($B$5:$B$1004,B114,$M$5:$M$1004)*L114*100,""),"")))</f>
        <v/>
      </c>
      <c r="R114" s="47" t="str">
        <f aca="false">IF(AND(O114&lt;&gt;"",L114&lt;&gt;""),O114*L114*100,"")</f>
        <v/>
      </c>
      <c r="S114" s="48" t="str">
        <f aca="false">IF(AND(P114&lt;&gt;"",L114&lt;&gt;""),P114*L114*100,"")</f>
        <v/>
      </c>
      <c r="T114" s="49" t="str">
        <f aca="false">IF(AND(Q114&lt;&gt;"",R114&lt;&gt;""),R114-Q114,"")</f>
        <v/>
      </c>
      <c r="U114" s="50" t="str">
        <f aca="false">IF(AND(Q114&lt;&gt;"",Q114&lt;&gt;0,T114&lt;&gt;""),T114/Q114,"")</f>
        <v/>
      </c>
      <c r="V114" s="51" t="str">
        <f aca="false">IF(AND(S114&lt;&gt;"",Q114&lt;&gt;""),S114-Q114,"")</f>
        <v/>
      </c>
      <c r="W114" s="52" t="str">
        <f aca="false">IF(AND(Q114&lt;&gt;"",Q114&lt;&gt;0,V114&lt;&gt;""),V114/Q114,"")</f>
        <v/>
      </c>
      <c r="X114" s="53" t="s">
        <v>37</v>
      </c>
      <c r="Y114" s="54" t="str">
        <f aca="false">IF(AND(O114&lt;&gt;"",M114&lt;&gt;"",O114&gt;M114),CONCATENATE("1 : ",TEXT((O114-M114)/M114,"0.00")),IF(AND(O114&lt;&gt;"",M114&lt;&gt;"",O114&lt;M114),CONCATENATE("-1 : ",TEXT((M114-O114)/M114,"0.00")),"—"))</f>
        <v>—</v>
      </c>
      <c r="Z114" s="55" t="str">
        <f aca="false">IF(AND(P114&lt;&gt;"",M114&lt;&gt;"",P114&gt;M114),CONCATENATE("1 : ",TEXT((P114-M114)/M114,"0.00")),"—")</f>
        <v>—</v>
      </c>
      <c r="AA114" s="56" t="str">
        <f aca="false">IF(AND(C114&lt;&gt;"",E114&lt;&gt;""),E114-C114,"")</f>
        <v/>
      </c>
      <c r="AB114" s="42"/>
      <c r="AC114" s="57"/>
      <c r="AD114" s="58"/>
      <c r="AE114" s="59" t="str">
        <f aca="false">IF(G114&lt;&gt;"",HYPERLINK("https://www.tradingview.com/chart/?symbol="&amp;G114&amp;"&amp;interval=60&amp;from="&amp;(AG114-10*3600)&amp;"&amp;to="&amp;(AG114+50*3600),"📈 1H"),"")</f>
        <v/>
      </c>
      <c r="AF114" s="60" t="str">
        <f aca="false">IF(G114&lt;&gt;"",HYPERLINK("https://www.tradingview.com/chart/?symbol="&amp;G114&amp;"&amp;interval=240&amp;from="&amp;(AG114-10*14400)&amp;"&amp;to="&amp;(AG114+50*14400),"📈 4H"),"")</f>
        <v/>
      </c>
      <c r="AG114" s="36" t="str">
        <f aca="false">IF(C114&lt;&gt;"",INT((C114+IF(D114&lt;&gt;"",D114,0)-DATE(1970,1,1))*86400),"")</f>
        <v/>
      </c>
    </row>
    <row r="115" customFormat="false" ht="19.5" hidden="false" customHeight="true" outlineLevel="0" collapsed="false">
      <c r="A115" s="12" t="n">
        <f aca="false">ROW()-4</f>
        <v>111</v>
      </c>
      <c r="B115" s="13"/>
      <c r="C115" s="14"/>
      <c r="D115" s="15"/>
      <c r="E115" s="14"/>
      <c r="F115" s="15"/>
      <c r="G115" s="16"/>
      <c r="H115" s="17"/>
      <c r="I115" s="18"/>
      <c r="J115" s="19"/>
      <c r="K115" s="14"/>
      <c r="L115" s="17"/>
      <c r="M115" s="19"/>
      <c r="N115" s="20"/>
      <c r="O115" s="19"/>
      <c r="P115" s="21"/>
      <c r="Q115" s="22" t="str">
        <f aca="false">IF(L115="","",IF(M115&lt;&gt;"",M115*L115*100,IF(AND(O115&lt;&gt;"",B115&lt;&gt;""),IFERROR(AVERAGEIF($B$5:$B$1004,B115,$M$5:$M$1004)*L115*100,""),"")))</f>
        <v/>
      </c>
      <c r="R115" s="22" t="str">
        <f aca="false">IF(AND(O115&lt;&gt;"",L115&lt;&gt;""),O115*L115*100,"")</f>
        <v/>
      </c>
      <c r="S115" s="23" t="str">
        <f aca="false">IF(AND(P115&lt;&gt;"",L115&lt;&gt;""),P115*L115*100,"")</f>
        <v/>
      </c>
      <c r="T115" s="24" t="str">
        <f aca="false">IF(AND(Q115&lt;&gt;"",R115&lt;&gt;""),R115-Q115,"")</f>
        <v/>
      </c>
      <c r="U115" s="25" t="str">
        <f aca="false">IF(AND(Q115&lt;&gt;"",Q115&lt;&gt;0,T115&lt;&gt;""),T115/Q115,"")</f>
        <v/>
      </c>
      <c r="V115" s="26" t="str">
        <f aca="false">IF(AND(S115&lt;&gt;"",Q115&lt;&gt;""),S115-Q115,"")</f>
        <v/>
      </c>
      <c r="W115" s="27" t="str">
        <f aca="false">IF(AND(Q115&lt;&gt;"",Q115&lt;&gt;0,V115&lt;&gt;""),V115/Q115,"")</f>
        <v/>
      </c>
      <c r="X115" s="28" t="s">
        <v>37</v>
      </c>
      <c r="Y115" s="29" t="str">
        <f aca="false">IF(AND(O115&lt;&gt;"",M115&lt;&gt;"",O115&gt;M115),CONCATENATE("1 : ",TEXT((O115-M115)/M115,"0.00")),IF(AND(O115&lt;&gt;"",M115&lt;&gt;"",O115&lt;M115),CONCATENATE("-1 : ",TEXT((M115-O115)/M115,"0.00")),"—"))</f>
        <v>—</v>
      </c>
      <c r="Z115" s="30" t="str">
        <f aca="false">IF(AND(P115&lt;&gt;"",M115&lt;&gt;"",P115&gt;M115),CONCATENATE("1 : ",TEXT((P115-M115)/M115,"0.00")),"—")</f>
        <v>—</v>
      </c>
      <c r="AA115" s="31" t="str">
        <f aca="false">IF(AND(C115&lt;&gt;"",E115&lt;&gt;""),E115-C115,"")</f>
        <v/>
      </c>
      <c r="AB115" s="17"/>
      <c r="AC115" s="32"/>
      <c r="AD115" s="33"/>
      <c r="AE115" s="34" t="str">
        <f aca="false">IF(G115&lt;&gt;"",HYPERLINK("https://www.tradingview.com/chart/?symbol="&amp;G115&amp;"&amp;interval=60&amp;from="&amp;(AG115-10*3600)&amp;"&amp;to="&amp;(AG115+50*3600),"📈 1H"),"")</f>
        <v/>
      </c>
      <c r="AF115" s="35" t="str">
        <f aca="false">IF(G115&lt;&gt;"",HYPERLINK("https://www.tradingview.com/chart/?symbol="&amp;G115&amp;"&amp;interval=240&amp;from="&amp;(AG115-10*14400)&amp;"&amp;to="&amp;(AG115+50*14400),"📈 4H"),"")</f>
        <v/>
      </c>
      <c r="AG115" s="36" t="str">
        <f aca="false">IF(C115&lt;&gt;"",INT((C115+IF(D115&lt;&gt;"",D115,0)-DATE(1970,1,1))*86400),"")</f>
        <v/>
      </c>
    </row>
    <row r="116" customFormat="false" ht="19.5" hidden="false" customHeight="true" outlineLevel="0" collapsed="false">
      <c r="A116" s="37" t="n">
        <f aca="false">ROW()-4</f>
        <v>112</v>
      </c>
      <c r="B116" s="38"/>
      <c r="C116" s="39"/>
      <c r="D116" s="40"/>
      <c r="E116" s="39"/>
      <c r="F116" s="40"/>
      <c r="G116" s="41"/>
      <c r="H116" s="42"/>
      <c r="I116" s="43"/>
      <c r="J116" s="44"/>
      <c r="K116" s="39"/>
      <c r="L116" s="42"/>
      <c r="M116" s="44"/>
      <c r="N116" s="45"/>
      <c r="O116" s="44"/>
      <c r="P116" s="46"/>
      <c r="Q116" s="47" t="str">
        <f aca="false">IF(L116="","",IF(M116&lt;&gt;"",M116*L116*100,IF(AND(O116&lt;&gt;"",B116&lt;&gt;""),IFERROR(AVERAGEIF($B$5:$B$1004,B116,$M$5:$M$1004)*L116*100,""),"")))</f>
        <v/>
      </c>
      <c r="R116" s="47" t="str">
        <f aca="false">IF(AND(O116&lt;&gt;"",L116&lt;&gt;""),O116*L116*100,"")</f>
        <v/>
      </c>
      <c r="S116" s="48" t="str">
        <f aca="false">IF(AND(P116&lt;&gt;"",L116&lt;&gt;""),P116*L116*100,"")</f>
        <v/>
      </c>
      <c r="T116" s="49" t="str">
        <f aca="false">IF(AND(Q116&lt;&gt;"",R116&lt;&gt;""),R116-Q116,"")</f>
        <v/>
      </c>
      <c r="U116" s="50" t="str">
        <f aca="false">IF(AND(Q116&lt;&gt;"",Q116&lt;&gt;0,T116&lt;&gt;""),T116/Q116,"")</f>
        <v/>
      </c>
      <c r="V116" s="51" t="str">
        <f aca="false">IF(AND(S116&lt;&gt;"",Q116&lt;&gt;""),S116-Q116,"")</f>
        <v/>
      </c>
      <c r="W116" s="52" t="str">
        <f aca="false">IF(AND(Q116&lt;&gt;"",Q116&lt;&gt;0,V116&lt;&gt;""),V116/Q116,"")</f>
        <v/>
      </c>
      <c r="X116" s="53" t="s">
        <v>37</v>
      </c>
      <c r="Y116" s="54" t="str">
        <f aca="false">IF(AND(O116&lt;&gt;"",M116&lt;&gt;"",O116&gt;M116),CONCATENATE("1 : ",TEXT((O116-M116)/M116,"0.00")),IF(AND(O116&lt;&gt;"",M116&lt;&gt;"",O116&lt;M116),CONCATENATE("-1 : ",TEXT((M116-O116)/M116,"0.00")),"—"))</f>
        <v>—</v>
      </c>
      <c r="Z116" s="55" t="str">
        <f aca="false">IF(AND(P116&lt;&gt;"",M116&lt;&gt;"",P116&gt;M116),CONCATENATE("1 : ",TEXT((P116-M116)/M116,"0.00")),"—")</f>
        <v>—</v>
      </c>
      <c r="AA116" s="56" t="str">
        <f aca="false">IF(AND(C116&lt;&gt;"",E116&lt;&gt;""),E116-C116,"")</f>
        <v/>
      </c>
      <c r="AB116" s="42"/>
      <c r="AC116" s="57"/>
      <c r="AD116" s="58"/>
      <c r="AE116" s="59" t="str">
        <f aca="false">IF(G116&lt;&gt;"",HYPERLINK("https://www.tradingview.com/chart/?symbol="&amp;G116&amp;"&amp;interval=60&amp;from="&amp;(AG116-10*3600)&amp;"&amp;to="&amp;(AG116+50*3600),"📈 1H"),"")</f>
        <v/>
      </c>
      <c r="AF116" s="60" t="str">
        <f aca="false">IF(G116&lt;&gt;"",HYPERLINK("https://www.tradingview.com/chart/?symbol="&amp;G116&amp;"&amp;interval=240&amp;from="&amp;(AG116-10*14400)&amp;"&amp;to="&amp;(AG116+50*14400),"📈 4H"),"")</f>
        <v/>
      </c>
      <c r="AG116" s="36" t="str">
        <f aca="false">IF(C116&lt;&gt;"",INT((C116+IF(D116&lt;&gt;"",D116,0)-DATE(1970,1,1))*86400),"")</f>
        <v/>
      </c>
    </row>
    <row r="117" customFormat="false" ht="19.5" hidden="false" customHeight="true" outlineLevel="0" collapsed="false">
      <c r="A117" s="12" t="n">
        <f aca="false">ROW()-4</f>
        <v>113</v>
      </c>
      <c r="B117" s="13"/>
      <c r="C117" s="14"/>
      <c r="D117" s="15"/>
      <c r="E117" s="14"/>
      <c r="F117" s="15"/>
      <c r="G117" s="16"/>
      <c r="H117" s="17"/>
      <c r="I117" s="18"/>
      <c r="J117" s="19"/>
      <c r="K117" s="14"/>
      <c r="L117" s="17"/>
      <c r="M117" s="19"/>
      <c r="N117" s="20"/>
      <c r="O117" s="19"/>
      <c r="P117" s="21"/>
      <c r="Q117" s="22" t="str">
        <f aca="false">IF(L117="","",IF(M117&lt;&gt;"",M117*L117*100,IF(AND(O117&lt;&gt;"",B117&lt;&gt;""),IFERROR(AVERAGEIF($B$5:$B$1004,B117,$M$5:$M$1004)*L117*100,""),"")))</f>
        <v/>
      </c>
      <c r="R117" s="22" t="str">
        <f aca="false">IF(AND(O117&lt;&gt;"",L117&lt;&gt;""),O117*L117*100,"")</f>
        <v/>
      </c>
      <c r="S117" s="23" t="str">
        <f aca="false">IF(AND(P117&lt;&gt;"",L117&lt;&gt;""),P117*L117*100,"")</f>
        <v/>
      </c>
      <c r="T117" s="24" t="str">
        <f aca="false">IF(AND(Q117&lt;&gt;"",R117&lt;&gt;""),R117-Q117,"")</f>
        <v/>
      </c>
      <c r="U117" s="25" t="str">
        <f aca="false">IF(AND(Q117&lt;&gt;"",Q117&lt;&gt;0,T117&lt;&gt;""),T117/Q117,"")</f>
        <v/>
      </c>
      <c r="V117" s="26" t="str">
        <f aca="false">IF(AND(S117&lt;&gt;"",Q117&lt;&gt;""),S117-Q117,"")</f>
        <v/>
      </c>
      <c r="W117" s="27" t="str">
        <f aca="false">IF(AND(Q117&lt;&gt;"",Q117&lt;&gt;0,V117&lt;&gt;""),V117/Q117,"")</f>
        <v/>
      </c>
      <c r="X117" s="28" t="s">
        <v>37</v>
      </c>
      <c r="Y117" s="29" t="str">
        <f aca="false">IF(AND(O117&lt;&gt;"",M117&lt;&gt;"",O117&gt;M117),CONCATENATE("1 : ",TEXT((O117-M117)/M117,"0.00")),IF(AND(O117&lt;&gt;"",M117&lt;&gt;"",O117&lt;M117),CONCATENATE("-1 : ",TEXT((M117-O117)/M117,"0.00")),"—"))</f>
        <v>—</v>
      </c>
      <c r="Z117" s="30" t="str">
        <f aca="false">IF(AND(P117&lt;&gt;"",M117&lt;&gt;"",P117&gt;M117),CONCATENATE("1 : ",TEXT((P117-M117)/M117,"0.00")),"—")</f>
        <v>—</v>
      </c>
      <c r="AA117" s="31" t="str">
        <f aca="false">IF(AND(C117&lt;&gt;"",E117&lt;&gt;""),E117-C117,"")</f>
        <v/>
      </c>
      <c r="AB117" s="17"/>
      <c r="AC117" s="32"/>
      <c r="AD117" s="33"/>
      <c r="AE117" s="34" t="str">
        <f aca="false">IF(G117&lt;&gt;"",HYPERLINK("https://www.tradingview.com/chart/?symbol="&amp;G117&amp;"&amp;interval=60&amp;from="&amp;(AG117-10*3600)&amp;"&amp;to="&amp;(AG117+50*3600),"📈 1H"),"")</f>
        <v/>
      </c>
      <c r="AF117" s="35" t="str">
        <f aca="false">IF(G117&lt;&gt;"",HYPERLINK("https://www.tradingview.com/chart/?symbol="&amp;G117&amp;"&amp;interval=240&amp;from="&amp;(AG117-10*14400)&amp;"&amp;to="&amp;(AG117+50*14400),"📈 4H"),"")</f>
        <v/>
      </c>
      <c r="AG117" s="36" t="str">
        <f aca="false">IF(C117&lt;&gt;"",INT((C117+IF(D117&lt;&gt;"",D117,0)-DATE(1970,1,1))*86400),"")</f>
        <v/>
      </c>
    </row>
    <row r="118" customFormat="false" ht="19.5" hidden="false" customHeight="true" outlineLevel="0" collapsed="false">
      <c r="A118" s="37" t="n">
        <f aca="false">ROW()-4</f>
        <v>114</v>
      </c>
      <c r="B118" s="38"/>
      <c r="C118" s="39"/>
      <c r="D118" s="40"/>
      <c r="E118" s="39"/>
      <c r="F118" s="40"/>
      <c r="G118" s="41"/>
      <c r="H118" s="42"/>
      <c r="I118" s="43"/>
      <c r="J118" s="44"/>
      <c r="K118" s="39"/>
      <c r="L118" s="42"/>
      <c r="M118" s="44"/>
      <c r="N118" s="45"/>
      <c r="O118" s="44"/>
      <c r="P118" s="46"/>
      <c r="Q118" s="47" t="str">
        <f aca="false">IF(L118="","",IF(M118&lt;&gt;"",M118*L118*100,IF(AND(O118&lt;&gt;"",B118&lt;&gt;""),IFERROR(AVERAGEIF($B$5:$B$1004,B118,$M$5:$M$1004)*L118*100,""),"")))</f>
        <v/>
      </c>
      <c r="R118" s="47" t="str">
        <f aca="false">IF(AND(O118&lt;&gt;"",L118&lt;&gt;""),O118*L118*100,"")</f>
        <v/>
      </c>
      <c r="S118" s="48" t="str">
        <f aca="false">IF(AND(P118&lt;&gt;"",L118&lt;&gt;""),P118*L118*100,"")</f>
        <v/>
      </c>
      <c r="T118" s="49" t="str">
        <f aca="false">IF(AND(Q118&lt;&gt;"",R118&lt;&gt;""),R118-Q118,"")</f>
        <v/>
      </c>
      <c r="U118" s="50" t="str">
        <f aca="false">IF(AND(Q118&lt;&gt;"",Q118&lt;&gt;0,T118&lt;&gt;""),T118/Q118,"")</f>
        <v/>
      </c>
      <c r="V118" s="51" t="str">
        <f aca="false">IF(AND(S118&lt;&gt;"",Q118&lt;&gt;""),S118-Q118,"")</f>
        <v/>
      </c>
      <c r="W118" s="52" t="str">
        <f aca="false">IF(AND(Q118&lt;&gt;"",Q118&lt;&gt;0,V118&lt;&gt;""),V118/Q118,"")</f>
        <v/>
      </c>
      <c r="X118" s="53" t="s">
        <v>37</v>
      </c>
      <c r="Y118" s="54" t="str">
        <f aca="false">IF(AND(O118&lt;&gt;"",M118&lt;&gt;"",O118&gt;M118),CONCATENATE("1 : ",TEXT((O118-M118)/M118,"0.00")),IF(AND(O118&lt;&gt;"",M118&lt;&gt;"",O118&lt;M118),CONCATENATE("-1 : ",TEXT((M118-O118)/M118,"0.00")),"—"))</f>
        <v>—</v>
      </c>
      <c r="Z118" s="55" t="str">
        <f aca="false">IF(AND(P118&lt;&gt;"",M118&lt;&gt;"",P118&gt;M118),CONCATENATE("1 : ",TEXT((P118-M118)/M118,"0.00")),"—")</f>
        <v>—</v>
      </c>
      <c r="AA118" s="56" t="str">
        <f aca="false">IF(AND(C118&lt;&gt;"",E118&lt;&gt;""),E118-C118,"")</f>
        <v/>
      </c>
      <c r="AB118" s="42"/>
      <c r="AC118" s="57"/>
      <c r="AD118" s="58"/>
      <c r="AE118" s="59" t="str">
        <f aca="false">IF(G118&lt;&gt;"",HYPERLINK("https://www.tradingview.com/chart/?symbol="&amp;G118&amp;"&amp;interval=60&amp;from="&amp;(AG118-10*3600)&amp;"&amp;to="&amp;(AG118+50*3600),"📈 1H"),"")</f>
        <v/>
      </c>
      <c r="AF118" s="60" t="str">
        <f aca="false">IF(G118&lt;&gt;"",HYPERLINK("https://www.tradingview.com/chart/?symbol="&amp;G118&amp;"&amp;interval=240&amp;from="&amp;(AG118-10*14400)&amp;"&amp;to="&amp;(AG118+50*14400),"📈 4H"),"")</f>
        <v/>
      </c>
      <c r="AG118" s="36" t="str">
        <f aca="false">IF(C118&lt;&gt;"",INT((C118+IF(D118&lt;&gt;"",D118,0)-DATE(1970,1,1))*86400),"")</f>
        <v/>
      </c>
    </row>
    <row r="119" customFormat="false" ht="19.5" hidden="false" customHeight="true" outlineLevel="0" collapsed="false">
      <c r="A119" s="12" t="n">
        <f aca="false">ROW()-4</f>
        <v>115</v>
      </c>
      <c r="B119" s="13"/>
      <c r="C119" s="14"/>
      <c r="D119" s="15"/>
      <c r="E119" s="14"/>
      <c r="F119" s="15"/>
      <c r="G119" s="16"/>
      <c r="H119" s="17"/>
      <c r="I119" s="18"/>
      <c r="J119" s="19"/>
      <c r="K119" s="14"/>
      <c r="L119" s="17"/>
      <c r="M119" s="19"/>
      <c r="N119" s="20"/>
      <c r="O119" s="19"/>
      <c r="P119" s="21"/>
      <c r="Q119" s="22" t="str">
        <f aca="false">IF(L119="","",IF(M119&lt;&gt;"",M119*L119*100,IF(AND(O119&lt;&gt;"",B119&lt;&gt;""),IFERROR(AVERAGEIF($B$5:$B$1004,B119,$M$5:$M$1004)*L119*100,""),"")))</f>
        <v/>
      </c>
      <c r="R119" s="22" t="str">
        <f aca="false">IF(AND(O119&lt;&gt;"",L119&lt;&gt;""),O119*L119*100,"")</f>
        <v/>
      </c>
      <c r="S119" s="23" t="str">
        <f aca="false">IF(AND(P119&lt;&gt;"",L119&lt;&gt;""),P119*L119*100,"")</f>
        <v/>
      </c>
      <c r="T119" s="24" t="str">
        <f aca="false">IF(AND(Q119&lt;&gt;"",R119&lt;&gt;""),R119-Q119,"")</f>
        <v/>
      </c>
      <c r="U119" s="25" t="str">
        <f aca="false">IF(AND(Q119&lt;&gt;"",Q119&lt;&gt;0,T119&lt;&gt;""),T119/Q119,"")</f>
        <v/>
      </c>
      <c r="V119" s="26" t="str">
        <f aca="false">IF(AND(S119&lt;&gt;"",Q119&lt;&gt;""),S119-Q119,"")</f>
        <v/>
      </c>
      <c r="W119" s="27" t="str">
        <f aca="false">IF(AND(Q119&lt;&gt;"",Q119&lt;&gt;0,V119&lt;&gt;""),V119/Q119,"")</f>
        <v/>
      </c>
      <c r="X119" s="28" t="s">
        <v>37</v>
      </c>
      <c r="Y119" s="29" t="str">
        <f aca="false">IF(AND(O119&lt;&gt;"",M119&lt;&gt;"",O119&gt;M119),CONCATENATE("1 : ",TEXT((O119-M119)/M119,"0.00")),IF(AND(O119&lt;&gt;"",M119&lt;&gt;"",O119&lt;M119),CONCATENATE("-1 : ",TEXT((M119-O119)/M119,"0.00")),"—"))</f>
        <v>—</v>
      </c>
      <c r="Z119" s="30" t="str">
        <f aca="false">IF(AND(P119&lt;&gt;"",M119&lt;&gt;"",P119&gt;M119),CONCATENATE("1 : ",TEXT((P119-M119)/M119,"0.00")),"—")</f>
        <v>—</v>
      </c>
      <c r="AA119" s="31" t="str">
        <f aca="false">IF(AND(C119&lt;&gt;"",E119&lt;&gt;""),E119-C119,"")</f>
        <v/>
      </c>
      <c r="AB119" s="17"/>
      <c r="AC119" s="32"/>
      <c r="AD119" s="33"/>
      <c r="AE119" s="34" t="str">
        <f aca="false">IF(G119&lt;&gt;"",HYPERLINK("https://www.tradingview.com/chart/?symbol="&amp;G119&amp;"&amp;interval=60&amp;from="&amp;(AG119-10*3600)&amp;"&amp;to="&amp;(AG119+50*3600),"📈 1H"),"")</f>
        <v/>
      </c>
      <c r="AF119" s="35" t="str">
        <f aca="false">IF(G119&lt;&gt;"",HYPERLINK("https://www.tradingview.com/chart/?symbol="&amp;G119&amp;"&amp;interval=240&amp;from="&amp;(AG119-10*14400)&amp;"&amp;to="&amp;(AG119+50*14400),"📈 4H"),"")</f>
        <v/>
      </c>
      <c r="AG119" s="36" t="str">
        <f aca="false">IF(C119&lt;&gt;"",INT((C119+IF(D119&lt;&gt;"",D119,0)-DATE(1970,1,1))*86400),"")</f>
        <v/>
      </c>
    </row>
    <row r="120" customFormat="false" ht="19.5" hidden="false" customHeight="true" outlineLevel="0" collapsed="false">
      <c r="A120" s="37" t="n">
        <f aca="false">ROW()-4</f>
        <v>116</v>
      </c>
      <c r="B120" s="38"/>
      <c r="C120" s="39"/>
      <c r="D120" s="40"/>
      <c r="E120" s="39"/>
      <c r="F120" s="40"/>
      <c r="G120" s="41"/>
      <c r="H120" s="42"/>
      <c r="I120" s="43"/>
      <c r="J120" s="44"/>
      <c r="K120" s="39"/>
      <c r="L120" s="42"/>
      <c r="M120" s="44"/>
      <c r="N120" s="45"/>
      <c r="O120" s="44"/>
      <c r="P120" s="46"/>
      <c r="Q120" s="47" t="str">
        <f aca="false">IF(L120="","",IF(M120&lt;&gt;"",M120*L120*100,IF(AND(O120&lt;&gt;"",B120&lt;&gt;""),IFERROR(AVERAGEIF($B$5:$B$1004,B120,$M$5:$M$1004)*L120*100,""),"")))</f>
        <v/>
      </c>
      <c r="R120" s="47" t="str">
        <f aca="false">IF(AND(O120&lt;&gt;"",L120&lt;&gt;""),O120*L120*100,"")</f>
        <v/>
      </c>
      <c r="S120" s="48" t="str">
        <f aca="false">IF(AND(P120&lt;&gt;"",L120&lt;&gt;""),P120*L120*100,"")</f>
        <v/>
      </c>
      <c r="T120" s="49" t="str">
        <f aca="false">IF(AND(Q120&lt;&gt;"",R120&lt;&gt;""),R120-Q120,"")</f>
        <v/>
      </c>
      <c r="U120" s="50" t="str">
        <f aca="false">IF(AND(Q120&lt;&gt;"",Q120&lt;&gt;0,T120&lt;&gt;""),T120/Q120,"")</f>
        <v/>
      </c>
      <c r="V120" s="51" t="str">
        <f aca="false">IF(AND(S120&lt;&gt;"",Q120&lt;&gt;""),S120-Q120,"")</f>
        <v/>
      </c>
      <c r="W120" s="52" t="str">
        <f aca="false">IF(AND(Q120&lt;&gt;"",Q120&lt;&gt;0,V120&lt;&gt;""),V120/Q120,"")</f>
        <v/>
      </c>
      <c r="X120" s="53" t="s">
        <v>37</v>
      </c>
      <c r="Y120" s="54" t="str">
        <f aca="false">IF(AND(O120&lt;&gt;"",M120&lt;&gt;"",O120&gt;M120),CONCATENATE("1 : ",TEXT((O120-M120)/M120,"0.00")),IF(AND(O120&lt;&gt;"",M120&lt;&gt;"",O120&lt;M120),CONCATENATE("-1 : ",TEXT((M120-O120)/M120,"0.00")),"—"))</f>
        <v>—</v>
      </c>
      <c r="Z120" s="55" t="str">
        <f aca="false">IF(AND(P120&lt;&gt;"",M120&lt;&gt;"",P120&gt;M120),CONCATENATE("1 : ",TEXT((P120-M120)/M120,"0.00")),"—")</f>
        <v>—</v>
      </c>
      <c r="AA120" s="56" t="str">
        <f aca="false">IF(AND(C120&lt;&gt;"",E120&lt;&gt;""),E120-C120,"")</f>
        <v/>
      </c>
      <c r="AB120" s="42"/>
      <c r="AC120" s="57"/>
      <c r="AD120" s="58"/>
      <c r="AE120" s="59" t="str">
        <f aca="false">IF(G120&lt;&gt;"",HYPERLINK("https://www.tradingview.com/chart/?symbol="&amp;G120&amp;"&amp;interval=60&amp;from="&amp;(AG120-10*3600)&amp;"&amp;to="&amp;(AG120+50*3600),"📈 1H"),"")</f>
        <v/>
      </c>
      <c r="AF120" s="60" t="str">
        <f aca="false">IF(G120&lt;&gt;"",HYPERLINK("https://www.tradingview.com/chart/?symbol="&amp;G120&amp;"&amp;interval=240&amp;from="&amp;(AG120-10*14400)&amp;"&amp;to="&amp;(AG120+50*14400),"📈 4H"),"")</f>
        <v/>
      </c>
      <c r="AG120" s="36" t="str">
        <f aca="false">IF(C120&lt;&gt;"",INT((C120+IF(D120&lt;&gt;"",D120,0)-DATE(1970,1,1))*86400),"")</f>
        <v/>
      </c>
    </row>
    <row r="121" customFormat="false" ht="19.5" hidden="false" customHeight="true" outlineLevel="0" collapsed="false">
      <c r="A121" s="12" t="n">
        <f aca="false">ROW()-4</f>
        <v>117</v>
      </c>
      <c r="B121" s="13"/>
      <c r="C121" s="14"/>
      <c r="D121" s="15"/>
      <c r="E121" s="14"/>
      <c r="F121" s="15"/>
      <c r="G121" s="16"/>
      <c r="H121" s="17"/>
      <c r="I121" s="18"/>
      <c r="J121" s="19"/>
      <c r="K121" s="14"/>
      <c r="L121" s="17"/>
      <c r="M121" s="19"/>
      <c r="N121" s="20"/>
      <c r="O121" s="19"/>
      <c r="P121" s="21"/>
      <c r="Q121" s="22" t="str">
        <f aca="false">IF(L121="","",IF(M121&lt;&gt;"",M121*L121*100,IF(AND(O121&lt;&gt;"",B121&lt;&gt;""),IFERROR(AVERAGEIF($B$5:$B$1004,B121,$M$5:$M$1004)*L121*100,""),"")))</f>
        <v/>
      </c>
      <c r="R121" s="22" t="str">
        <f aca="false">IF(AND(O121&lt;&gt;"",L121&lt;&gt;""),O121*L121*100,"")</f>
        <v/>
      </c>
      <c r="S121" s="23" t="str">
        <f aca="false">IF(AND(P121&lt;&gt;"",L121&lt;&gt;""),P121*L121*100,"")</f>
        <v/>
      </c>
      <c r="T121" s="24" t="str">
        <f aca="false">IF(AND(Q121&lt;&gt;"",R121&lt;&gt;""),R121-Q121,"")</f>
        <v/>
      </c>
      <c r="U121" s="25" t="str">
        <f aca="false">IF(AND(Q121&lt;&gt;"",Q121&lt;&gt;0,T121&lt;&gt;""),T121/Q121,"")</f>
        <v/>
      </c>
      <c r="V121" s="26" t="str">
        <f aca="false">IF(AND(S121&lt;&gt;"",Q121&lt;&gt;""),S121-Q121,"")</f>
        <v/>
      </c>
      <c r="W121" s="27" t="str">
        <f aca="false">IF(AND(Q121&lt;&gt;"",Q121&lt;&gt;0,V121&lt;&gt;""),V121/Q121,"")</f>
        <v/>
      </c>
      <c r="X121" s="28" t="s">
        <v>37</v>
      </c>
      <c r="Y121" s="29" t="str">
        <f aca="false">IF(AND(O121&lt;&gt;"",M121&lt;&gt;"",O121&gt;M121),CONCATENATE("1 : ",TEXT((O121-M121)/M121,"0.00")),IF(AND(O121&lt;&gt;"",M121&lt;&gt;"",O121&lt;M121),CONCATENATE("-1 : ",TEXT((M121-O121)/M121,"0.00")),"—"))</f>
        <v>—</v>
      </c>
      <c r="Z121" s="30" t="str">
        <f aca="false">IF(AND(P121&lt;&gt;"",M121&lt;&gt;"",P121&gt;M121),CONCATENATE("1 : ",TEXT((P121-M121)/M121,"0.00")),"—")</f>
        <v>—</v>
      </c>
      <c r="AA121" s="31" t="str">
        <f aca="false">IF(AND(C121&lt;&gt;"",E121&lt;&gt;""),E121-C121,"")</f>
        <v/>
      </c>
      <c r="AB121" s="17"/>
      <c r="AC121" s="32"/>
      <c r="AD121" s="33"/>
      <c r="AE121" s="34" t="str">
        <f aca="false">IF(G121&lt;&gt;"",HYPERLINK("https://www.tradingview.com/chart/?symbol="&amp;G121&amp;"&amp;interval=60&amp;from="&amp;(AG121-10*3600)&amp;"&amp;to="&amp;(AG121+50*3600),"📈 1H"),"")</f>
        <v/>
      </c>
      <c r="AF121" s="35" t="str">
        <f aca="false">IF(G121&lt;&gt;"",HYPERLINK("https://www.tradingview.com/chart/?symbol="&amp;G121&amp;"&amp;interval=240&amp;from="&amp;(AG121-10*14400)&amp;"&amp;to="&amp;(AG121+50*14400),"📈 4H"),"")</f>
        <v/>
      </c>
      <c r="AG121" s="36" t="str">
        <f aca="false">IF(C121&lt;&gt;"",INT((C121+IF(D121&lt;&gt;"",D121,0)-DATE(1970,1,1))*86400),"")</f>
        <v/>
      </c>
    </row>
    <row r="122" customFormat="false" ht="19.5" hidden="false" customHeight="true" outlineLevel="0" collapsed="false">
      <c r="A122" s="37" t="n">
        <f aca="false">ROW()-4</f>
        <v>118</v>
      </c>
      <c r="B122" s="38"/>
      <c r="C122" s="39"/>
      <c r="D122" s="40"/>
      <c r="E122" s="39"/>
      <c r="F122" s="40"/>
      <c r="G122" s="41"/>
      <c r="H122" s="42"/>
      <c r="I122" s="43"/>
      <c r="J122" s="44"/>
      <c r="K122" s="39"/>
      <c r="L122" s="42"/>
      <c r="M122" s="44"/>
      <c r="N122" s="45"/>
      <c r="O122" s="44"/>
      <c r="P122" s="46"/>
      <c r="Q122" s="47" t="str">
        <f aca="false">IF(L122="","",IF(M122&lt;&gt;"",M122*L122*100,IF(AND(O122&lt;&gt;"",B122&lt;&gt;""),IFERROR(AVERAGEIF($B$5:$B$1004,B122,$M$5:$M$1004)*L122*100,""),"")))</f>
        <v/>
      </c>
      <c r="R122" s="47" t="str">
        <f aca="false">IF(AND(O122&lt;&gt;"",L122&lt;&gt;""),O122*L122*100,"")</f>
        <v/>
      </c>
      <c r="S122" s="48" t="str">
        <f aca="false">IF(AND(P122&lt;&gt;"",L122&lt;&gt;""),P122*L122*100,"")</f>
        <v/>
      </c>
      <c r="T122" s="49" t="str">
        <f aca="false">IF(AND(Q122&lt;&gt;"",R122&lt;&gt;""),R122-Q122,"")</f>
        <v/>
      </c>
      <c r="U122" s="50" t="str">
        <f aca="false">IF(AND(Q122&lt;&gt;"",Q122&lt;&gt;0,T122&lt;&gt;""),T122/Q122,"")</f>
        <v/>
      </c>
      <c r="V122" s="51" t="str">
        <f aca="false">IF(AND(S122&lt;&gt;"",Q122&lt;&gt;""),S122-Q122,"")</f>
        <v/>
      </c>
      <c r="W122" s="52" t="str">
        <f aca="false">IF(AND(Q122&lt;&gt;"",Q122&lt;&gt;0,V122&lt;&gt;""),V122/Q122,"")</f>
        <v/>
      </c>
      <c r="X122" s="53" t="s">
        <v>37</v>
      </c>
      <c r="Y122" s="54" t="str">
        <f aca="false">IF(AND(O122&lt;&gt;"",M122&lt;&gt;"",O122&gt;M122),CONCATENATE("1 : ",TEXT((O122-M122)/M122,"0.00")),IF(AND(O122&lt;&gt;"",M122&lt;&gt;"",O122&lt;M122),CONCATENATE("-1 : ",TEXT((M122-O122)/M122,"0.00")),"—"))</f>
        <v>—</v>
      </c>
      <c r="Z122" s="55" t="str">
        <f aca="false">IF(AND(P122&lt;&gt;"",M122&lt;&gt;"",P122&gt;M122),CONCATENATE("1 : ",TEXT((P122-M122)/M122,"0.00")),"—")</f>
        <v>—</v>
      </c>
      <c r="AA122" s="56" t="str">
        <f aca="false">IF(AND(C122&lt;&gt;"",E122&lt;&gt;""),E122-C122,"")</f>
        <v/>
      </c>
      <c r="AB122" s="42"/>
      <c r="AC122" s="57"/>
      <c r="AD122" s="58"/>
      <c r="AE122" s="59" t="str">
        <f aca="false">IF(G122&lt;&gt;"",HYPERLINK("https://www.tradingview.com/chart/?symbol="&amp;G122&amp;"&amp;interval=60&amp;from="&amp;(AG122-10*3600)&amp;"&amp;to="&amp;(AG122+50*3600),"📈 1H"),"")</f>
        <v/>
      </c>
      <c r="AF122" s="60" t="str">
        <f aca="false">IF(G122&lt;&gt;"",HYPERLINK("https://www.tradingview.com/chart/?symbol="&amp;G122&amp;"&amp;interval=240&amp;from="&amp;(AG122-10*14400)&amp;"&amp;to="&amp;(AG122+50*14400),"📈 4H"),"")</f>
        <v/>
      </c>
      <c r="AG122" s="36" t="str">
        <f aca="false">IF(C122&lt;&gt;"",INT((C122+IF(D122&lt;&gt;"",D122,0)-DATE(1970,1,1))*86400),"")</f>
        <v/>
      </c>
    </row>
    <row r="123" customFormat="false" ht="19.5" hidden="false" customHeight="true" outlineLevel="0" collapsed="false">
      <c r="A123" s="12" t="n">
        <f aca="false">ROW()-4</f>
        <v>119</v>
      </c>
      <c r="B123" s="13"/>
      <c r="C123" s="14"/>
      <c r="D123" s="15"/>
      <c r="E123" s="14"/>
      <c r="F123" s="15"/>
      <c r="G123" s="16"/>
      <c r="H123" s="17"/>
      <c r="I123" s="18"/>
      <c r="J123" s="19"/>
      <c r="K123" s="14"/>
      <c r="L123" s="17"/>
      <c r="M123" s="19"/>
      <c r="N123" s="20"/>
      <c r="O123" s="19"/>
      <c r="P123" s="21"/>
      <c r="Q123" s="22" t="str">
        <f aca="false">IF(L123="","",IF(M123&lt;&gt;"",M123*L123*100,IF(AND(O123&lt;&gt;"",B123&lt;&gt;""),IFERROR(AVERAGEIF($B$5:$B$1004,B123,$M$5:$M$1004)*L123*100,""),"")))</f>
        <v/>
      </c>
      <c r="R123" s="22" t="str">
        <f aca="false">IF(AND(O123&lt;&gt;"",L123&lt;&gt;""),O123*L123*100,"")</f>
        <v/>
      </c>
      <c r="S123" s="23" t="str">
        <f aca="false">IF(AND(P123&lt;&gt;"",L123&lt;&gt;""),P123*L123*100,"")</f>
        <v/>
      </c>
      <c r="T123" s="24" t="str">
        <f aca="false">IF(AND(Q123&lt;&gt;"",R123&lt;&gt;""),R123-Q123,"")</f>
        <v/>
      </c>
      <c r="U123" s="25" t="str">
        <f aca="false">IF(AND(Q123&lt;&gt;"",Q123&lt;&gt;0,T123&lt;&gt;""),T123/Q123,"")</f>
        <v/>
      </c>
      <c r="V123" s="26" t="str">
        <f aca="false">IF(AND(S123&lt;&gt;"",Q123&lt;&gt;""),S123-Q123,"")</f>
        <v/>
      </c>
      <c r="W123" s="27" t="str">
        <f aca="false">IF(AND(Q123&lt;&gt;"",Q123&lt;&gt;0,V123&lt;&gt;""),V123/Q123,"")</f>
        <v/>
      </c>
      <c r="X123" s="28" t="s">
        <v>37</v>
      </c>
      <c r="Y123" s="29" t="str">
        <f aca="false">IF(AND(O123&lt;&gt;"",M123&lt;&gt;"",O123&gt;M123),CONCATENATE("1 : ",TEXT((O123-M123)/M123,"0.00")),IF(AND(O123&lt;&gt;"",M123&lt;&gt;"",O123&lt;M123),CONCATENATE("-1 : ",TEXT((M123-O123)/M123,"0.00")),"—"))</f>
        <v>—</v>
      </c>
      <c r="Z123" s="30" t="str">
        <f aca="false">IF(AND(P123&lt;&gt;"",M123&lt;&gt;"",P123&gt;M123),CONCATENATE("1 : ",TEXT((P123-M123)/M123,"0.00")),"—")</f>
        <v>—</v>
      </c>
      <c r="AA123" s="31" t="str">
        <f aca="false">IF(AND(C123&lt;&gt;"",E123&lt;&gt;""),E123-C123,"")</f>
        <v/>
      </c>
      <c r="AB123" s="17"/>
      <c r="AC123" s="32"/>
      <c r="AD123" s="33"/>
      <c r="AE123" s="34" t="str">
        <f aca="false">IF(G123&lt;&gt;"",HYPERLINK("https://www.tradingview.com/chart/?symbol="&amp;G123&amp;"&amp;interval=60&amp;from="&amp;(AG123-10*3600)&amp;"&amp;to="&amp;(AG123+50*3600),"📈 1H"),"")</f>
        <v/>
      </c>
      <c r="AF123" s="35" t="str">
        <f aca="false">IF(G123&lt;&gt;"",HYPERLINK("https://www.tradingview.com/chart/?symbol="&amp;G123&amp;"&amp;interval=240&amp;from="&amp;(AG123-10*14400)&amp;"&amp;to="&amp;(AG123+50*14400),"📈 4H"),"")</f>
        <v/>
      </c>
      <c r="AG123" s="36" t="str">
        <f aca="false">IF(C123&lt;&gt;"",INT((C123+IF(D123&lt;&gt;"",D123,0)-DATE(1970,1,1))*86400),"")</f>
        <v/>
      </c>
    </row>
    <row r="124" customFormat="false" ht="19.5" hidden="false" customHeight="true" outlineLevel="0" collapsed="false">
      <c r="A124" s="37" t="n">
        <f aca="false">ROW()-4</f>
        <v>120</v>
      </c>
      <c r="B124" s="38"/>
      <c r="C124" s="39"/>
      <c r="D124" s="40"/>
      <c r="E124" s="39"/>
      <c r="F124" s="40"/>
      <c r="G124" s="41"/>
      <c r="H124" s="42"/>
      <c r="I124" s="43"/>
      <c r="J124" s="44"/>
      <c r="K124" s="39"/>
      <c r="L124" s="42"/>
      <c r="M124" s="44"/>
      <c r="N124" s="45"/>
      <c r="O124" s="44"/>
      <c r="P124" s="46"/>
      <c r="Q124" s="47" t="str">
        <f aca="false">IF(L124="","",IF(M124&lt;&gt;"",M124*L124*100,IF(AND(O124&lt;&gt;"",B124&lt;&gt;""),IFERROR(AVERAGEIF($B$5:$B$1004,B124,$M$5:$M$1004)*L124*100,""),"")))</f>
        <v/>
      </c>
      <c r="R124" s="47" t="str">
        <f aca="false">IF(AND(O124&lt;&gt;"",L124&lt;&gt;""),O124*L124*100,"")</f>
        <v/>
      </c>
      <c r="S124" s="48" t="str">
        <f aca="false">IF(AND(P124&lt;&gt;"",L124&lt;&gt;""),P124*L124*100,"")</f>
        <v/>
      </c>
      <c r="T124" s="49" t="str">
        <f aca="false">IF(AND(Q124&lt;&gt;"",R124&lt;&gt;""),R124-Q124,"")</f>
        <v/>
      </c>
      <c r="U124" s="50" t="str">
        <f aca="false">IF(AND(Q124&lt;&gt;"",Q124&lt;&gt;0,T124&lt;&gt;""),T124/Q124,"")</f>
        <v/>
      </c>
      <c r="V124" s="51" t="str">
        <f aca="false">IF(AND(S124&lt;&gt;"",Q124&lt;&gt;""),S124-Q124,"")</f>
        <v/>
      </c>
      <c r="W124" s="52" t="str">
        <f aca="false">IF(AND(Q124&lt;&gt;"",Q124&lt;&gt;0,V124&lt;&gt;""),V124/Q124,"")</f>
        <v/>
      </c>
      <c r="X124" s="53" t="s">
        <v>37</v>
      </c>
      <c r="Y124" s="54" t="str">
        <f aca="false">IF(AND(O124&lt;&gt;"",M124&lt;&gt;"",O124&gt;M124),CONCATENATE("1 : ",TEXT((O124-M124)/M124,"0.00")),IF(AND(O124&lt;&gt;"",M124&lt;&gt;"",O124&lt;M124),CONCATENATE("-1 : ",TEXT((M124-O124)/M124,"0.00")),"—"))</f>
        <v>—</v>
      </c>
      <c r="Z124" s="55" t="str">
        <f aca="false">IF(AND(P124&lt;&gt;"",M124&lt;&gt;"",P124&gt;M124),CONCATENATE("1 : ",TEXT((P124-M124)/M124,"0.00")),"—")</f>
        <v>—</v>
      </c>
      <c r="AA124" s="56" t="str">
        <f aca="false">IF(AND(C124&lt;&gt;"",E124&lt;&gt;""),E124-C124,"")</f>
        <v/>
      </c>
      <c r="AB124" s="42"/>
      <c r="AC124" s="57"/>
      <c r="AD124" s="58"/>
      <c r="AE124" s="59" t="str">
        <f aca="false">IF(G124&lt;&gt;"",HYPERLINK("https://www.tradingview.com/chart/?symbol="&amp;G124&amp;"&amp;interval=60&amp;from="&amp;(AG124-10*3600)&amp;"&amp;to="&amp;(AG124+50*3600),"📈 1H"),"")</f>
        <v/>
      </c>
      <c r="AF124" s="60" t="str">
        <f aca="false">IF(G124&lt;&gt;"",HYPERLINK("https://www.tradingview.com/chart/?symbol="&amp;G124&amp;"&amp;interval=240&amp;from="&amp;(AG124-10*14400)&amp;"&amp;to="&amp;(AG124+50*14400),"📈 4H"),"")</f>
        <v/>
      </c>
      <c r="AG124" s="36" t="str">
        <f aca="false">IF(C124&lt;&gt;"",INT((C124+IF(D124&lt;&gt;"",D124,0)-DATE(1970,1,1))*86400),"")</f>
        <v/>
      </c>
    </row>
    <row r="125" customFormat="false" ht="19.5" hidden="false" customHeight="true" outlineLevel="0" collapsed="false">
      <c r="A125" s="12" t="n">
        <f aca="false">ROW()-4</f>
        <v>121</v>
      </c>
      <c r="B125" s="13"/>
      <c r="C125" s="14"/>
      <c r="D125" s="15"/>
      <c r="E125" s="14"/>
      <c r="F125" s="15"/>
      <c r="G125" s="16"/>
      <c r="H125" s="17"/>
      <c r="I125" s="18"/>
      <c r="J125" s="19"/>
      <c r="K125" s="14"/>
      <c r="L125" s="17"/>
      <c r="M125" s="19"/>
      <c r="N125" s="20"/>
      <c r="O125" s="19"/>
      <c r="P125" s="21"/>
      <c r="Q125" s="22" t="str">
        <f aca="false">IF(L125="","",IF(M125&lt;&gt;"",M125*L125*100,IF(AND(O125&lt;&gt;"",B125&lt;&gt;""),IFERROR(AVERAGEIF($B$5:$B$1004,B125,$M$5:$M$1004)*L125*100,""),"")))</f>
        <v/>
      </c>
      <c r="R125" s="22" t="str">
        <f aca="false">IF(AND(O125&lt;&gt;"",L125&lt;&gt;""),O125*L125*100,"")</f>
        <v/>
      </c>
      <c r="S125" s="23" t="str">
        <f aca="false">IF(AND(P125&lt;&gt;"",L125&lt;&gt;""),P125*L125*100,"")</f>
        <v/>
      </c>
      <c r="T125" s="24" t="str">
        <f aca="false">IF(AND(Q125&lt;&gt;"",R125&lt;&gt;""),R125-Q125,"")</f>
        <v/>
      </c>
      <c r="U125" s="25" t="str">
        <f aca="false">IF(AND(Q125&lt;&gt;"",Q125&lt;&gt;0,T125&lt;&gt;""),T125/Q125,"")</f>
        <v/>
      </c>
      <c r="V125" s="26" t="str">
        <f aca="false">IF(AND(S125&lt;&gt;"",Q125&lt;&gt;""),S125-Q125,"")</f>
        <v/>
      </c>
      <c r="W125" s="27" t="str">
        <f aca="false">IF(AND(Q125&lt;&gt;"",Q125&lt;&gt;0,V125&lt;&gt;""),V125/Q125,"")</f>
        <v/>
      </c>
      <c r="X125" s="28" t="s">
        <v>37</v>
      </c>
      <c r="Y125" s="29" t="str">
        <f aca="false">IF(AND(O125&lt;&gt;"",M125&lt;&gt;"",O125&gt;M125),CONCATENATE("1 : ",TEXT((O125-M125)/M125,"0.00")),IF(AND(O125&lt;&gt;"",M125&lt;&gt;"",O125&lt;M125),CONCATENATE("-1 : ",TEXT((M125-O125)/M125,"0.00")),"—"))</f>
        <v>—</v>
      </c>
      <c r="Z125" s="30" t="str">
        <f aca="false">IF(AND(P125&lt;&gt;"",M125&lt;&gt;"",P125&gt;M125),CONCATENATE("1 : ",TEXT((P125-M125)/M125,"0.00")),"—")</f>
        <v>—</v>
      </c>
      <c r="AA125" s="31" t="str">
        <f aca="false">IF(AND(C125&lt;&gt;"",E125&lt;&gt;""),E125-C125,"")</f>
        <v/>
      </c>
      <c r="AB125" s="17"/>
      <c r="AC125" s="32"/>
      <c r="AD125" s="33"/>
      <c r="AE125" s="34" t="str">
        <f aca="false">IF(G125&lt;&gt;"",HYPERLINK("https://www.tradingview.com/chart/?symbol="&amp;G125&amp;"&amp;interval=60&amp;from="&amp;(AG125-10*3600)&amp;"&amp;to="&amp;(AG125+50*3600),"📈 1H"),"")</f>
        <v/>
      </c>
      <c r="AF125" s="35" t="str">
        <f aca="false">IF(G125&lt;&gt;"",HYPERLINK("https://www.tradingview.com/chart/?symbol="&amp;G125&amp;"&amp;interval=240&amp;from="&amp;(AG125-10*14400)&amp;"&amp;to="&amp;(AG125+50*14400),"📈 4H"),"")</f>
        <v/>
      </c>
      <c r="AG125" s="36" t="str">
        <f aca="false">IF(C125&lt;&gt;"",INT((C125+IF(D125&lt;&gt;"",D125,0)-DATE(1970,1,1))*86400),"")</f>
        <v/>
      </c>
    </row>
    <row r="126" customFormat="false" ht="19.5" hidden="false" customHeight="true" outlineLevel="0" collapsed="false">
      <c r="A126" s="37" t="n">
        <f aca="false">ROW()-4</f>
        <v>122</v>
      </c>
      <c r="B126" s="38"/>
      <c r="C126" s="39"/>
      <c r="D126" s="40"/>
      <c r="E126" s="39"/>
      <c r="F126" s="40"/>
      <c r="G126" s="41"/>
      <c r="H126" s="42"/>
      <c r="I126" s="43"/>
      <c r="J126" s="44"/>
      <c r="K126" s="39"/>
      <c r="L126" s="42"/>
      <c r="M126" s="44"/>
      <c r="N126" s="45"/>
      <c r="O126" s="44"/>
      <c r="P126" s="46"/>
      <c r="Q126" s="47" t="str">
        <f aca="false">IF(L126="","",IF(M126&lt;&gt;"",M126*L126*100,IF(AND(O126&lt;&gt;"",B126&lt;&gt;""),IFERROR(AVERAGEIF($B$5:$B$1004,B126,$M$5:$M$1004)*L126*100,""),"")))</f>
        <v/>
      </c>
      <c r="R126" s="47" t="str">
        <f aca="false">IF(AND(O126&lt;&gt;"",L126&lt;&gt;""),O126*L126*100,"")</f>
        <v/>
      </c>
      <c r="S126" s="48" t="str">
        <f aca="false">IF(AND(P126&lt;&gt;"",L126&lt;&gt;""),P126*L126*100,"")</f>
        <v/>
      </c>
      <c r="T126" s="49" t="str">
        <f aca="false">IF(AND(Q126&lt;&gt;"",R126&lt;&gt;""),R126-Q126,"")</f>
        <v/>
      </c>
      <c r="U126" s="50" t="str">
        <f aca="false">IF(AND(Q126&lt;&gt;"",Q126&lt;&gt;0,T126&lt;&gt;""),T126/Q126,"")</f>
        <v/>
      </c>
      <c r="V126" s="51" t="str">
        <f aca="false">IF(AND(S126&lt;&gt;"",Q126&lt;&gt;""),S126-Q126,"")</f>
        <v/>
      </c>
      <c r="W126" s="52" t="str">
        <f aca="false">IF(AND(Q126&lt;&gt;"",Q126&lt;&gt;0,V126&lt;&gt;""),V126/Q126,"")</f>
        <v/>
      </c>
      <c r="X126" s="53" t="s">
        <v>37</v>
      </c>
      <c r="Y126" s="54" t="str">
        <f aca="false">IF(AND(O126&lt;&gt;"",M126&lt;&gt;"",O126&gt;M126),CONCATENATE("1 : ",TEXT((O126-M126)/M126,"0.00")),IF(AND(O126&lt;&gt;"",M126&lt;&gt;"",O126&lt;M126),CONCATENATE("-1 : ",TEXT((M126-O126)/M126,"0.00")),"—"))</f>
        <v>—</v>
      </c>
      <c r="Z126" s="55" t="str">
        <f aca="false">IF(AND(P126&lt;&gt;"",M126&lt;&gt;"",P126&gt;M126),CONCATENATE("1 : ",TEXT((P126-M126)/M126,"0.00")),"—")</f>
        <v>—</v>
      </c>
      <c r="AA126" s="56" t="str">
        <f aca="false">IF(AND(C126&lt;&gt;"",E126&lt;&gt;""),E126-C126,"")</f>
        <v/>
      </c>
      <c r="AB126" s="42"/>
      <c r="AC126" s="57"/>
      <c r="AD126" s="58"/>
      <c r="AE126" s="59" t="str">
        <f aca="false">IF(G126&lt;&gt;"",HYPERLINK("https://www.tradingview.com/chart/?symbol="&amp;G126&amp;"&amp;interval=60&amp;from="&amp;(AG126-10*3600)&amp;"&amp;to="&amp;(AG126+50*3600),"📈 1H"),"")</f>
        <v/>
      </c>
      <c r="AF126" s="60" t="str">
        <f aca="false">IF(G126&lt;&gt;"",HYPERLINK("https://www.tradingview.com/chart/?symbol="&amp;G126&amp;"&amp;interval=240&amp;from="&amp;(AG126-10*14400)&amp;"&amp;to="&amp;(AG126+50*14400),"📈 4H"),"")</f>
        <v/>
      </c>
      <c r="AG126" s="36" t="str">
        <f aca="false">IF(C126&lt;&gt;"",INT((C126+IF(D126&lt;&gt;"",D126,0)-DATE(1970,1,1))*86400),"")</f>
        <v/>
      </c>
    </row>
    <row r="127" customFormat="false" ht="19.5" hidden="false" customHeight="true" outlineLevel="0" collapsed="false">
      <c r="A127" s="12" t="n">
        <f aca="false">ROW()-4</f>
        <v>123</v>
      </c>
      <c r="B127" s="13"/>
      <c r="C127" s="14"/>
      <c r="D127" s="15"/>
      <c r="E127" s="14"/>
      <c r="F127" s="15"/>
      <c r="G127" s="16"/>
      <c r="H127" s="17"/>
      <c r="I127" s="18"/>
      <c r="J127" s="19"/>
      <c r="K127" s="14"/>
      <c r="L127" s="17"/>
      <c r="M127" s="19"/>
      <c r="N127" s="20"/>
      <c r="O127" s="19"/>
      <c r="P127" s="21"/>
      <c r="Q127" s="22" t="str">
        <f aca="false">IF(L127="","",IF(M127&lt;&gt;"",M127*L127*100,IF(AND(O127&lt;&gt;"",B127&lt;&gt;""),IFERROR(AVERAGEIF($B$5:$B$1004,B127,$M$5:$M$1004)*L127*100,""),"")))</f>
        <v/>
      </c>
      <c r="R127" s="22" t="str">
        <f aca="false">IF(AND(O127&lt;&gt;"",L127&lt;&gt;""),O127*L127*100,"")</f>
        <v/>
      </c>
      <c r="S127" s="23" t="str">
        <f aca="false">IF(AND(P127&lt;&gt;"",L127&lt;&gt;""),P127*L127*100,"")</f>
        <v/>
      </c>
      <c r="T127" s="24" t="str">
        <f aca="false">IF(AND(Q127&lt;&gt;"",R127&lt;&gt;""),R127-Q127,"")</f>
        <v/>
      </c>
      <c r="U127" s="25" t="str">
        <f aca="false">IF(AND(Q127&lt;&gt;"",Q127&lt;&gt;0,T127&lt;&gt;""),T127/Q127,"")</f>
        <v/>
      </c>
      <c r="V127" s="26" t="str">
        <f aca="false">IF(AND(S127&lt;&gt;"",Q127&lt;&gt;""),S127-Q127,"")</f>
        <v/>
      </c>
      <c r="W127" s="27" t="str">
        <f aca="false">IF(AND(Q127&lt;&gt;"",Q127&lt;&gt;0,V127&lt;&gt;""),V127/Q127,"")</f>
        <v/>
      </c>
      <c r="X127" s="28" t="s">
        <v>37</v>
      </c>
      <c r="Y127" s="29" t="str">
        <f aca="false">IF(AND(O127&lt;&gt;"",M127&lt;&gt;"",O127&gt;M127),CONCATENATE("1 : ",TEXT((O127-M127)/M127,"0.00")),IF(AND(O127&lt;&gt;"",M127&lt;&gt;"",O127&lt;M127),CONCATENATE("-1 : ",TEXT((M127-O127)/M127,"0.00")),"—"))</f>
        <v>—</v>
      </c>
      <c r="Z127" s="30" t="str">
        <f aca="false">IF(AND(P127&lt;&gt;"",M127&lt;&gt;"",P127&gt;M127),CONCATENATE("1 : ",TEXT((P127-M127)/M127,"0.00")),"—")</f>
        <v>—</v>
      </c>
      <c r="AA127" s="31" t="str">
        <f aca="false">IF(AND(C127&lt;&gt;"",E127&lt;&gt;""),E127-C127,"")</f>
        <v/>
      </c>
      <c r="AB127" s="17"/>
      <c r="AC127" s="32"/>
      <c r="AD127" s="33"/>
      <c r="AE127" s="34" t="str">
        <f aca="false">IF(G127&lt;&gt;"",HYPERLINK("https://www.tradingview.com/chart/?symbol="&amp;G127&amp;"&amp;interval=60&amp;from="&amp;(AG127-10*3600)&amp;"&amp;to="&amp;(AG127+50*3600),"📈 1H"),"")</f>
        <v/>
      </c>
      <c r="AF127" s="35" t="str">
        <f aca="false">IF(G127&lt;&gt;"",HYPERLINK("https://www.tradingview.com/chart/?symbol="&amp;G127&amp;"&amp;interval=240&amp;from="&amp;(AG127-10*14400)&amp;"&amp;to="&amp;(AG127+50*14400),"📈 4H"),"")</f>
        <v/>
      </c>
      <c r="AG127" s="36" t="str">
        <f aca="false">IF(C127&lt;&gt;"",INT((C127+IF(D127&lt;&gt;"",D127,0)-DATE(1970,1,1))*86400),"")</f>
        <v/>
      </c>
    </row>
    <row r="128" customFormat="false" ht="19.5" hidden="false" customHeight="true" outlineLevel="0" collapsed="false">
      <c r="A128" s="37" t="n">
        <f aca="false">ROW()-4</f>
        <v>124</v>
      </c>
      <c r="B128" s="38"/>
      <c r="C128" s="39"/>
      <c r="D128" s="40"/>
      <c r="E128" s="39"/>
      <c r="F128" s="40"/>
      <c r="G128" s="41"/>
      <c r="H128" s="42"/>
      <c r="I128" s="43"/>
      <c r="J128" s="44"/>
      <c r="K128" s="39"/>
      <c r="L128" s="42"/>
      <c r="M128" s="44"/>
      <c r="N128" s="45"/>
      <c r="O128" s="44"/>
      <c r="P128" s="46"/>
      <c r="Q128" s="47" t="str">
        <f aca="false">IF(L128="","",IF(M128&lt;&gt;"",M128*L128*100,IF(AND(O128&lt;&gt;"",B128&lt;&gt;""),IFERROR(AVERAGEIF($B$5:$B$1004,B128,$M$5:$M$1004)*L128*100,""),"")))</f>
        <v/>
      </c>
      <c r="R128" s="47" t="str">
        <f aca="false">IF(AND(O128&lt;&gt;"",L128&lt;&gt;""),O128*L128*100,"")</f>
        <v/>
      </c>
      <c r="S128" s="48" t="str">
        <f aca="false">IF(AND(P128&lt;&gt;"",L128&lt;&gt;""),P128*L128*100,"")</f>
        <v/>
      </c>
      <c r="T128" s="49" t="str">
        <f aca="false">IF(AND(Q128&lt;&gt;"",R128&lt;&gt;""),R128-Q128,"")</f>
        <v/>
      </c>
      <c r="U128" s="50" t="str">
        <f aca="false">IF(AND(Q128&lt;&gt;"",Q128&lt;&gt;0,T128&lt;&gt;""),T128/Q128,"")</f>
        <v/>
      </c>
      <c r="V128" s="51" t="str">
        <f aca="false">IF(AND(S128&lt;&gt;"",Q128&lt;&gt;""),S128-Q128,"")</f>
        <v/>
      </c>
      <c r="W128" s="52" t="str">
        <f aca="false">IF(AND(Q128&lt;&gt;"",Q128&lt;&gt;0,V128&lt;&gt;""),V128/Q128,"")</f>
        <v/>
      </c>
      <c r="X128" s="53" t="s">
        <v>37</v>
      </c>
      <c r="Y128" s="54" t="str">
        <f aca="false">IF(AND(O128&lt;&gt;"",M128&lt;&gt;"",O128&gt;M128),CONCATENATE("1 : ",TEXT((O128-M128)/M128,"0.00")),IF(AND(O128&lt;&gt;"",M128&lt;&gt;"",O128&lt;M128),CONCATENATE("-1 : ",TEXT((M128-O128)/M128,"0.00")),"—"))</f>
        <v>—</v>
      </c>
      <c r="Z128" s="55" t="str">
        <f aca="false">IF(AND(P128&lt;&gt;"",M128&lt;&gt;"",P128&gt;M128),CONCATENATE("1 : ",TEXT((P128-M128)/M128,"0.00")),"—")</f>
        <v>—</v>
      </c>
      <c r="AA128" s="56" t="str">
        <f aca="false">IF(AND(C128&lt;&gt;"",E128&lt;&gt;""),E128-C128,"")</f>
        <v/>
      </c>
      <c r="AB128" s="42"/>
      <c r="AC128" s="57"/>
      <c r="AD128" s="58"/>
      <c r="AE128" s="59" t="str">
        <f aca="false">IF(G128&lt;&gt;"",HYPERLINK("https://www.tradingview.com/chart/?symbol="&amp;G128&amp;"&amp;interval=60&amp;from="&amp;(AG128-10*3600)&amp;"&amp;to="&amp;(AG128+50*3600),"📈 1H"),"")</f>
        <v/>
      </c>
      <c r="AF128" s="60" t="str">
        <f aca="false">IF(G128&lt;&gt;"",HYPERLINK("https://www.tradingview.com/chart/?symbol="&amp;G128&amp;"&amp;interval=240&amp;from="&amp;(AG128-10*14400)&amp;"&amp;to="&amp;(AG128+50*14400),"📈 4H"),"")</f>
        <v/>
      </c>
      <c r="AG128" s="36" t="str">
        <f aca="false">IF(C128&lt;&gt;"",INT((C128+IF(D128&lt;&gt;"",D128,0)-DATE(1970,1,1))*86400),"")</f>
        <v/>
      </c>
    </row>
    <row r="129" customFormat="false" ht="19.5" hidden="false" customHeight="true" outlineLevel="0" collapsed="false">
      <c r="A129" s="12" t="n">
        <f aca="false">ROW()-4</f>
        <v>125</v>
      </c>
      <c r="B129" s="13"/>
      <c r="C129" s="14"/>
      <c r="D129" s="15"/>
      <c r="E129" s="14"/>
      <c r="F129" s="15"/>
      <c r="G129" s="16"/>
      <c r="H129" s="17"/>
      <c r="I129" s="18"/>
      <c r="J129" s="19"/>
      <c r="K129" s="14"/>
      <c r="L129" s="17"/>
      <c r="M129" s="19"/>
      <c r="N129" s="20"/>
      <c r="O129" s="19"/>
      <c r="P129" s="21"/>
      <c r="Q129" s="22" t="str">
        <f aca="false">IF(L129="","",IF(M129&lt;&gt;"",M129*L129*100,IF(AND(O129&lt;&gt;"",B129&lt;&gt;""),IFERROR(AVERAGEIF($B$5:$B$1004,B129,$M$5:$M$1004)*L129*100,""),"")))</f>
        <v/>
      </c>
      <c r="R129" s="22" t="str">
        <f aca="false">IF(AND(O129&lt;&gt;"",L129&lt;&gt;""),O129*L129*100,"")</f>
        <v/>
      </c>
      <c r="S129" s="23" t="str">
        <f aca="false">IF(AND(P129&lt;&gt;"",L129&lt;&gt;""),P129*L129*100,"")</f>
        <v/>
      </c>
      <c r="T129" s="24" t="str">
        <f aca="false">IF(AND(Q129&lt;&gt;"",R129&lt;&gt;""),R129-Q129,"")</f>
        <v/>
      </c>
      <c r="U129" s="25" t="str">
        <f aca="false">IF(AND(Q129&lt;&gt;"",Q129&lt;&gt;0,T129&lt;&gt;""),T129/Q129,"")</f>
        <v/>
      </c>
      <c r="V129" s="26" t="str">
        <f aca="false">IF(AND(S129&lt;&gt;"",Q129&lt;&gt;""),S129-Q129,"")</f>
        <v/>
      </c>
      <c r="W129" s="27" t="str">
        <f aca="false">IF(AND(Q129&lt;&gt;"",Q129&lt;&gt;0,V129&lt;&gt;""),V129/Q129,"")</f>
        <v/>
      </c>
      <c r="X129" s="28" t="s">
        <v>37</v>
      </c>
      <c r="Y129" s="29" t="str">
        <f aca="false">IF(AND(O129&lt;&gt;"",M129&lt;&gt;"",O129&gt;M129),CONCATENATE("1 : ",TEXT((O129-M129)/M129,"0.00")),IF(AND(O129&lt;&gt;"",M129&lt;&gt;"",O129&lt;M129),CONCATENATE("-1 : ",TEXT((M129-O129)/M129,"0.00")),"—"))</f>
        <v>—</v>
      </c>
      <c r="Z129" s="30" t="str">
        <f aca="false">IF(AND(P129&lt;&gt;"",M129&lt;&gt;"",P129&gt;M129),CONCATENATE("1 : ",TEXT((P129-M129)/M129,"0.00")),"—")</f>
        <v>—</v>
      </c>
      <c r="AA129" s="31" t="str">
        <f aca="false">IF(AND(C129&lt;&gt;"",E129&lt;&gt;""),E129-C129,"")</f>
        <v/>
      </c>
      <c r="AB129" s="17"/>
      <c r="AC129" s="32"/>
      <c r="AD129" s="33"/>
      <c r="AE129" s="34" t="str">
        <f aca="false">IF(G129&lt;&gt;"",HYPERLINK("https://www.tradingview.com/chart/?symbol="&amp;G129&amp;"&amp;interval=60&amp;from="&amp;(AG129-10*3600)&amp;"&amp;to="&amp;(AG129+50*3600),"📈 1H"),"")</f>
        <v/>
      </c>
      <c r="AF129" s="35" t="str">
        <f aca="false">IF(G129&lt;&gt;"",HYPERLINK("https://www.tradingview.com/chart/?symbol="&amp;G129&amp;"&amp;interval=240&amp;from="&amp;(AG129-10*14400)&amp;"&amp;to="&amp;(AG129+50*14400),"📈 4H"),"")</f>
        <v/>
      </c>
      <c r="AG129" s="36" t="str">
        <f aca="false">IF(C129&lt;&gt;"",INT((C129+IF(D129&lt;&gt;"",D129,0)-DATE(1970,1,1))*86400),"")</f>
        <v/>
      </c>
    </row>
    <row r="130" customFormat="false" ht="19.5" hidden="false" customHeight="true" outlineLevel="0" collapsed="false">
      <c r="A130" s="37" t="n">
        <f aca="false">ROW()-4</f>
        <v>126</v>
      </c>
      <c r="B130" s="38"/>
      <c r="C130" s="39"/>
      <c r="D130" s="40"/>
      <c r="E130" s="39"/>
      <c r="F130" s="40"/>
      <c r="G130" s="41"/>
      <c r="H130" s="42"/>
      <c r="I130" s="43"/>
      <c r="J130" s="44"/>
      <c r="K130" s="39"/>
      <c r="L130" s="42"/>
      <c r="M130" s="44"/>
      <c r="N130" s="45"/>
      <c r="O130" s="44"/>
      <c r="P130" s="46"/>
      <c r="Q130" s="47" t="str">
        <f aca="false">IF(L130="","",IF(M130&lt;&gt;"",M130*L130*100,IF(AND(O130&lt;&gt;"",B130&lt;&gt;""),IFERROR(AVERAGEIF($B$5:$B$1004,B130,$M$5:$M$1004)*L130*100,""),"")))</f>
        <v/>
      </c>
      <c r="R130" s="47" t="str">
        <f aca="false">IF(AND(O130&lt;&gt;"",L130&lt;&gt;""),O130*L130*100,"")</f>
        <v/>
      </c>
      <c r="S130" s="48" t="str">
        <f aca="false">IF(AND(P130&lt;&gt;"",L130&lt;&gt;""),P130*L130*100,"")</f>
        <v/>
      </c>
      <c r="T130" s="49" t="str">
        <f aca="false">IF(AND(Q130&lt;&gt;"",R130&lt;&gt;""),R130-Q130,"")</f>
        <v/>
      </c>
      <c r="U130" s="50" t="str">
        <f aca="false">IF(AND(Q130&lt;&gt;"",Q130&lt;&gt;0,T130&lt;&gt;""),T130/Q130,"")</f>
        <v/>
      </c>
      <c r="V130" s="51" t="str">
        <f aca="false">IF(AND(S130&lt;&gt;"",Q130&lt;&gt;""),S130-Q130,"")</f>
        <v/>
      </c>
      <c r="W130" s="52" t="str">
        <f aca="false">IF(AND(Q130&lt;&gt;"",Q130&lt;&gt;0,V130&lt;&gt;""),V130/Q130,"")</f>
        <v/>
      </c>
      <c r="X130" s="53" t="s">
        <v>37</v>
      </c>
      <c r="Y130" s="54" t="str">
        <f aca="false">IF(AND(O130&lt;&gt;"",M130&lt;&gt;"",O130&gt;M130),CONCATENATE("1 : ",TEXT((O130-M130)/M130,"0.00")),IF(AND(O130&lt;&gt;"",M130&lt;&gt;"",O130&lt;M130),CONCATENATE("-1 : ",TEXT((M130-O130)/M130,"0.00")),"—"))</f>
        <v>—</v>
      </c>
      <c r="Z130" s="55" t="str">
        <f aca="false">IF(AND(P130&lt;&gt;"",M130&lt;&gt;"",P130&gt;M130),CONCATENATE("1 : ",TEXT((P130-M130)/M130,"0.00")),"—")</f>
        <v>—</v>
      </c>
      <c r="AA130" s="56" t="str">
        <f aca="false">IF(AND(C130&lt;&gt;"",E130&lt;&gt;""),E130-C130,"")</f>
        <v/>
      </c>
      <c r="AB130" s="42"/>
      <c r="AC130" s="57"/>
      <c r="AD130" s="58"/>
      <c r="AE130" s="59" t="str">
        <f aca="false">IF(G130&lt;&gt;"",HYPERLINK("https://www.tradingview.com/chart/?symbol="&amp;G130&amp;"&amp;interval=60&amp;from="&amp;(AG130-10*3600)&amp;"&amp;to="&amp;(AG130+50*3600),"📈 1H"),"")</f>
        <v/>
      </c>
      <c r="AF130" s="60" t="str">
        <f aca="false">IF(G130&lt;&gt;"",HYPERLINK("https://www.tradingview.com/chart/?symbol="&amp;G130&amp;"&amp;interval=240&amp;from="&amp;(AG130-10*14400)&amp;"&amp;to="&amp;(AG130+50*14400),"📈 4H"),"")</f>
        <v/>
      </c>
      <c r="AG130" s="36" t="str">
        <f aca="false">IF(C130&lt;&gt;"",INT((C130+IF(D130&lt;&gt;"",D130,0)-DATE(1970,1,1))*86400),"")</f>
        <v/>
      </c>
    </row>
    <row r="131" customFormat="false" ht="19.5" hidden="false" customHeight="true" outlineLevel="0" collapsed="false">
      <c r="A131" s="12" t="n">
        <f aca="false">ROW()-4</f>
        <v>127</v>
      </c>
      <c r="B131" s="13"/>
      <c r="C131" s="14"/>
      <c r="D131" s="15"/>
      <c r="E131" s="14"/>
      <c r="F131" s="15"/>
      <c r="G131" s="16"/>
      <c r="H131" s="17"/>
      <c r="I131" s="18"/>
      <c r="J131" s="19"/>
      <c r="K131" s="14"/>
      <c r="L131" s="17"/>
      <c r="M131" s="19"/>
      <c r="N131" s="20"/>
      <c r="O131" s="19"/>
      <c r="P131" s="21"/>
      <c r="Q131" s="22" t="str">
        <f aca="false">IF(L131="","",IF(M131&lt;&gt;"",M131*L131*100,IF(AND(O131&lt;&gt;"",B131&lt;&gt;""),IFERROR(AVERAGEIF($B$5:$B$1004,B131,$M$5:$M$1004)*L131*100,""),"")))</f>
        <v/>
      </c>
      <c r="R131" s="22" t="str">
        <f aca="false">IF(AND(O131&lt;&gt;"",L131&lt;&gt;""),O131*L131*100,"")</f>
        <v/>
      </c>
      <c r="S131" s="23" t="str">
        <f aca="false">IF(AND(P131&lt;&gt;"",L131&lt;&gt;""),P131*L131*100,"")</f>
        <v/>
      </c>
      <c r="T131" s="24" t="str">
        <f aca="false">IF(AND(Q131&lt;&gt;"",R131&lt;&gt;""),R131-Q131,"")</f>
        <v/>
      </c>
      <c r="U131" s="25" t="str">
        <f aca="false">IF(AND(Q131&lt;&gt;"",Q131&lt;&gt;0,T131&lt;&gt;""),T131/Q131,"")</f>
        <v/>
      </c>
      <c r="V131" s="26" t="str">
        <f aca="false">IF(AND(S131&lt;&gt;"",Q131&lt;&gt;""),S131-Q131,"")</f>
        <v/>
      </c>
      <c r="W131" s="27" t="str">
        <f aca="false">IF(AND(Q131&lt;&gt;"",Q131&lt;&gt;0,V131&lt;&gt;""),V131/Q131,"")</f>
        <v/>
      </c>
      <c r="X131" s="28" t="s">
        <v>37</v>
      </c>
      <c r="Y131" s="29" t="str">
        <f aca="false">IF(AND(O131&lt;&gt;"",M131&lt;&gt;"",O131&gt;M131),CONCATENATE("1 : ",TEXT((O131-M131)/M131,"0.00")),IF(AND(O131&lt;&gt;"",M131&lt;&gt;"",O131&lt;M131),CONCATENATE("-1 : ",TEXT((M131-O131)/M131,"0.00")),"—"))</f>
        <v>—</v>
      </c>
      <c r="Z131" s="30" t="str">
        <f aca="false">IF(AND(P131&lt;&gt;"",M131&lt;&gt;"",P131&gt;M131),CONCATENATE("1 : ",TEXT((P131-M131)/M131,"0.00")),"—")</f>
        <v>—</v>
      </c>
      <c r="AA131" s="31" t="str">
        <f aca="false">IF(AND(C131&lt;&gt;"",E131&lt;&gt;""),E131-C131,"")</f>
        <v/>
      </c>
      <c r="AB131" s="17"/>
      <c r="AC131" s="32"/>
      <c r="AD131" s="33"/>
      <c r="AE131" s="34" t="str">
        <f aca="false">IF(G131&lt;&gt;"",HYPERLINK("https://www.tradingview.com/chart/?symbol="&amp;G131&amp;"&amp;interval=60&amp;from="&amp;(AG131-10*3600)&amp;"&amp;to="&amp;(AG131+50*3600),"📈 1H"),"")</f>
        <v/>
      </c>
      <c r="AF131" s="35" t="str">
        <f aca="false">IF(G131&lt;&gt;"",HYPERLINK("https://www.tradingview.com/chart/?symbol="&amp;G131&amp;"&amp;interval=240&amp;from="&amp;(AG131-10*14400)&amp;"&amp;to="&amp;(AG131+50*14400),"📈 4H"),"")</f>
        <v/>
      </c>
      <c r="AG131" s="36" t="str">
        <f aca="false">IF(C131&lt;&gt;"",INT((C131+IF(D131&lt;&gt;"",D131,0)-DATE(1970,1,1))*86400),"")</f>
        <v/>
      </c>
    </row>
    <row r="132" customFormat="false" ht="19.5" hidden="false" customHeight="true" outlineLevel="0" collapsed="false">
      <c r="A132" s="37" t="n">
        <f aca="false">ROW()-4</f>
        <v>128</v>
      </c>
      <c r="B132" s="38"/>
      <c r="C132" s="39"/>
      <c r="D132" s="40"/>
      <c r="E132" s="39"/>
      <c r="F132" s="40"/>
      <c r="G132" s="41"/>
      <c r="H132" s="42"/>
      <c r="I132" s="43"/>
      <c r="J132" s="44"/>
      <c r="K132" s="39"/>
      <c r="L132" s="42"/>
      <c r="M132" s="44"/>
      <c r="N132" s="45"/>
      <c r="O132" s="44"/>
      <c r="P132" s="46"/>
      <c r="Q132" s="47" t="str">
        <f aca="false">IF(L132="","",IF(M132&lt;&gt;"",M132*L132*100,IF(AND(O132&lt;&gt;"",B132&lt;&gt;""),IFERROR(AVERAGEIF($B$5:$B$1004,B132,$M$5:$M$1004)*L132*100,""),"")))</f>
        <v/>
      </c>
      <c r="R132" s="47" t="str">
        <f aca="false">IF(AND(O132&lt;&gt;"",L132&lt;&gt;""),O132*L132*100,"")</f>
        <v/>
      </c>
      <c r="S132" s="48" t="str">
        <f aca="false">IF(AND(P132&lt;&gt;"",L132&lt;&gt;""),P132*L132*100,"")</f>
        <v/>
      </c>
      <c r="T132" s="49" t="str">
        <f aca="false">IF(AND(Q132&lt;&gt;"",R132&lt;&gt;""),R132-Q132,"")</f>
        <v/>
      </c>
      <c r="U132" s="50" t="str">
        <f aca="false">IF(AND(Q132&lt;&gt;"",Q132&lt;&gt;0,T132&lt;&gt;""),T132/Q132,"")</f>
        <v/>
      </c>
      <c r="V132" s="51" t="str">
        <f aca="false">IF(AND(S132&lt;&gt;"",Q132&lt;&gt;""),S132-Q132,"")</f>
        <v/>
      </c>
      <c r="W132" s="52" t="str">
        <f aca="false">IF(AND(Q132&lt;&gt;"",Q132&lt;&gt;0,V132&lt;&gt;""),V132/Q132,"")</f>
        <v/>
      </c>
      <c r="X132" s="53" t="s">
        <v>37</v>
      </c>
      <c r="Y132" s="54" t="str">
        <f aca="false">IF(AND(O132&lt;&gt;"",M132&lt;&gt;"",O132&gt;M132),CONCATENATE("1 : ",TEXT((O132-M132)/M132,"0.00")),IF(AND(O132&lt;&gt;"",M132&lt;&gt;"",O132&lt;M132),CONCATENATE("-1 : ",TEXT((M132-O132)/M132,"0.00")),"—"))</f>
        <v>—</v>
      </c>
      <c r="Z132" s="55" t="str">
        <f aca="false">IF(AND(P132&lt;&gt;"",M132&lt;&gt;"",P132&gt;M132),CONCATENATE("1 : ",TEXT((P132-M132)/M132,"0.00")),"—")</f>
        <v>—</v>
      </c>
      <c r="AA132" s="56" t="str">
        <f aca="false">IF(AND(C132&lt;&gt;"",E132&lt;&gt;""),E132-C132,"")</f>
        <v/>
      </c>
      <c r="AB132" s="42"/>
      <c r="AC132" s="57"/>
      <c r="AD132" s="58"/>
      <c r="AE132" s="59" t="str">
        <f aca="false">IF(G132&lt;&gt;"",HYPERLINK("https://www.tradingview.com/chart/?symbol="&amp;G132&amp;"&amp;interval=60&amp;from="&amp;(AG132-10*3600)&amp;"&amp;to="&amp;(AG132+50*3600),"📈 1H"),"")</f>
        <v/>
      </c>
      <c r="AF132" s="60" t="str">
        <f aca="false">IF(G132&lt;&gt;"",HYPERLINK("https://www.tradingview.com/chart/?symbol="&amp;G132&amp;"&amp;interval=240&amp;from="&amp;(AG132-10*14400)&amp;"&amp;to="&amp;(AG132+50*14400),"📈 4H"),"")</f>
        <v/>
      </c>
      <c r="AG132" s="36" t="str">
        <f aca="false">IF(C132&lt;&gt;"",INT((C132+IF(D132&lt;&gt;"",D132,0)-DATE(1970,1,1))*86400),"")</f>
        <v/>
      </c>
    </row>
    <row r="133" customFormat="false" ht="19.5" hidden="false" customHeight="true" outlineLevel="0" collapsed="false">
      <c r="A133" s="12" t="n">
        <f aca="false">ROW()-4</f>
        <v>129</v>
      </c>
      <c r="B133" s="13"/>
      <c r="C133" s="14"/>
      <c r="D133" s="15"/>
      <c r="E133" s="14"/>
      <c r="F133" s="15"/>
      <c r="G133" s="16"/>
      <c r="H133" s="17"/>
      <c r="I133" s="18"/>
      <c r="J133" s="19"/>
      <c r="K133" s="14"/>
      <c r="L133" s="17"/>
      <c r="M133" s="19"/>
      <c r="N133" s="20"/>
      <c r="O133" s="19"/>
      <c r="P133" s="21"/>
      <c r="Q133" s="22" t="str">
        <f aca="false">IF(L133="","",IF(M133&lt;&gt;"",M133*L133*100,IF(AND(O133&lt;&gt;"",B133&lt;&gt;""),IFERROR(AVERAGEIF($B$5:$B$1004,B133,$M$5:$M$1004)*L133*100,""),"")))</f>
        <v/>
      </c>
      <c r="R133" s="22" t="str">
        <f aca="false">IF(AND(O133&lt;&gt;"",L133&lt;&gt;""),O133*L133*100,"")</f>
        <v/>
      </c>
      <c r="S133" s="23" t="str">
        <f aca="false">IF(AND(P133&lt;&gt;"",L133&lt;&gt;""),P133*L133*100,"")</f>
        <v/>
      </c>
      <c r="T133" s="24" t="str">
        <f aca="false">IF(AND(Q133&lt;&gt;"",R133&lt;&gt;""),R133-Q133,"")</f>
        <v/>
      </c>
      <c r="U133" s="25" t="str">
        <f aca="false">IF(AND(Q133&lt;&gt;"",Q133&lt;&gt;0,T133&lt;&gt;""),T133/Q133,"")</f>
        <v/>
      </c>
      <c r="V133" s="26" t="str">
        <f aca="false">IF(AND(S133&lt;&gt;"",Q133&lt;&gt;""),S133-Q133,"")</f>
        <v/>
      </c>
      <c r="W133" s="27" t="str">
        <f aca="false">IF(AND(Q133&lt;&gt;"",Q133&lt;&gt;0,V133&lt;&gt;""),V133/Q133,"")</f>
        <v/>
      </c>
      <c r="X133" s="28" t="s">
        <v>37</v>
      </c>
      <c r="Y133" s="29" t="str">
        <f aca="false">IF(AND(O133&lt;&gt;"",M133&lt;&gt;"",O133&gt;M133),CONCATENATE("1 : ",TEXT((O133-M133)/M133,"0.00")),IF(AND(O133&lt;&gt;"",M133&lt;&gt;"",O133&lt;M133),CONCATENATE("-1 : ",TEXT((M133-O133)/M133,"0.00")),"—"))</f>
        <v>—</v>
      </c>
      <c r="Z133" s="30" t="str">
        <f aca="false">IF(AND(P133&lt;&gt;"",M133&lt;&gt;"",P133&gt;M133),CONCATENATE("1 : ",TEXT((P133-M133)/M133,"0.00")),"—")</f>
        <v>—</v>
      </c>
      <c r="AA133" s="31" t="str">
        <f aca="false">IF(AND(C133&lt;&gt;"",E133&lt;&gt;""),E133-C133,"")</f>
        <v/>
      </c>
      <c r="AB133" s="17"/>
      <c r="AC133" s="32"/>
      <c r="AD133" s="33"/>
      <c r="AE133" s="34" t="str">
        <f aca="false">IF(G133&lt;&gt;"",HYPERLINK("https://www.tradingview.com/chart/?symbol="&amp;G133&amp;"&amp;interval=60&amp;from="&amp;(AG133-10*3600)&amp;"&amp;to="&amp;(AG133+50*3600),"📈 1H"),"")</f>
        <v/>
      </c>
      <c r="AF133" s="35" t="str">
        <f aca="false">IF(G133&lt;&gt;"",HYPERLINK("https://www.tradingview.com/chart/?symbol="&amp;G133&amp;"&amp;interval=240&amp;from="&amp;(AG133-10*14400)&amp;"&amp;to="&amp;(AG133+50*14400),"📈 4H"),"")</f>
        <v/>
      </c>
      <c r="AG133" s="36" t="str">
        <f aca="false">IF(C133&lt;&gt;"",INT((C133+IF(D133&lt;&gt;"",D133,0)-DATE(1970,1,1))*86400),"")</f>
        <v/>
      </c>
    </row>
    <row r="134" customFormat="false" ht="19.5" hidden="false" customHeight="true" outlineLevel="0" collapsed="false">
      <c r="A134" s="37" t="n">
        <f aca="false">ROW()-4</f>
        <v>130</v>
      </c>
      <c r="B134" s="38"/>
      <c r="C134" s="39"/>
      <c r="D134" s="40"/>
      <c r="E134" s="39"/>
      <c r="F134" s="40"/>
      <c r="G134" s="41"/>
      <c r="H134" s="42"/>
      <c r="I134" s="43"/>
      <c r="J134" s="44"/>
      <c r="K134" s="39"/>
      <c r="L134" s="42"/>
      <c r="M134" s="44"/>
      <c r="N134" s="45"/>
      <c r="O134" s="44"/>
      <c r="P134" s="46"/>
      <c r="Q134" s="47" t="str">
        <f aca="false">IF(L134="","",IF(M134&lt;&gt;"",M134*L134*100,IF(AND(O134&lt;&gt;"",B134&lt;&gt;""),IFERROR(AVERAGEIF($B$5:$B$1004,B134,$M$5:$M$1004)*L134*100,""),"")))</f>
        <v/>
      </c>
      <c r="R134" s="47" t="str">
        <f aca="false">IF(AND(O134&lt;&gt;"",L134&lt;&gt;""),O134*L134*100,"")</f>
        <v/>
      </c>
      <c r="S134" s="48" t="str">
        <f aca="false">IF(AND(P134&lt;&gt;"",L134&lt;&gt;""),P134*L134*100,"")</f>
        <v/>
      </c>
      <c r="T134" s="49" t="str">
        <f aca="false">IF(AND(Q134&lt;&gt;"",R134&lt;&gt;""),R134-Q134,"")</f>
        <v/>
      </c>
      <c r="U134" s="50" t="str">
        <f aca="false">IF(AND(Q134&lt;&gt;"",Q134&lt;&gt;0,T134&lt;&gt;""),T134/Q134,"")</f>
        <v/>
      </c>
      <c r="V134" s="51" t="str">
        <f aca="false">IF(AND(S134&lt;&gt;"",Q134&lt;&gt;""),S134-Q134,"")</f>
        <v/>
      </c>
      <c r="W134" s="52" t="str">
        <f aca="false">IF(AND(Q134&lt;&gt;"",Q134&lt;&gt;0,V134&lt;&gt;""),V134/Q134,"")</f>
        <v/>
      </c>
      <c r="X134" s="53" t="s">
        <v>37</v>
      </c>
      <c r="Y134" s="54" t="str">
        <f aca="false">IF(AND(O134&lt;&gt;"",M134&lt;&gt;"",O134&gt;M134),CONCATENATE("1 : ",TEXT((O134-M134)/M134,"0.00")),IF(AND(O134&lt;&gt;"",M134&lt;&gt;"",O134&lt;M134),CONCATENATE("-1 : ",TEXT((M134-O134)/M134,"0.00")),"—"))</f>
        <v>—</v>
      </c>
      <c r="Z134" s="55" t="str">
        <f aca="false">IF(AND(P134&lt;&gt;"",M134&lt;&gt;"",P134&gt;M134),CONCATENATE("1 : ",TEXT((P134-M134)/M134,"0.00")),"—")</f>
        <v>—</v>
      </c>
      <c r="AA134" s="56" t="str">
        <f aca="false">IF(AND(C134&lt;&gt;"",E134&lt;&gt;""),E134-C134,"")</f>
        <v/>
      </c>
      <c r="AB134" s="42"/>
      <c r="AC134" s="57"/>
      <c r="AD134" s="58"/>
      <c r="AE134" s="59" t="str">
        <f aca="false">IF(G134&lt;&gt;"",HYPERLINK("https://www.tradingview.com/chart/?symbol="&amp;G134&amp;"&amp;interval=60&amp;from="&amp;(AG134-10*3600)&amp;"&amp;to="&amp;(AG134+50*3600),"📈 1H"),"")</f>
        <v/>
      </c>
      <c r="AF134" s="60" t="str">
        <f aca="false">IF(G134&lt;&gt;"",HYPERLINK("https://www.tradingview.com/chart/?symbol="&amp;G134&amp;"&amp;interval=240&amp;from="&amp;(AG134-10*14400)&amp;"&amp;to="&amp;(AG134+50*14400),"📈 4H"),"")</f>
        <v/>
      </c>
      <c r="AG134" s="36" t="str">
        <f aca="false">IF(C134&lt;&gt;"",INT((C134+IF(D134&lt;&gt;"",D134,0)-DATE(1970,1,1))*86400),"")</f>
        <v/>
      </c>
    </row>
    <row r="135" customFormat="false" ht="19.5" hidden="false" customHeight="true" outlineLevel="0" collapsed="false">
      <c r="A135" s="12" t="n">
        <f aca="false">ROW()-4</f>
        <v>131</v>
      </c>
      <c r="B135" s="13"/>
      <c r="C135" s="14"/>
      <c r="D135" s="15"/>
      <c r="E135" s="14"/>
      <c r="F135" s="15"/>
      <c r="G135" s="16"/>
      <c r="H135" s="17"/>
      <c r="I135" s="18"/>
      <c r="J135" s="19"/>
      <c r="K135" s="14"/>
      <c r="L135" s="17"/>
      <c r="M135" s="19"/>
      <c r="N135" s="20"/>
      <c r="O135" s="19"/>
      <c r="P135" s="21"/>
      <c r="Q135" s="22" t="str">
        <f aca="false">IF(L135="","",IF(M135&lt;&gt;"",M135*L135*100,IF(AND(O135&lt;&gt;"",B135&lt;&gt;""),IFERROR(AVERAGEIF($B$5:$B$1004,B135,$M$5:$M$1004)*L135*100,""),"")))</f>
        <v/>
      </c>
      <c r="R135" s="22" t="str">
        <f aca="false">IF(AND(O135&lt;&gt;"",L135&lt;&gt;""),O135*L135*100,"")</f>
        <v/>
      </c>
      <c r="S135" s="23" t="str">
        <f aca="false">IF(AND(P135&lt;&gt;"",L135&lt;&gt;""),P135*L135*100,"")</f>
        <v/>
      </c>
      <c r="T135" s="24" t="str">
        <f aca="false">IF(AND(Q135&lt;&gt;"",R135&lt;&gt;""),R135-Q135,"")</f>
        <v/>
      </c>
      <c r="U135" s="25" t="str">
        <f aca="false">IF(AND(Q135&lt;&gt;"",Q135&lt;&gt;0,T135&lt;&gt;""),T135/Q135,"")</f>
        <v/>
      </c>
      <c r="V135" s="26" t="str">
        <f aca="false">IF(AND(S135&lt;&gt;"",Q135&lt;&gt;""),S135-Q135,"")</f>
        <v/>
      </c>
      <c r="W135" s="27" t="str">
        <f aca="false">IF(AND(Q135&lt;&gt;"",Q135&lt;&gt;0,V135&lt;&gt;""),V135/Q135,"")</f>
        <v/>
      </c>
      <c r="X135" s="28" t="s">
        <v>37</v>
      </c>
      <c r="Y135" s="29" t="str">
        <f aca="false">IF(AND(O135&lt;&gt;"",M135&lt;&gt;"",O135&gt;M135),CONCATENATE("1 : ",TEXT((O135-M135)/M135,"0.00")),IF(AND(O135&lt;&gt;"",M135&lt;&gt;"",O135&lt;M135),CONCATENATE("-1 : ",TEXT((M135-O135)/M135,"0.00")),"—"))</f>
        <v>—</v>
      </c>
      <c r="Z135" s="30" t="str">
        <f aca="false">IF(AND(P135&lt;&gt;"",M135&lt;&gt;"",P135&gt;M135),CONCATENATE("1 : ",TEXT((P135-M135)/M135,"0.00")),"—")</f>
        <v>—</v>
      </c>
      <c r="AA135" s="31" t="str">
        <f aca="false">IF(AND(C135&lt;&gt;"",E135&lt;&gt;""),E135-C135,"")</f>
        <v/>
      </c>
      <c r="AB135" s="17"/>
      <c r="AC135" s="32"/>
      <c r="AD135" s="33"/>
      <c r="AE135" s="34" t="str">
        <f aca="false">IF(G135&lt;&gt;"",HYPERLINK("https://www.tradingview.com/chart/?symbol="&amp;G135&amp;"&amp;interval=60&amp;from="&amp;(AG135-10*3600)&amp;"&amp;to="&amp;(AG135+50*3600),"📈 1H"),"")</f>
        <v/>
      </c>
      <c r="AF135" s="35" t="str">
        <f aca="false">IF(G135&lt;&gt;"",HYPERLINK("https://www.tradingview.com/chart/?symbol="&amp;G135&amp;"&amp;interval=240&amp;from="&amp;(AG135-10*14400)&amp;"&amp;to="&amp;(AG135+50*14400),"📈 4H"),"")</f>
        <v/>
      </c>
      <c r="AG135" s="36" t="str">
        <f aca="false">IF(C135&lt;&gt;"",INT((C135+IF(D135&lt;&gt;"",D135,0)-DATE(1970,1,1))*86400),"")</f>
        <v/>
      </c>
    </row>
    <row r="136" customFormat="false" ht="19.5" hidden="false" customHeight="true" outlineLevel="0" collapsed="false">
      <c r="A136" s="37" t="n">
        <f aca="false">ROW()-4</f>
        <v>132</v>
      </c>
      <c r="B136" s="38"/>
      <c r="C136" s="39"/>
      <c r="D136" s="40"/>
      <c r="E136" s="39"/>
      <c r="F136" s="40"/>
      <c r="G136" s="41"/>
      <c r="H136" s="42"/>
      <c r="I136" s="43"/>
      <c r="J136" s="44"/>
      <c r="K136" s="39"/>
      <c r="L136" s="42"/>
      <c r="M136" s="44"/>
      <c r="N136" s="45"/>
      <c r="O136" s="44"/>
      <c r="P136" s="46"/>
      <c r="Q136" s="47" t="str">
        <f aca="false">IF(L136="","",IF(M136&lt;&gt;"",M136*L136*100,IF(AND(O136&lt;&gt;"",B136&lt;&gt;""),IFERROR(AVERAGEIF($B$5:$B$1004,B136,$M$5:$M$1004)*L136*100,""),"")))</f>
        <v/>
      </c>
      <c r="R136" s="47" t="str">
        <f aca="false">IF(AND(O136&lt;&gt;"",L136&lt;&gt;""),O136*L136*100,"")</f>
        <v/>
      </c>
      <c r="S136" s="48" t="str">
        <f aca="false">IF(AND(P136&lt;&gt;"",L136&lt;&gt;""),P136*L136*100,"")</f>
        <v/>
      </c>
      <c r="T136" s="49" t="str">
        <f aca="false">IF(AND(Q136&lt;&gt;"",R136&lt;&gt;""),R136-Q136,"")</f>
        <v/>
      </c>
      <c r="U136" s="50" t="str">
        <f aca="false">IF(AND(Q136&lt;&gt;"",Q136&lt;&gt;0,T136&lt;&gt;""),T136/Q136,"")</f>
        <v/>
      </c>
      <c r="V136" s="51" t="str">
        <f aca="false">IF(AND(S136&lt;&gt;"",Q136&lt;&gt;""),S136-Q136,"")</f>
        <v/>
      </c>
      <c r="W136" s="52" t="str">
        <f aca="false">IF(AND(Q136&lt;&gt;"",Q136&lt;&gt;0,V136&lt;&gt;""),V136/Q136,"")</f>
        <v/>
      </c>
      <c r="X136" s="53" t="s">
        <v>37</v>
      </c>
      <c r="Y136" s="54" t="str">
        <f aca="false">IF(AND(O136&lt;&gt;"",M136&lt;&gt;"",O136&gt;M136),CONCATENATE("1 : ",TEXT((O136-M136)/M136,"0.00")),IF(AND(O136&lt;&gt;"",M136&lt;&gt;"",O136&lt;M136),CONCATENATE("-1 : ",TEXT((M136-O136)/M136,"0.00")),"—"))</f>
        <v>—</v>
      </c>
      <c r="Z136" s="55" t="str">
        <f aca="false">IF(AND(P136&lt;&gt;"",M136&lt;&gt;"",P136&gt;M136),CONCATENATE("1 : ",TEXT((P136-M136)/M136,"0.00")),"—")</f>
        <v>—</v>
      </c>
      <c r="AA136" s="56" t="str">
        <f aca="false">IF(AND(C136&lt;&gt;"",E136&lt;&gt;""),E136-C136,"")</f>
        <v/>
      </c>
      <c r="AB136" s="42"/>
      <c r="AC136" s="57"/>
      <c r="AD136" s="58"/>
      <c r="AE136" s="59" t="str">
        <f aca="false">IF(G136&lt;&gt;"",HYPERLINK("https://www.tradingview.com/chart/?symbol="&amp;G136&amp;"&amp;interval=60&amp;from="&amp;(AG136-10*3600)&amp;"&amp;to="&amp;(AG136+50*3600),"📈 1H"),"")</f>
        <v/>
      </c>
      <c r="AF136" s="60" t="str">
        <f aca="false">IF(G136&lt;&gt;"",HYPERLINK("https://www.tradingview.com/chart/?symbol="&amp;G136&amp;"&amp;interval=240&amp;from="&amp;(AG136-10*14400)&amp;"&amp;to="&amp;(AG136+50*14400),"📈 4H"),"")</f>
        <v/>
      </c>
      <c r="AG136" s="36" t="str">
        <f aca="false">IF(C136&lt;&gt;"",INT((C136+IF(D136&lt;&gt;"",D136,0)-DATE(1970,1,1))*86400),"")</f>
        <v/>
      </c>
    </row>
    <row r="137" customFormat="false" ht="19.5" hidden="false" customHeight="true" outlineLevel="0" collapsed="false">
      <c r="A137" s="12" t="n">
        <f aca="false">ROW()-4</f>
        <v>133</v>
      </c>
      <c r="B137" s="13"/>
      <c r="C137" s="14"/>
      <c r="D137" s="15"/>
      <c r="E137" s="14"/>
      <c r="F137" s="15"/>
      <c r="G137" s="16"/>
      <c r="H137" s="17"/>
      <c r="I137" s="18"/>
      <c r="J137" s="19"/>
      <c r="K137" s="14"/>
      <c r="L137" s="17"/>
      <c r="M137" s="19"/>
      <c r="N137" s="20"/>
      <c r="O137" s="19"/>
      <c r="P137" s="21"/>
      <c r="Q137" s="22" t="str">
        <f aca="false">IF(L137="","",IF(M137&lt;&gt;"",M137*L137*100,IF(AND(O137&lt;&gt;"",B137&lt;&gt;""),IFERROR(AVERAGEIF($B$5:$B$1004,B137,$M$5:$M$1004)*L137*100,""),"")))</f>
        <v/>
      </c>
      <c r="R137" s="22" t="str">
        <f aca="false">IF(AND(O137&lt;&gt;"",L137&lt;&gt;""),O137*L137*100,"")</f>
        <v/>
      </c>
      <c r="S137" s="23" t="str">
        <f aca="false">IF(AND(P137&lt;&gt;"",L137&lt;&gt;""),P137*L137*100,"")</f>
        <v/>
      </c>
      <c r="T137" s="24" t="str">
        <f aca="false">IF(AND(Q137&lt;&gt;"",R137&lt;&gt;""),R137-Q137,"")</f>
        <v/>
      </c>
      <c r="U137" s="25" t="str">
        <f aca="false">IF(AND(Q137&lt;&gt;"",Q137&lt;&gt;0,T137&lt;&gt;""),T137/Q137,"")</f>
        <v/>
      </c>
      <c r="V137" s="26" t="str">
        <f aca="false">IF(AND(S137&lt;&gt;"",Q137&lt;&gt;""),S137-Q137,"")</f>
        <v/>
      </c>
      <c r="W137" s="27" t="str">
        <f aca="false">IF(AND(Q137&lt;&gt;"",Q137&lt;&gt;0,V137&lt;&gt;""),V137/Q137,"")</f>
        <v/>
      </c>
      <c r="X137" s="28" t="s">
        <v>37</v>
      </c>
      <c r="Y137" s="29" t="str">
        <f aca="false">IF(AND(O137&lt;&gt;"",M137&lt;&gt;"",O137&gt;M137),CONCATENATE("1 : ",TEXT((O137-M137)/M137,"0.00")),IF(AND(O137&lt;&gt;"",M137&lt;&gt;"",O137&lt;M137),CONCATENATE("-1 : ",TEXT((M137-O137)/M137,"0.00")),"—"))</f>
        <v>—</v>
      </c>
      <c r="Z137" s="30" t="str">
        <f aca="false">IF(AND(P137&lt;&gt;"",M137&lt;&gt;"",P137&gt;M137),CONCATENATE("1 : ",TEXT((P137-M137)/M137,"0.00")),"—")</f>
        <v>—</v>
      </c>
      <c r="AA137" s="31" t="str">
        <f aca="false">IF(AND(C137&lt;&gt;"",E137&lt;&gt;""),E137-C137,"")</f>
        <v/>
      </c>
      <c r="AB137" s="17"/>
      <c r="AC137" s="32"/>
      <c r="AD137" s="33"/>
      <c r="AE137" s="34" t="str">
        <f aca="false">IF(G137&lt;&gt;"",HYPERLINK("https://www.tradingview.com/chart/?symbol="&amp;G137&amp;"&amp;interval=60&amp;from="&amp;(AG137-10*3600)&amp;"&amp;to="&amp;(AG137+50*3600),"📈 1H"),"")</f>
        <v/>
      </c>
      <c r="AF137" s="35" t="str">
        <f aca="false">IF(G137&lt;&gt;"",HYPERLINK("https://www.tradingview.com/chart/?symbol="&amp;G137&amp;"&amp;interval=240&amp;from="&amp;(AG137-10*14400)&amp;"&amp;to="&amp;(AG137+50*14400),"📈 4H"),"")</f>
        <v/>
      </c>
      <c r="AG137" s="36" t="str">
        <f aca="false">IF(C137&lt;&gt;"",INT((C137+IF(D137&lt;&gt;"",D137,0)-DATE(1970,1,1))*86400),"")</f>
        <v/>
      </c>
    </row>
    <row r="138" customFormat="false" ht="19.5" hidden="false" customHeight="true" outlineLevel="0" collapsed="false">
      <c r="A138" s="37" t="n">
        <f aca="false">ROW()-4</f>
        <v>134</v>
      </c>
      <c r="B138" s="38"/>
      <c r="C138" s="39"/>
      <c r="D138" s="40"/>
      <c r="E138" s="39"/>
      <c r="F138" s="40"/>
      <c r="G138" s="41"/>
      <c r="H138" s="42"/>
      <c r="I138" s="43"/>
      <c r="J138" s="44"/>
      <c r="K138" s="39"/>
      <c r="L138" s="42"/>
      <c r="M138" s="44"/>
      <c r="N138" s="45"/>
      <c r="O138" s="44"/>
      <c r="P138" s="46"/>
      <c r="Q138" s="47" t="str">
        <f aca="false">IF(L138="","",IF(M138&lt;&gt;"",M138*L138*100,IF(AND(O138&lt;&gt;"",B138&lt;&gt;""),IFERROR(AVERAGEIF($B$5:$B$1004,B138,$M$5:$M$1004)*L138*100,""),"")))</f>
        <v/>
      </c>
      <c r="R138" s="47" t="str">
        <f aca="false">IF(AND(O138&lt;&gt;"",L138&lt;&gt;""),O138*L138*100,"")</f>
        <v/>
      </c>
      <c r="S138" s="48" t="str">
        <f aca="false">IF(AND(P138&lt;&gt;"",L138&lt;&gt;""),P138*L138*100,"")</f>
        <v/>
      </c>
      <c r="T138" s="49" t="str">
        <f aca="false">IF(AND(Q138&lt;&gt;"",R138&lt;&gt;""),R138-Q138,"")</f>
        <v/>
      </c>
      <c r="U138" s="50" t="str">
        <f aca="false">IF(AND(Q138&lt;&gt;"",Q138&lt;&gt;0,T138&lt;&gt;""),T138/Q138,"")</f>
        <v/>
      </c>
      <c r="V138" s="51" t="str">
        <f aca="false">IF(AND(S138&lt;&gt;"",Q138&lt;&gt;""),S138-Q138,"")</f>
        <v/>
      </c>
      <c r="W138" s="52" t="str">
        <f aca="false">IF(AND(Q138&lt;&gt;"",Q138&lt;&gt;0,V138&lt;&gt;""),V138/Q138,"")</f>
        <v/>
      </c>
      <c r="X138" s="53" t="s">
        <v>37</v>
      </c>
      <c r="Y138" s="54" t="str">
        <f aca="false">IF(AND(O138&lt;&gt;"",M138&lt;&gt;"",O138&gt;M138),CONCATENATE("1 : ",TEXT((O138-M138)/M138,"0.00")),IF(AND(O138&lt;&gt;"",M138&lt;&gt;"",O138&lt;M138),CONCATENATE("-1 : ",TEXT((M138-O138)/M138,"0.00")),"—"))</f>
        <v>—</v>
      </c>
      <c r="Z138" s="55" t="str">
        <f aca="false">IF(AND(P138&lt;&gt;"",M138&lt;&gt;"",P138&gt;M138),CONCATENATE("1 : ",TEXT((P138-M138)/M138,"0.00")),"—")</f>
        <v>—</v>
      </c>
      <c r="AA138" s="56" t="str">
        <f aca="false">IF(AND(C138&lt;&gt;"",E138&lt;&gt;""),E138-C138,"")</f>
        <v/>
      </c>
      <c r="AB138" s="42"/>
      <c r="AC138" s="57"/>
      <c r="AD138" s="58"/>
      <c r="AE138" s="59" t="str">
        <f aca="false">IF(G138&lt;&gt;"",HYPERLINK("https://www.tradingview.com/chart/?symbol="&amp;G138&amp;"&amp;interval=60&amp;from="&amp;(AG138-10*3600)&amp;"&amp;to="&amp;(AG138+50*3600),"📈 1H"),"")</f>
        <v/>
      </c>
      <c r="AF138" s="60" t="str">
        <f aca="false">IF(G138&lt;&gt;"",HYPERLINK("https://www.tradingview.com/chart/?symbol="&amp;G138&amp;"&amp;interval=240&amp;from="&amp;(AG138-10*14400)&amp;"&amp;to="&amp;(AG138+50*14400),"📈 4H"),"")</f>
        <v/>
      </c>
      <c r="AG138" s="36" t="str">
        <f aca="false">IF(C138&lt;&gt;"",INT((C138+IF(D138&lt;&gt;"",D138,0)-DATE(1970,1,1))*86400),"")</f>
        <v/>
      </c>
    </row>
    <row r="139" customFormat="false" ht="19.5" hidden="false" customHeight="true" outlineLevel="0" collapsed="false">
      <c r="A139" s="12" t="n">
        <f aca="false">ROW()-4</f>
        <v>135</v>
      </c>
      <c r="B139" s="13"/>
      <c r="C139" s="14"/>
      <c r="D139" s="15"/>
      <c r="E139" s="14"/>
      <c r="F139" s="15"/>
      <c r="G139" s="16"/>
      <c r="H139" s="17"/>
      <c r="I139" s="18"/>
      <c r="J139" s="19"/>
      <c r="K139" s="14"/>
      <c r="L139" s="17"/>
      <c r="M139" s="19"/>
      <c r="N139" s="20"/>
      <c r="O139" s="19"/>
      <c r="P139" s="21"/>
      <c r="Q139" s="22" t="str">
        <f aca="false">IF(L139="","",IF(M139&lt;&gt;"",M139*L139*100,IF(AND(O139&lt;&gt;"",B139&lt;&gt;""),IFERROR(AVERAGEIF($B$5:$B$1004,B139,$M$5:$M$1004)*L139*100,""),"")))</f>
        <v/>
      </c>
      <c r="R139" s="22" t="str">
        <f aca="false">IF(AND(O139&lt;&gt;"",L139&lt;&gt;""),O139*L139*100,"")</f>
        <v/>
      </c>
      <c r="S139" s="23" t="str">
        <f aca="false">IF(AND(P139&lt;&gt;"",L139&lt;&gt;""),P139*L139*100,"")</f>
        <v/>
      </c>
      <c r="T139" s="24" t="str">
        <f aca="false">IF(AND(Q139&lt;&gt;"",R139&lt;&gt;""),R139-Q139,"")</f>
        <v/>
      </c>
      <c r="U139" s="25" t="str">
        <f aca="false">IF(AND(Q139&lt;&gt;"",Q139&lt;&gt;0,T139&lt;&gt;""),T139/Q139,"")</f>
        <v/>
      </c>
      <c r="V139" s="26" t="str">
        <f aca="false">IF(AND(S139&lt;&gt;"",Q139&lt;&gt;""),S139-Q139,"")</f>
        <v/>
      </c>
      <c r="W139" s="27" t="str">
        <f aca="false">IF(AND(Q139&lt;&gt;"",Q139&lt;&gt;0,V139&lt;&gt;""),V139/Q139,"")</f>
        <v/>
      </c>
      <c r="X139" s="28" t="s">
        <v>37</v>
      </c>
      <c r="Y139" s="29" t="str">
        <f aca="false">IF(AND(O139&lt;&gt;"",M139&lt;&gt;"",O139&gt;M139),CONCATENATE("1 : ",TEXT((O139-M139)/M139,"0.00")),IF(AND(O139&lt;&gt;"",M139&lt;&gt;"",O139&lt;M139),CONCATENATE("-1 : ",TEXT((M139-O139)/M139,"0.00")),"—"))</f>
        <v>—</v>
      </c>
      <c r="Z139" s="30" t="str">
        <f aca="false">IF(AND(P139&lt;&gt;"",M139&lt;&gt;"",P139&gt;M139),CONCATENATE("1 : ",TEXT((P139-M139)/M139,"0.00")),"—")</f>
        <v>—</v>
      </c>
      <c r="AA139" s="31" t="str">
        <f aca="false">IF(AND(C139&lt;&gt;"",E139&lt;&gt;""),E139-C139,"")</f>
        <v/>
      </c>
      <c r="AB139" s="17"/>
      <c r="AC139" s="32"/>
      <c r="AD139" s="33"/>
      <c r="AE139" s="34" t="str">
        <f aca="false">IF(G139&lt;&gt;"",HYPERLINK("https://www.tradingview.com/chart/?symbol="&amp;G139&amp;"&amp;interval=60&amp;from="&amp;(AG139-10*3600)&amp;"&amp;to="&amp;(AG139+50*3600),"📈 1H"),"")</f>
        <v/>
      </c>
      <c r="AF139" s="35" t="str">
        <f aca="false">IF(G139&lt;&gt;"",HYPERLINK("https://www.tradingview.com/chart/?symbol="&amp;G139&amp;"&amp;interval=240&amp;from="&amp;(AG139-10*14400)&amp;"&amp;to="&amp;(AG139+50*14400),"📈 4H"),"")</f>
        <v/>
      </c>
      <c r="AG139" s="36" t="str">
        <f aca="false">IF(C139&lt;&gt;"",INT((C139+IF(D139&lt;&gt;"",D139,0)-DATE(1970,1,1))*86400),"")</f>
        <v/>
      </c>
    </row>
    <row r="140" customFormat="false" ht="19.5" hidden="false" customHeight="true" outlineLevel="0" collapsed="false">
      <c r="A140" s="37" t="n">
        <f aca="false">ROW()-4</f>
        <v>136</v>
      </c>
      <c r="B140" s="38"/>
      <c r="C140" s="39"/>
      <c r="D140" s="40"/>
      <c r="E140" s="39"/>
      <c r="F140" s="40"/>
      <c r="G140" s="41"/>
      <c r="H140" s="42"/>
      <c r="I140" s="43"/>
      <c r="J140" s="44"/>
      <c r="K140" s="39"/>
      <c r="L140" s="42"/>
      <c r="M140" s="44"/>
      <c r="N140" s="45"/>
      <c r="O140" s="44"/>
      <c r="P140" s="46"/>
      <c r="Q140" s="47" t="str">
        <f aca="false">IF(L140="","",IF(M140&lt;&gt;"",M140*L140*100,IF(AND(O140&lt;&gt;"",B140&lt;&gt;""),IFERROR(AVERAGEIF($B$5:$B$1004,B140,$M$5:$M$1004)*L140*100,""),"")))</f>
        <v/>
      </c>
      <c r="R140" s="47" t="str">
        <f aca="false">IF(AND(O140&lt;&gt;"",L140&lt;&gt;""),O140*L140*100,"")</f>
        <v/>
      </c>
      <c r="S140" s="48" t="str">
        <f aca="false">IF(AND(P140&lt;&gt;"",L140&lt;&gt;""),P140*L140*100,"")</f>
        <v/>
      </c>
      <c r="T140" s="49" t="str">
        <f aca="false">IF(AND(Q140&lt;&gt;"",R140&lt;&gt;""),R140-Q140,"")</f>
        <v/>
      </c>
      <c r="U140" s="50" t="str">
        <f aca="false">IF(AND(Q140&lt;&gt;"",Q140&lt;&gt;0,T140&lt;&gt;""),T140/Q140,"")</f>
        <v/>
      </c>
      <c r="V140" s="51" t="str">
        <f aca="false">IF(AND(S140&lt;&gt;"",Q140&lt;&gt;""),S140-Q140,"")</f>
        <v/>
      </c>
      <c r="W140" s="52" t="str">
        <f aca="false">IF(AND(Q140&lt;&gt;"",Q140&lt;&gt;0,V140&lt;&gt;""),V140/Q140,"")</f>
        <v/>
      </c>
      <c r="X140" s="53" t="s">
        <v>37</v>
      </c>
      <c r="Y140" s="54" t="str">
        <f aca="false">IF(AND(O140&lt;&gt;"",M140&lt;&gt;"",O140&gt;M140),CONCATENATE("1 : ",TEXT((O140-M140)/M140,"0.00")),IF(AND(O140&lt;&gt;"",M140&lt;&gt;"",O140&lt;M140),CONCATENATE("-1 : ",TEXT((M140-O140)/M140,"0.00")),"—"))</f>
        <v>—</v>
      </c>
      <c r="Z140" s="55" t="str">
        <f aca="false">IF(AND(P140&lt;&gt;"",M140&lt;&gt;"",P140&gt;M140),CONCATENATE("1 : ",TEXT((P140-M140)/M140,"0.00")),"—")</f>
        <v>—</v>
      </c>
      <c r="AA140" s="56" t="str">
        <f aca="false">IF(AND(C140&lt;&gt;"",E140&lt;&gt;""),E140-C140,"")</f>
        <v/>
      </c>
      <c r="AB140" s="42"/>
      <c r="AC140" s="57"/>
      <c r="AD140" s="58"/>
      <c r="AE140" s="59" t="str">
        <f aca="false">IF(G140&lt;&gt;"",HYPERLINK("https://www.tradingview.com/chart/?symbol="&amp;G140&amp;"&amp;interval=60&amp;from="&amp;(AG140-10*3600)&amp;"&amp;to="&amp;(AG140+50*3600),"📈 1H"),"")</f>
        <v/>
      </c>
      <c r="AF140" s="60" t="str">
        <f aca="false">IF(G140&lt;&gt;"",HYPERLINK("https://www.tradingview.com/chart/?symbol="&amp;G140&amp;"&amp;interval=240&amp;from="&amp;(AG140-10*14400)&amp;"&amp;to="&amp;(AG140+50*14400),"📈 4H"),"")</f>
        <v/>
      </c>
      <c r="AG140" s="36" t="str">
        <f aca="false">IF(C140&lt;&gt;"",INT((C140+IF(D140&lt;&gt;"",D140,0)-DATE(1970,1,1))*86400),"")</f>
        <v/>
      </c>
    </row>
    <row r="141" customFormat="false" ht="19.5" hidden="false" customHeight="true" outlineLevel="0" collapsed="false">
      <c r="A141" s="12" t="n">
        <f aca="false">ROW()-4</f>
        <v>137</v>
      </c>
      <c r="B141" s="13"/>
      <c r="C141" s="14"/>
      <c r="D141" s="15"/>
      <c r="E141" s="14"/>
      <c r="F141" s="15"/>
      <c r="G141" s="16"/>
      <c r="H141" s="17"/>
      <c r="I141" s="18"/>
      <c r="J141" s="19"/>
      <c r="K141" s="14"/>
      <c r="L141" s="17"/>
      <c r="M141" s="19"/>
      <c r="N141" s="20"/>
      <c r="O141" s="19"/>
      <c r="P141" s="21"/>
      <c r="Q141" s="22" t="str">
        <f aca="false">IF(L141="","",IF(M141&lt;&gt;"",M141*L141*100,IF(AND(O141&lt;&gt;"",B141&lt;&gt;""),IFERROR(AVERAGEIF($B$5:$B$1004,B141,$M$5:$M$1004)*L141*100,""),"")))</f>
        <v/>
      </c>
      <c r="R141" s="22" t="str">
        <f aca="false">IF(AND(O141&lt;&gt;"",L141&lt;&gt;""),O141*L141*100,"")</f>
        <v/>
      </c>
      <c r="S141" s="23" t="str">
        <f aca="false">IF(AND(P141&lt;&gt;"",L141&lt;&gt;""),P141*L141*100,"")</f>
        <v/>
      </c>
      <c r="T141" s="24" t="str">
        <f aca="false">IF(AND(Q141&lt;&gt;"",R141&lt;&gt;""),R141-Q141,"")</f>
        <v/>
      </c>
      <c r="U141" s="25" t="str">
        <f aca="false">IF(AND(Q141&lt;&gt;"",Q141&lt;&gt;0,T141&lt;&gt;""),T141/Q141,"")</f>
        <v/>
      </c>
      <c r="V141" s="26" t="str">
        <f aca="false">IF(AND(S141&lt;&gt;"",Q141&lt;&gt;""),S141-Q141,"")</f>
        <v/>
      </c>
      <c r="W141" s="27" t="str">
        <f aca="false">IF(AND(Q141&lt;&gt;"",Q141&lt;&gt;0,V141&lt;&gt;""),V141/Q141,"")</f>
        <v/>
      </c>
      <c r="X141" s="28" t="s">
        <v>37</v>
      </c>
      <c r="Y141" s="29" t="str">
        <f aca="false">IF(AND(O141&lt;&gt;"",M141&lt;&gt;"",O141&gt;M141),CONCATENATE("1 : ",TEXT((O141-M141)/M141,"0.00")),IF(AND(O141&lt;&gt;"",M141&lt;&gt;"",O141&lt;M141),CONCATENATE("-1 : ",TEXT((M141-O141)/M141,"0.00")),"—"))</f>
        <v>—</v>
      </c>
      <c r="Z141" s="30" t="str">
        <f aca="false">IF(AND(P141&lt;&gt;"",M141&lt;&gt;"",P141&gt;M141),CONCATENATE("1 : ",TEXT((P141-M141)/M141,"0.00")),"—")</f>
        <v>—</v>
      </c>
      <c r="AA141" s="31" t="str">
        <f aca="false">IF(AND(C141&lt;&gt;"",E141&lt;&gt;""),E141-C141,"")</f>
        <v/>
      </c>
      <c r="AB141" s="17"/>
      <c r="AC141" s="32"/>
      <c r="AD141" s="33"/>
      <c r="AE141" s="34" t="str">
        <f aca="false">IF(G141&lt;&gt;"",HYPERLINK("https://www.tradingview.com/chart/?symbol="&amp;G141&amp;"&amp;interval=60&amp;from="&amp;(AG141-10*3600)&amp;"&amp;to="&amp;(AG141+50*3600),"📈 1H"),"")</f>
        <v/>
      </c>
      <c r="AF141" s="35" t="str">
        <f aca="false">IF(G141&lt;&gt;"",HYPERLINK("https://www.tradingview.com/chart/?symbol="&amp;G141&amp;"&amp;interval=240&amp;from="&amp;(AG141-10*14400)&amp;"&amp;to="&amp;(AG141+50*14400),"📈 4H"),"")</f>
        <v/>
      </c>
      <c r="AG141" s="36" t="str">
        <f aca="false">IF(C141&lt;&gt;"",INT((C141+IF(D141&lt;&gt;"",D141,0)-DATE(1970,1,1))*86400),"")</f>
        <v/>
      </c>
    </row>
    <row r="142" customFormat="false" ht="19.5" hidden="false" customHeight="true" outlineLevel="0" collapsed="false">
      <c r="A142" s="37" t="n">
        <f aca="false">ROW()-4</f>
        <v>138</v>
      </c>
      <c r="B142" s="38"/>
      <c r="C142" s="39"/>
      <c r="D142" s="40"/>
      <c r="E142" s="39"/>
      <c r="F142" s="40"/>
      <c r="G142" s="41"/>
      <c r="H142" s="42"/>
      <c r="I142" s="43"/>
      <c r="J142" s="44"/>
      <c r="K142" s="39"/>
      <c r="L142" s="42"/>
      <c r="M142" s="44"/>
      <c r="N142" s="45"/>
      <c r="O142" s="44"/>
      <c r="P142" s="46"/>
      <c r="Q142" s="47" t="str">
        <f aca="false">IF(L142="","",IF(M142&lt;&gt;"",M142*L142*100,IF(AND(O142&lt;&gt;"",B142&lt;&gt;""),IFERROR(AVERAGEIF($B$5:$B$1004,B142,$M$5:$M$1004)*L142*100,""),"")))</f>
        <v/>
      </c>
      <c r="R142" s="47" t="str">
        <f aca="false">IF(AND(O142&lt;&gt;"",L142&lt;&gt;""),O142*L142*100,"")</f>
        <v/>
      </c>
      <c r="S142" s="48" t="str">
        <f aca="false">IF(AND(P142&lt;&gt;"",L142&lt;&gt;""),P142*L142*100,"")</f>
        <v/>
      </c>
      <c r="T142" s="49" t="str">
        <f aca="false">IF(AND(Q142&lt;&gt;"",R142&lt;&gt;""),R142-Q142,"")</f>
        <v/>
      </c>
      <c r="U142" s="50" t="str">
        <f aca="false">IF(AND(Q142&lt;&gt;"",Q142&lt;&gt;0,T142&lt;&gt;""),T142/Q142,"")</f>
        <v/>
      </c>
      <c r="V142" s="51" t="str">
        <f aca="false">IF(AND(S142&lt;&gt;"",Q142&lt;&gt;""),S142-Q142,"")</f>
        <v/>
      </c>
      <c r="W142" s="52" t="str">
        <f aca="false">IF(AND(Q142&lt;&gt;"",Q142&lt;&gt;0,V142&lt;&gt;""),V142/Q142,"")</f>
        <v/>
      </c>
      <c r="X142" s="53" t="s">
        <v>37</v>
      </c>
      <c r="Y142" s="54" t="str">
        <f aca="false">IF(AND(O142&lt;&gt;"",M142&lt;&gt;"",O142&gt;M142),CONCATENATE("1 : ",TEXT((O142-M142)/M142,"0.00")),IF(AND(O142&lt;&gt;"",M142&lt;&gt;"",O142&lt;M142),CONCATENATE("-1 : ",TEXT((M142-O142)/M142,"0.00")),"—"))</f>
        <v>—</v>
      </c>
      <c r="Z142" s="55" t="str">
        <f aca="false">IF(AND(P142&lt;&gt;"",M142&lt;&gt;"",P142&gt;M142),CONCATENATE("1 : ",TEXT((P142-M142)/M142,"0.00")),"—")</f>
        <v>—</v>
      </c>
      <c r="AA142" s="56" t="str">
        <f aca="false">IF(AND(C142&lt;&gt;"",E142&lt;&gt;""),E142-C142,"")</f>
        <v/>
      </c>
      <c r="AB142" s="42"/>
      <c r="AC142" s="57"/>
      <c r="AD142" s="58"/>
      <c r="AE142" s="59" t="str">
        <f aca="false">IF(G142&lt;&gt;"",HYPERLINK("https://www.tradingview.com/chart/?symbol="&amp;G142&amp;"&amp;interval=60&amp;from="&amp;(AG142-10*3600)&amp;"&amp;to="&amp;(AG142+50*3600),"📈 1H"),"")</f>
        <v/>
      </c>
      <c r="AF142" s="60" t="str">
        <f aca="false">IF(G142&lt;&gt;"",HYPERLINK("https://www.tradingview.com/chart/?symbol="&amp;G142&amp;"&amp;interval=240&amp;from="&amp;(AG142-10*14400)&amp;"&amp;to="&amp;(AG142+50*14400),"📈 4H"),"")</f>
        <v/>
      </c>
      <c r="AG142" s="36" t="str">
        <f aca="false">IF(C142&lt;&gt;"",INT((C142+IF(D142&lt;&gt;"",D142,0)-DATE(1970,1,1))*86400),"")</f>
        <v/>
      </c>
    </row>
    <row r="143" customFormat="false" ht="19.5" hidden="false" customHeight="true" outlineLevel="0" collapsed="false">
      <c r="A143" s="12" t="n">
        <f aca="false">ROW()-4</f>
        <v>139</v>
      </c>
      <c r="B143" s="13"/>
      <c r="C143" s="14"/>
      <c r="D143" s="15"/>
      <c r="E143" s="14"/>
      <c r="F143" s="15"/>
      <c r="G143" s="16"/>
      <c r="H143" s="17"/>
      <c r="I143" s="18"/>
      <c r="J143" s="19"/>
      <c r="K143" s="14"/>
      <c r="L143" s="17"/>
      <c r="M143" s="19"/>
      <c r="N143" s="20"/>
      <c r="O143" s="19"/>
      <c r="P143" s="21"/>
      <c r="Q143" s="22" t="str">
        <f aca="false">IF(L143="","",IF(M143&lt;&gt;"",M143*L143*100,IF(AND(O143&lt;&gt;"",B143&lt;&gt;""),IFERROR(AVERAGEIF($B$5:$B$1004,B143,$M$5:$M$1004)*L143*100,""),"")))</f>
        <v/>
      </c>
      <c r="R143" s="22" t="str">
        <f aca="false">IF(AND(O143&lt;&gt;"",L143&lt;&gt;""),O143*L143*100,"")</f>
        <v/>
      </c>
      <c r="S143" s="23" t="str">
        <f aca="false">IF(AND(P143&lt;&gt;"",L143&lt;&gt;""),P143*L143*100,"")</f>
        <v/>
      </c>
      <c r="T143" s="24" t="str">
        <f aca="false">IF(AND(Q143&lt;&gt;"",R143&lt;&gt;""),R143-Q143,"")</f>
        <v/>
      </c>
      <c r="U143" s="25" t="str">
        <f aca="false">IF(AND(Q143&lt;&gt;"",Q143&lt;&gt;0,T143&lt;&gt;""),T143/Q143,"")</f>
        <v/>
      </c>
      <c r="V143" s="26" t="str">
        <f aca="false">IF(AND(S143&lt;&gt;"",Q143&lt;&gt;""),S143-Q143,"")</f>
        <v/>
      </c>
      <c r="W143" s="27" t="str">
        <f aca="false">IF(AND(Q143&lt;&gt;"",Q143&lt;&gt;0,V143&lt;&gt;""),V143/Q143,"")</f>
        <v/>
      </c>
      <c r="X143" s="28" t="s">
        <v>37</v>
      </c>
      <c r="Y143" s="29" t="str">
        <f aca="false">IF(AND(O143&lt;&gt;"",M143&lt;&gt;"",O143&gt;M143),CONCATENATE("1 : ",TEXT((O143-M143)/M143,"0.00")),IF(AND(O143&lt;&gt;"",M143&lt;&gt;"",O143&lt;M143),CONCATENATE("-1 : ",TEXT((M143-O143)/M143,"0.00")),"—"))</f>
        <v>—</v>
      </c>
      <c r="Z143" s="30" t="str">
        <f aca="false">IF(AND(P143&lt;&gt;"",M143&lt;&gt;"",P143&gt;M143),CONCATENATE("1 : ",TEXT((P143-M143)/M143,"0.00")),"—")</f>
        <v>—</v>
      </c>
      <c r="AA143" s="31" t="str">
        <f aca="false">IF(AND(C143&lt;&gt;"",E143&lt;&gt;""),E143-C143,"")</f>
        <v/>
      </c>
      <c r="AB143" s="17"/>
      <c r="AC143" s="32"/>
      <c r="AD143" s="33"/>
      <c r="AE143" s="34" t="str">
        <f aca="false">IF(G143&lt;&gt;"",HYPERLINK("https://www.tradingview.com/chart/?symbol="&amp;G143&amp;"&amp;interval=60&amp;from="&amp;(AG143-10*3600)&amp;"&amp;to="&amp;(AG143+50*3600),"📈 1H"),"")</f>
        <v/>
      </c>
      <c r="AF143" s="35" t="str">
        <f aca="false">IF(G143&lt;&gt;"",HYPERLINK("https://www.tradingview.com/chart/?symbol="&amp;G143&amp;"&amp;interval=240&amp;from="&amp;(AG143-10*14400)&amp;"&amp;to="&amp;(AG143+50*14400),"📈 4H"),"")</f>
        <v/>
      </c>
      <c r="AG143" s="36" t="str">
        <f aca="false">IF(C143&lt;&gt;"",INT((C143+IF(D143&lt;&gt;"",D143,0)-DATE(1970,1,1))*86400),"")</f>
        <v/>
      </c>
    </row>
    <row r="144" customFormat="false" ht="19.5" hidden="false" customHeight="true" outlineLevel="0" collapsed="false">
      <c r="A144" s="37" t="n">
        <f aca="false">ROW()-4</f>
        <v>140</v>
      </c>
      <c r="B144" s="38"/>
      <c r="C144" s="39"/>
      <c r="D144" s="40"/>
      <c r="E144" s="39"/>
      <c r="F144" s="40"/>
      <c r="G144" s="41"/>
      <c r="H144" s="42"/>
      <c r="I144" s="43"/>
      <c r="J144" s="44"/>
      <c r="K144" s="39"/>
      <c r="L144" s="42"/>
      <c r="M144" s="44"/>
      <c r="N144" s="45"/>
      <c r="O144" s="44"/>
      <c r="P144" s="46"/>
      <c r="Q144" s="47" t="str">
        <f aca="false">IF(L144="","",IF(M144&lt;&gt;"",M144*L144*100,IF(AND(O144&lt;&gt;"",B144&lt;&gt;""),IFERROR(AVERAGEIF($B$5:$B$1004,B144,$M$5:$M$1004)*L144*100,""),"")))</f>
        <v/>
      </c>
      <c r="R144" s="47" t="str">
        <f aca="false">IF(AND(O144&lt;&gt;"",L144&lt;&gt;""),O144*L144*100,"")</f>
        <v/>
      </c>
      <c r="S144" s="48" t="str">
        <f aca="false">IF(AND(P144&lt;&gt;"",L144&lt;&gt;""),P144*L144*100,"")</f>
        <v/>
      </c>
      <c r="T144" s="49" t="str">
        <f aca="false">IF(AND(Q144&lt;&gt;"",R144&lt;&gt;""),R144-Q144,"")</f>
        <v/>
      </c>
      <c r="U144" s="50" t="str">
        <f aca="false">IF(AND(Q144&lt;&gt;"",Q144&lt;&gt;0,T144&lt;&gt;""),T144/Q144,"")</f>
        <v/>
      </c>
      <c r="V144" s="51" t="str">
        <f aca="false">IF(AND(S144&lt;&gt;"",Q144&lt;&gt;""),S144-Q144,"")</f>
        <v/>
      </c>
      <c r="W144" s="52" t="str">
        <f aca="false">IF(AND(Q144&lt;&gt;"",Q144&lt;&gt;0,V144&lt;&gt;""),V144/Q144,"")</f>
        <v/>
      </c>
      <c r="X144" s="53" t="s">
        <v>37</v>
      </c>
      <c r="Y144" s="54" t="str">
        <f aca="false">IF(AND(O144&lt;&gt;"",M144&lt;&gt;"",O144&gt;M144),CONCATENATE("1 : ",TEXT((O144-M144)/M144,"0.00")),IF(AND(O144&lt;&gt;"",M144&lt;&gt;"",O144&lt;M144),CONCATENATE("-1 : ",TEXT((M144-O144)/M144,"0.00")),"—"))</f>
        <v>—</v>
      </c>
      <c r="Z144" s="55" t="str">
        <f aca="false">IF(AND(P144&lt;&gt;"",M144&lt;&gt;"",P144&gt;M144),CONCATENATE("1 : ",TEXT((P144-M144)/M144,"0.00")),"—")</f>
        <v>—</v>
      </c>
      <c r="AA144" s="56" t="str">
        <f aca="false">IF(AND(C144&lt;&gt;"",E144&lt;&gt;""),E144-C144,"")</f>
        <v/>
      </c>
      <c r="AB144" s="42"/>
      <c r="AC144" s="57"/>
      <c r="AD144" s="58"/>
      <c r="AE144" s="59" t="str">
        <f aca="false">IF(G144&lt;&gt;"",HYPERLINK("https://www.tradingview.com/chart/?symbol="&amp;G144&amp;"&amp;interval=60&amp;from="&amp;(AG144-10*3600)&amp;"&amp;to="&amp;(AG144+50*3600),"📈 1H"),"")</f>
        <v/>
      </c>
      <c r="AF144" s="60" t="str">
        <f aca="false">IF(G144&lt;&gt;"",HYPERLINK("https://www.tradingview.com/chart/?symbol="&amp;G144&amp;"&amp;interval=240&amp;from="&amp;(AG144-10*14400)&amp;"&amp;to="&amp;(AG144+50*14400),"📈 4H"),"")</f>
        <v/>
      </c>
      <c r="AG144" s="36" t="str">
        <f aca="false">IF(C144&lt;&gt;"",INT((C144+IF(D144&lt;&gt;"",D144,0)-DATE(1970,1,1))*86400),"")</f>
        <v/>
      </c>
    </row>
    <row r="145" customFormat="false" ht="19.5" hidden="false" customHeight="true" outlineLevel="0" collapsed="false">
      <c r="A145" s="12" t="n">
        <f aca="false">ROW()-4</f>
        <v>141</v>
      </c>
      <c r="B145" s="13"/>
      <c r="C145" s="14"/>
      <c r="D145" s="15"/>
      <c r="E145" s="14"/>
      <c r="F145" s="15"/>
      <c r="G145" s="16"/>
      <c r="H145" s="17"/>
      <c r="I145" s="18"/>
      <c r="J145" s="19"/>
      <c r="K145" s="14"/>
      <c r="L145" s="17"/>
      <c r="M145" s="19"/>
      <c r="N145" s="20"/>
      <c r="O145" s="19"/>
      <c r="P145" s="21"/>
      <c r="Q145" s="22" t="str">
        <f aca="false">IF(L145="","",IF(M145&lt;&gt;"",M145*L145*100,IF(AND(O145&lt;&gt;"",B145&lt;&gt;""),IFERROR(AVERAGEIF($B$5:$B$1004,B145,$M$5:$M$1004)*L145*100,""),"")))</f>
        <v/>
      </c>
      <c r="R145" s="22" t="str">
        <f aca="false">IF(AND(O145&lt;&gt;"",L145&lt;&gt;""),O145*L145*100,"")</f>
        <v/>
      </c>
      <c r="S145" s="23" t="str">
        <f aca="false">IF(AND(P145&lt;&gt;"",L145&lt;&gt;""),P145*L145*100,"")</f>
        <v/>
      </c>
      <c r="T145" s="24" t="str">
        <f aca="false">IF(AND(Q145&lt;&gt;"",R145&lt;&gt;""),R145-Q145,"")</f>
        <v/>
      </c>
      <c r="U145" s="25" t="str">
        <f aca="false">IF(AND(Q145&lt;&gt;"",Q145&lt;&gt;0,T145&lt;&gt;""),T145/Q145,"")</f>
        <v/>
      </c>
      <c r="V145" s="26" t="str">
        <f aca="false">IF(AND(S145&lt;&gt;"",Q145&lt;&gt;""),S145-Q145,"")</f>
        <v/>
      </c>
      <c r="W145" s="27" t="str">
        <f aca="false">IF(AND(Q145&lt;&gt;"",Q145&lt;&gt;0,V145&lt;&gt;""),V145/Q145,"")</f>
        <v/>
      </c>
      <c r="X145" s="28" t="s">
        <v>37</v>
      </c>
      <c r="Y145" s="29" t="str">
        <f aca="false">IF(AND(O145&lt;&gt;"",M145&lt;&gt;"",O145&gt;M145),CONCATENATE("1 : ",TEXT((O145-M145)/M145,"0.00")),IF(AND(O145&lt;&gt;"",M145&lt;&gt;"",O145&lt;M145),CONCATENATE("-1 : ",TEXT((M145-O145)/M145,"0.00")),"—"))</f>
        <v>—</v>
      </c>
      <c r="Z145" s="30" t="str">
        <f aca="false">IF(AND(P145&lt;&gt;"",M145&lt;&gt;"",P145&gt;M145),CONCATENATE("1 : ",TEXT((P145-M145)/M145,"0.00")),"—")</f>
        <v>—</v>
      </c>
      <c r="AA145" s="31" t="str">
        <f aca="false">IF(AND(C145&lt;&gt;"",E145&lt;&gt;""),E145-C145,"")</f>
        <v/>
      </c>
      <c r="AB145" s="17"/>
      <c r="AC145" s="32"/>
      <c r="AD145" s="33"/>
      <c r="AE145" s="34" t="str">
        <f aca="false">IF(G145&lt;&gt;"",HYPERLINK("https://www.tradingview.com/chart/?symbol="&amp;G145&amp;"&amp;interval=60&amp;from="&amp;(AG145-10*3600)&amp;"&amp;to="&amp;(AG145+50*3600),"📈 1H"),"")</f>
        <v/>
      </c>
      <c r="AF145" s="35" t="str">
        <f aca="false">IF(G145&lt;&gt;"",HYPERLINK("https://www.tradingview.com/chart/?symbol="&amp;G145&amp;"&amp;interval=240&amp;from="&amp;(AG145-10*14400)&amp;"&amp;to="&amp;(AG145+50*14400),"📈 4H"),"")</f>
        <v/>
      </c>
      <c r="AG145" s="36" t="str">
        <f aca="false">IF(C145&lt;&gt;"",INT((C145+IF(D145&lt;&gt;"",D145,0)-DATE(1970,1,1))*86400),"")</f>
        <v/>
      </c>
    </row>
    <row r="146" customFormat="false" ht="19.5" hidden="false" customHeight="true" outlineLevel="0" collapsed="false">
      <c r="A146" s="37" t="n">
        <f aca="false">ROW()-4</f>
        <v>142</v>
      </c>
      <c r="B146" s="38"/>
      <c r="C146" s="39"/>
      <c r="D146" s="40"/>
      <c r="E146" s="39"/>
      <c r="F146" s="40"/>
      <c r="G146" s="41"/>
      <c r="H146" s="42"/>
      <c r="I146" s="43"/>
      <c r="J146" s="44"/>
      <c r="K146" s="39"/>
      <c r="L146" s="42"/>
      <c r="M146" s="44"/>
      <c r="N146" s="45"/>
      <c r="O146" s="44"/>
      <c r="P146" s="46"/>
      <c r="Q146" s="47" t="str">
        <f aca="false">IF(L146="","",IF(M146&lt;&gt;"",M146*L146*100,IF(AND(O146&lt;&gt;"",B146&lt;&gt;""),IFERROR(AVERAGEIF($B$5:$B$1004,B146,$M$5:$M$1004)*L146*100,""),"")))</f>
        <v/>
      </c>
      <c r="R146" s="47" t="str">
        <f aca="false">IF(AND(O146&lt;&gt;"",L146&lt;&gt;""),O146*L146*100,"")</f>
        <v/>
      </c>
      <c r="S146" s="48" t="str">
        <f aca="false">IF(AND(P146&lt;&gt;"",L146&lt;&gt;""),P146*L146*100,"")</f>
        <v/>
      </c>
      <c r="T146" s="49" t="str">
        <f aca="false">IF(AND(Q146&lt;&gt;"",R146&lt;&gt;""),R146-Q146,"")</f>
        <v/>
      </c>
      <c r="U146" s="50" t="str">
        <f aca="false">IF(AND(Q146&lt;&gt;"",Q146&lt;&gt;0,T146&lt;&gt;""),T146/Q146,"")</f>
        <v/>
      </c>
      <c r="V146" s="51" t="str">
        <f aca="false">IF(AND(S146&lt;&gt;"",Q146&lt;&gt;""),S146-Q146,"")</f>
        <v/>
      </c>
      <c r="W146" s="52" t="str">
        <f aca="false">IF(AND(Q146&lt;&gt;"",Q146&lt;&gt;0,V146&lt;&gt;""),V146/Q146,"")</f>
        <v/>
      </c>
      <c r="X146" s="53" t="s">
        <v>37</v>
      </c>
      <c r="Y146" s="54" t="str">
        <f aca="false">IF(AND(O146&lt;&gt;"",M146&lt;&gt;"",O146&gt;M146),CONCATENATE("1 : ",TEXT((O146-M146)/M146,"0.00")),IF(AND(O146&lt;&gt;"",M146&lt;&gt;"",O146&lt;M146),CONCATENATE("-1 : ",TEXT((M146-O146)/M146,"0.00")),"—"))</f>
        <v>—</v>
      </c>
      <c r="Z146" s="55" t="str">
        <f aca="false">IF(AND(P146&lt;&gt;"",M146&lt;&gt;"",P146&gt;M146),CONCATENATE("1 : ",TEXT((P146-M146)/M146,"0.00")),"—")</f>
        <v>—</v>
      </c>
      <c r="AA146" s="56" t="str">
        <f aca="false">IF(AND(C146&lt;&gt;"",E146&lt;&gt;""),E146-C146,"")</f>
        <v/>
      </c>
      <c r="AB146" s="42"/>
      <c r="AC146" s="57"/>
      <c r="AD146" s="58"/>
      <c r="AE146" s="59" t="str">
        <f aca="false">IF(G146&lt;&gt;"",HYPERLINK("https://www.tradingview.com/chart/?symbol="&amp;G146&amp;"&amp;interval=60&amp;from="&amp;(AG146-10*3600)&amp;"&amp;to="&amp;(AG146+50*3600),"📈 1H"),"")</f>
        <v/>
      </c>
      <c r="AF146" s="60" t="str">
        <f aca="false">IF(G146&lt;&gt;"",HYPERLINK("https://www.tradingview.com/chart/?symbol="&amp;G146&amp;"&amp;interval=240&amp;from="&amp;(AG146-10*14400)&amp;"&amp;to="&amp;(AG146+50*14400),"📈 4H"),"")</f>
        <v/>
      </c>
      <c r="AG146" s="36" t="str">
        <f aca="false">IF(C146&lt;&gt;"",INT((C146+IF(D146&lt;&gt;"",D146,0)-DATE(1970,1,1))*86400),"")</f>
        <v/>
      </c>
    </row>
    <row r="147" customFormat="false" ht="19.5" hidden="false" customHeight="true" outlineLevel="0" collapsed="false">
      <c r="A147" s="12" t="n">
        <f aca="false">ROW()-4</f>
        <v>143</v>
      </c>
      <c r="B147" s="13"/>
      <c r="C147" s="14"/>
      <c r="D147" s="15"/>
      <c r="E147" s="14"/>
      <c r="F147" s="15"/>
      <c r="G147" s="16"/>
      <c r="H147" s="17"/>
      <c r="I147" s="18"/>
      <c r="J147" s="19"/>
      <c r="K147" s="14"/>
      <c r="L147" s="17"/>
      <c r="M147" s="19"/>
      <c r="N147" s="20"/>
      <c r="O147" s="19"/>
      <c r="P147" s="21"/>
      <c r="Q147" s="22" t="str">
        <f aca="false">IF(L147="","",IF(M147&lt;&gt;"",M147*L147*100,IF(AND(O147&lt;&gt;"",B147&lt;&gt;""),IFERROR(AVERAGEIF($B$5:$B$1004,B147,$M$5:$M$1004)*L147*100,""),"")))</f>
        <v/>
      </c>
      <c r="R147" s="22" t="str">
        <f aca="false">IF(AND(O147&lt;&gt;"",L147&lt;&gt;""),O147*L147*100,"")</f>
        <v/>
      </c>
      <c r="S147" s="23" t="str">
        <f aca="false">IF(AND(P147&lt;&gt;"",L147&lt;&gt;""),P147*L147*100,"")</f>
        <v/>
      </c>
      <c r="T147" s="24" t="str">
        <f aca="false">IF(AND(Q147&lt;&gt;"",R147&lt;&gt;""),R147-Q147,"")</f>
        <v/>
      </c>
      <c r="U147" s="25" t="str">
        <f aca="false">IF(AND(Q147&lt;&gt;"",Q147&lt;&gt;0,T147&lt;&gt;""),T147/Q147,"")</f>
        <v/>
      </c>
      <c r="V147" s="26" t="str">
        <f aca="false">IF(AND(S147&lt;&gt;"",Q147&lt;&gt;""),S147-Q147,"")</f>
        <v/>
      </c>
      <c r="W147" s="27" t="str">
        <f aca="false">IF(AND(Q147&lt;&gt;"",Q147&lt;&gt;0,V147&lt;&gt;""),V147/Q147,"")</f>
        <v/>
      </c>
      <c r="X147" s="28" t="s">
        <v>37</v>
      </c>
      <c r="Y147" s="29" t="str">
        <f aca="false">IF(AND(O147&lt;&gt;"",M147&lt;&gt;"",O147&gt;M147),CONCATENATE("1 : ",TEXT((O147-M147)/M147,"0.00")),IF(AND(O147&lt;&gt;"",M147&lt;&gt;"",O147&lt;M147),CONCATENATE("-1 : ",TEXT((M147-O147)/M147,"0.00")),"—"))</f>
        <v>—</v>
      </c>
      <c r="Z147" s="30" t="str">
        <f aca="false">IF(AND(P147&lt;&gt;"",M147&lt;&gt;"",P147&gt;M147),CONCATENATE("1 : ",TEXT((P147-M147)/M147,"0.00")),"—")</f>
        <v>—</v>
      </c>
      <c r="AA147" s="31" t="str">
        <f aca="false">IF(AND(C147&lt;&gt;"",E147&lt;&gt;""),E147-C147,"")</f>
        <v/>
      </c>
      <c r="AB147" s="17"/>
      <c r="AC147" s="32"/>
      <c r="AD147" s="33"/>
      <c r="AE147" s="34" t="str">
        <f aca="false">IF(G147&lt;&gt;"",HYPERLINK("https://www.tradingview.com/chart/?symbol="&amp;G147&amp;"&amp;interval=60&amp;from="&amp;(AG147-10*3600)&amp;"&amp;to="&amp;(AG147+50*3600),"📈 1H"),"")</f>
        <v/>
      </c>
      <c r="AF147" s="35" t="str">
        <f aca="false">IF(G147&lt;&gt;"",HYPERLINK("https://www.tradingview.com/chart/?symbol="&amp;G147&amp;"&amp;interval=240&amp;from="&amp;(AG147-10*14400)&amp;"&amp;to="&amp;(AG147+50*14400),"📈 4H"),"")</f>
        <v/>
      </c>
      <c r="AG147" s="36" t="str">
        <f aca="false">IF(C147&lt;&gt;"",INT((C147+IF(D147&lt;&gt;"",D147,0)-DATE(1970,1,1))*86400),"")</f>
        <v/>
      </c>
    </row>
    <row r="148" customFormat="false" ht="19.5" hidden="false" customHeight="true" outlineLevel="0" collapsed="false">
      <c r="A148" s="37" t="n">
        <f aca="false">ROW()-4</f>
        <v>144</v>
      </c>
      <c r="B148" s="38"/>
      <c r="C148" s="39"/>
      <c r="D148" s="40"/>
      <c r="E148" s="39"/>
      <c r="F148" s="40"/>
      <c r="G148" s="41"/>
      <c r="H148" s="42"/>
      <c r="I148" s="43"/>
      <c r="J148" s="44"/>
      <c r="K148" s="39"/>
      <c r="L148" s="42"/>
      <c r="M148" s="44"/>
      <c r="N148" s="45"/>
      <c r="O148" s="44"/>
      <c r="P148" s="46"/>
      <c r="Q148" s="47" t="str">
        <f aca="false">IF(L148="","",IF(M148&lt;&gt;"",M148*L148*100,IF(AND(O148&lt;&gt;"",B148&lt;&gt;""),IFERROR(AVERAGEIF($B$5:$B$1004,B148,$M$5:$M$1004)*L148*100,""),"")))</f>
        <v/>
      </c>
      <c r="R148" s="47" t="str">
        <f aca="false">IF(AND(O148&lt;&gt;"",L148&lt;&gt;""),O148*L148*100,"")</f>
        <v/>
      </c>
      <c r="S148" s="48" t="str">
        <f aca="false">IF(AND(P148&lt;&gt;"",L148&lt;&gt;""),P148*L148*100,"")</f>
        <v/>
      </c>
      <c r="T148" s="49" t="str">
        <f aca="false">IF(AND(Q148&lt;&gt;"",R148&lt;&gt;""),R148-Q148,"")</f>
        <v/>
      </c>
      <c r="U148" s="50" t="str">
        <f aca="false">IF(AND(Q148&lt;&gt;"",Q148&lt;&gt;0,T148&lt;&gt;""),T148/Q148,"")</f>
        <v/>
      </c>
      <c r="V148" s="51" t="str">
        <f aca="false">IF(AND(S148&lt;&gt;"",Q148&lt;&gt;""),S148-Q148,"")</f>
        <v/>
      </c>
      <c r="W148" s="52" t="str">
        <f aca="false">IF(AND(Q148&lt;&gt;"",Q148&lt;&gt;0,V148&lt;&gt;""),V148/Q148,"")</f>
        <v/>
      </c>
      <c r="X148" s="53" t="s">
        <v>37</v>
      </c>
      <c r="Y148" s="54" t="str">
        <f aca="false">IF(AND(O148&lt;&gt;"",M148&lt;&gt;"",O148&gt;M148),CONCATENATE("1 : ",TEXT((O148-M148)/M148,"0.00")),IF(AND(O148&lt;&gt;"",M148&lt;&gt;"",O148&lt;M148),CONCATENATE("-1 : ",TEXT((M148-O148)/M148,"0.00")),"—"))</f>
        <v>—</v>
      </c>
      <c r="Z148" s="55" t="str">
        <f aca="false">IF(AND(P148&lt;&gt;"",M148&lt;&gt;"",P148&gt;M148),CONCATENATE("1 : ",TEXT((P148-M148)/M148,"0.00")),"—")</f>
        <v>—</v>
      </c>
      <c r="AA148" s="56" t="str">
        <f aca="false">IF(AND(C148&lt;&gt;"",E148&lt;&gt;""),E148-C148,"")</f>
        <v/>
      </c>
      <c r="AB148" s="42"/>
      <c r="AC148" s="57"/>
      <c r="AD148" s="58"/>
      <c r="AE148" s="59" t="str">
        <f aca="false">IF(G148&lt;&gt;"",HYPERLINK("https://www.tradingview.com/chart/?symbol="&amp;G148&amp;"&amp;interval=60&amp;from="&amp;(AG148-10*3600)&amp;"&amp;to="&amp;(AG148+50*3600),"📈 1H"),"")</f>
        <v/>
      </c>
      <c r="AF148" s="60" t="str">
        <f aca="false">IF(G148&lt;&gt;"",HYPERLINK("https://www.tradingview.com/chart/?symbol="&amp;G148&amp;"&amp;interval=240&amp;from="&amp;(AG148-10*14400)&amp;"&amp;to="&amp;(AG148+50*14400),"📈 4H"),"")</f>
        <v/>
      </c>
      <c r="AG148" s="36" t="str">
        <f aca="false">IF(C148&lt;&gt;"",INT((C148+IF(D148&lt;&gt;"",D148,0)-DATE(1970,1,1))*86400),"")</f>
        <v/>
      </c>
    </row>
    <row r="149" customFormat="false" ht="19.5" hidden="false" customHeight="true" outlineLevel="0" collapsed="false">
      <c r="A149" s="12" t="n">
        <f aca="false">ROW()-4</f>
        <v>145</v>
      </c>
      <c r="B149" s="13"/>
      <c r="C149" s="14"/>
      <c r="D149" s="15"/>
      <c r="E149" s="14"/>
      <c r="F149" s="15"/>
      <c r="G149" s="16"/>
      <c r="H149" s="17"/>
      <c r="I149" s="18"/>
      <c r="J149" s="19"/>
      <c r="K149" s="14"/>
      <c r="L149" s="17"/>
      <c r="M149" s="19"/>
      <c r="N149" s="20"/>
      <c r="O149" s="19"/>
      <c r="P149" s="21"/>
      <c r="Q149" s="22" t="str">
        <f aca="false">IF(L149="","",IF(M149&lt;&gt;"",M149*L149*100,IF(AND(O149&lt;&gt;"",B149&lt;&gt;""),IFERROR(AVERAGEIF($B$5:$B$1004,B149,$M$5:$M$1004)*L149*100,""),"")))</f>
        <v/>
      </c>
      <c r="R149" s="22" t="str">
        <f aca="false">IF(AND(O149&lt;&gt;"",L149&lt;&gt;""),O149*L149*100,"")</f>
        <v/>
      </c>
      <c r="S149" s="23" t="str">
        <f aca="false">IF(AND(P149&lt;&gt;"",L149&lt;&gt;""),P149*L149*100,"")</f>
        <v/>
      </c>
      <c r="T149" s="24" t="str">
        <f aca="false">IF(AND(Q149&lt;&gt;"",R149&lt;&gt;""),R149-Q149,"")</f>
        <v/>
      </c>
      <c r="U149" s="25" t="str">
        <f aca="false">IF(AND(Q149&lt;&gt;"",Q149&lt;&gt;0,T149&lt;&gt;""),T149/Q149,"")</f>
        <v/>
      </c>
      <c r="V149" s="26" t="str">
        <f aca="false">IF(AND(S149&lt;&gt;"",Q149&lt;&gt;""),S149-Q149,"")</f>
        <v/>
      </c>
      <c r="W149" s="27" t="str">
        <f aca="false">IF(AND(Q149&lt;&gt;"",Q149&lt;&gt;0,V149&lt;&gt;""),V149/Q149,"")</f>
        <v/>
      </c>
      <c r="X149" s="28" t="s">
        <v>37</v>
      </c>
      <c r="Y149" s="29" t="str">
        <f aca="false">IF(AND(O149&lt;&gt;"",M149&lt;&gt;"",O149&gt;M149),CONCATENATE("1 : ",TEXT((O149-M149)/M149,"0.00")),IF(AND(O149&lt;&gt;"",M149&lt;&gt;"",O149&lt;M149),CONCATENATE("-1 : ",TEXT((M149-O149)/M149,"0.00")),"—"))</f>
        <v>—</v>
      </c>
      <c r="Z149" s="30" t="str">
        <f aca="false">IF(AND(P149&lt;&gt;"",M149&lt;&gt;"",P149&gt;M149),CONCATENATE("1 : ",TEXT((P149-M149)/M149,"0.00")),"—")</f>
        <v>—</v>
      </c>
      <c r="AA149" s="31" t="str">
        <f aca="false">IF(AND(C149&lt;&gt;"",E149&lt;&gt;""),E149-C149,"")</f>
        <v/>
      </c>
      <c r="AB149" s="17"/>
      <c r="AC149" s="32"/>
      <c r="AD149" s="33"/>
      <c r="AE149" s="34" t="str">
        <f aca="false">IF(G149&lt;&gt;"",HYPERLINK("https://www.tradingview.com/chart/?symbol="&amp;G149&amp;"&amp;interval=60&amp;from="&amp;(AG149-10*3600)&amp;"&amp;to="&amp;(AG149+50*3600),"📈 1H"),"")</f>
        <v/>
      </c>
      <c r="AF149" s="35" t="str">
        <f aca="false">IF(G149&lt;&gt;"",HYPERLINK("https://www.tradingview.com/chart/?symbol="&amp;G149&amp;"&amp;interval=240&amp;from="&amp;(AG149-10*14400)&amp;"&amp;to="&amp;(AG149+50*14400),"📈 4H"),"")</f>
        <v/>
      </c>
      <c r="AG149" s="36" t="str">
        <f aca="false">IF(C149&lt;&gt;"",INT((C149+IF(D149&lt;&gt;"",D149,0)-DATE(1970,1,1))*86400),"")</f>
        <v/>
      </c>
    </row>
    <row r="150" customFormat="false" ht="19.5" hidden="false" customHeight="true" outlineLevel="0" collapsed="false">
      <c r="A150" s="37" t="n">
        <f aca="false">ROW()-4</f>
        <v>146</v>
      </c>
      <c r="B150" s="38"/>
      <c r="C150" s="39"/>
      <c r="D150" s="40"/>
      <c r="E150" s="39"/>
      <c r="F150" s="40"/>
      <c r="G150" s="41"/>
      <c r="H150" s="42"/>
      <c r="I150" s="43"/>
      <c r="J150" s="44"/>
      <c r="K150" s="39"/>
      <c r="L150" s="42"/>
      <c r="M150" s="44"/>
      <c r="N150" s="45"/>
      <c r="O150" s="44"/>
      <c r="P150" s="46"/>
      <c r="Q150" s="47" t="str">
        <f aca="false">IF(L150="","",IF(M150&lt;&gt;"",M150*L150*100,IF(AND(O150&lt;&gt;"",B150&lt;&gt;""),IFERROR(AVERAGEIF($B$5:$B$1004,B150,$M$5:$M$1004)*L150*100,""),"")))</f>
        <v/>
      </c>
      <c r="R150" s="47" t="str">
        <f aca="false">IF(AND(O150&lt;&gt;"",L150&lt;&gt;""),O150*L150*100,"")</f>
        <v/>
      </c>
      <c r="S150" s="48" t="str">
        <f aca="false">IF(AND(P150&lt;&gt;"",L150&lt;&gt;""),P150*L150*100,"")</f>
        <v/>
      </c>
      <c r="T150" s="49" t="str">
        <f aca="false">IF(AND(Q150&lt;&gt;"",R150&lt;&gt;""),R150-Q150,"")</f>
        <v/>
      </c>
      <c r="U150" s="50" t="str">
        <f aca="false">IF(AND(Q150&lt;&gt;"",Q150&lt;&gt;0,T150&lt;&gt;""),T150/Q150,"")</f>
        <v/>
      </c>
      <c r="V150" s="51" t="str">
        <f aca="false">IF(AND(S150&lt;&gt;"",Q150&lt;&gt;""),S150-Q150,"")</f>
        <v/>
      </c>
      <c r="W150" s="52" t="str">
        <f aca="false">IF(AND(Q150&lt;&gt;"",Q150&lt;&gt;0,V150&lt;&gt;""),V150/Q150,"")</f>
        <v/>
      </c>
      <c r="X150" s="53" t="s">
        <v>37</v>
      </c>
      <c r="Y150" s="54" t="str">
        <f aca="false">IF(AND(O150&lt;&gt;"",M150&lt;&gt;"",O150&gt;M150),CONCATENATE("1 : ",TEXT((O150-M150)/M150,"0.00")),IF(AND(O150&lt;&gt;"",M150&lt;&gt;"",O150&lt;M150),CONCATENATE("-1 : ",TEXT((M150-O150)/M150,"0.00")),"—"))</f>
        <v>—</v>
      </c>
      <c r="Z150" s="55" t="str">
        <f aca="false">IF(AND(P150&lt;&gt;"",M150&lt;&gt;"",P150&gt;M150),CONCATENATE("1 : ",TEXT((P150-M150)/M150,"0.00")),"—")</f>
        <v>—</v>
      </c>
      <c r="AA150" s="56" t="str">
        <f aca="false">IF(AND(C150&lt;&gt;"",E150&lt;&gt;""),E150-C150,"")</f>
        <v/>
      </c>
      <c r="AB150" s="42"/>
      <c r="AC150" s="57"/>
      <c r="AD150" s="58"/>
      <c r="AE150" s="59" t="str">
        <f aca="false">IF(G150&lt;&gt;"",HYPERLINK("https://www.tradingview.com/chart/?symbol="&amp;G150&amp;"&amp;interval=60&amp;from="&amp;(AG150-10*3600)&amp;"&amp;to="&amp;(AG150+50*3600),"📈 1H"),"")</f>
        <v/>
      </c>
      <c r="AF150" s="60" t="str">
        <f aca="false">IF(G150&lt;&gt;"",HYPERLINK("https://www.tradingview.com/chart/?symbol="&amp;G150&amp;"&amp;interval=240&amp;from="&amp;(AG150-10*14400)&amp;"&amp;to="&amp;(AG150+50*14400),"📈 4H"),"")</f>
        <v/>
      </c>
      <c r="AG150" s="36" t="str">
        <f aca="false">IF(C150&lt;&gt;"",INT((C150+IF(D150&lt;&gt;"",D150,0)-DATE(1970,1,1))*86400),"")</f>
        <v/>
      </c>
    </row>
    <row r="151" customFormat="false" ht="19.5" hidden="false" customHeight="true" outlineLevel="0" collapsed="false">
      <c r="A151" s="12" t="n">
        <f aca="false">ROW()-4</f>
        <v>147</v>
      </c>
      <c r="B151" s="13"/>
      <c r="C151" s="14"/>
      <c r="D151" s="15"/>
      <c r="E151" s="14"/>
      <c r="F151" s="15"/>
      <c r="G151" s="16"/>
      <c r="H151" s="17"/>
      <c r="I151" s="18"/>
      <c r="J151" s="19"/>
      <c r="K151" s="14"/>
      <c r="L151" s="17"/>
      <c r="M151" s="19"/>
      <c r="N151" s="20"/>
      <c r="O151" s="19"/>
      <c r="P151" s="21"/>
      <c r="Q151" s="22" t="str">
        <f aca="false">IF(L151="","",IF(M151&lt;&gt;"",M151*L151*100,IF(AND(O151&lt;&gt;"",B151&lt;&gt;""),IFERROR(AVERAGEIF($B$5:$B$1004,B151,$M$5:$M$1004)*L151*100,""),"")))</f>
        <v/>
      </c>
      <c r="R151" s="22" t="str">
        <f aca="false">IF(AND(O151&lt;&gt;"",L151&lt;&gt;""),O151*L151*100,"")</f>
        <v/>
      </c>
      <c r="S151" s="23" t="str">
        <f aca="false">IF(AND(P151&lt;&gt;"",L151&lt;&gt;""),P151*L151*100,"")</f>
        <v/>
      </c>
      <c r="T151" s="24" t="str">
        <f aca="false">IF(AND(Q151&lt;&gt;"",R151&lt;&gt;""),R151-Q151,"")</f>
        <v/>
      </c>
      <c r="U151" s="25" t="str">
        <f aca="false">IF(AND(Q151&lt;&gt;"",Q151&lt;&gt;0,T151&lt;&gt;""),T151/Q151,"")</f>
        <v/>
      </c>
      <c r="V151" s="26" t="str">
        <f aca="false">IF(AND(S151&lt;&gt;"",Q151&lt;&gt;""),S151-Q151,"")</f>
        <v/>
      </c>
      <c r="W151" s="27" t="str">
        <f aca="false">IF(AND(Q151&lt;&gt;"",Q151&lt;&gt;0,V151&lt;&gt;""),V151/Q151,"")</f>
        <v/>
      </c>
      <c r="X151" s="28" t="s">
        <v>37</v>
      </c>
      <c r="Y151" s="29" t="str">
        <f aca="false">IF(AND(O151&lt;&gt;"",M151&lt;&gt;"",O151&gt;M151),CONCATENATE("1 : ",TEXT((O151-M151)/M151,"0.00")),IF(AND(O151&lt;&gt;"",M151&lt;&gt;"",O151&lt;M151),CONCATENATE("-1 : ",TEXT((M151-O151)/M151,"0.00")),"—"))</f>
        <v>—</v>
      </c>
      <c r="Z151" s="30" t="str">
        <f aca="false">IF(AND(P151&lt;&gt;"",M151&lt;&gt;"",P151&gt;M151),CONCATENATE("1 : ",TEXT((P151-M151)/M151,"0.00")),"—")</f>
        <v>—</v>
      </c>
      <c r="AA151" s="31" t="str">
        <f aca="false">IF(AND(C151&lt;&gt;"",E151&lt;&gt;""),E151-C151,"")</f>
        <v/>
      </c>
      <c r="AB151" s="17"/>
      <c r="AC151" s="32"/>
      <c r="AD151" s="33"/>
      <c r="AE151" s="34" t="str">
        <f aca="false">IF(G151&lt;&gt;"",HYPERLINK("https://www.tradingview.com/chart/?symbol="&amp;G151&amp;"&amp;interval=60&amp;from="&amp;(AG151-10*3600)&amp;"&amp;to="&amp;(AG151+50*3600),"📈 1H"),"")</f>
        <v/>
      </c>
      <c r="AF151" s="35" t="str">
        <f aca="false">IF(G151&lt;&gt;"",HYPERLINK("https://www.tradingview.com/chart/?symbol="&amp;G151&amp;"&amp;interval=240&amp;from="&amp;(AG151-10*14400)&amp;"&amp;to="&amp;(AG151+50*14400),"📈 4H"),"")</f>
        <v/>
      </c>
      <c r="AG151" s="36" t="str">
        <f aca="false">IF(C151&lt;&gt;"",INT((C151+IF(D151&lt;&gt;"",D151,0)-DATE(1970,1,1))*86400),"")</f>
        <v/>
      </c>
    </row>
    <row r="152" customFormat="false" ht="19.5" hidden="false" customHeight="true" outlineLevel="0" collapsed="false">
      <c r="A152" s="37" t="n">
        <f aca="false">ROW()-4</f>
        <v>148</v>
      </c>
      <c r="B152" s="38"/>
      <c r="C152" s="39"/>
      <c r="D152" s="40"/>
      <c r="E152" s="39"/>
      <c r="F152" s="40"/>
      <c r="G152" s="41"/>
      <c r="H152" s="42"/>
      <c r="I152" s="43"/>
      <c r="J152" s="44"/>
      <c r="K152" s="39"/>
      <c r="L152" s="42"/>
      <c r="M152" s="44"/>
      <c r="N152" s="45"/>
      <c r="O152" s="44"/>
      <c r="P152" s="46"/>
      <c r="Q152" s="47" t="str">
        <f aca="false">IF(L152="","",IF(M152&lt;&gt;"",M152*L152*100,IF(AND(O152&lt;&gt;"",B152&lt;&gt;""),IFERROR(AVERAGEIF($B$5:$B$1004,B152,$M$5:$M$1004)*L152*100,""),"")))</f>
        <v/>
      </c>
      <c r="R152" s="47" t="str">
        <f aca="false">IF(AND(O152&lt;&gt;"",L152&lt;&gt;""),O152*L152*100,"")</f>
        <v/>
      </c>
      <c r="S152" s="48" t="str">
        <f aca="false">IF(AND(P152&lt;&gt;"",L152&lt;&gt;""),P152*L152*100,"")</f>
        <v/>
      </c>
      <c r="T152" s="49" t="str">
        <f aca="false">IF(AND(Q152&lt;&gt;"",R152&lt;&gt;""),R152-Q152,"")</f>
        <v/>
      </c>
      <c r="U152" s="50" t="str">
        <f aca="false">IF(AND(Q152&lt;&gt;"",Q152&lt;&gt;0,T152&lt;&gt;""),T152/Q152,"")</f>
        <v/>
      </c>
      <c r="V152" s="51" t="str">
        <f aca="false">IF(AND(S152&lt;&gt;"",Q152&lt;&gt;""),S152-Q152,"")</f>
        <v/>
      </c>
      <c r="W152" s="52" t="str">
        <f aca="false">IF(AND(Q152&lt;&gt;"",Q152&lt;&gt;0,V152&lt;&gt;""),V152/Q152,"")</f>
        <v/>
      </c>
      <c r="X152" s="53" t="s">
        <v>37</v>
      </c>
      <c r="Y152" s="54" t="str">
        <f aca="false">IF(AND(O152&lt;&gt;"",M152&lt;&gt;"",O152&gt;M152),CONCATENATE("1 : ",TEXT((O152-M152)/M152,"0.00")),IF(AND(O152&lt;&gt;"",M152&lt;&gt;"",O152&lt;M152),CONCATENATE("-1 : ",TEXT((M152-O152)/M152,"0.00")),"—"))</f>
        <v>—</v>
      </c>
      <c r="Z152" s="55" t="str">
        <f aca="false">IF(AND(P152&lt;&gt;"",M152&lt;&gt;"",P152&gt;M152),CONCATENATE("1 : ",TEXT((P152-M152)/M152,"0.00")),"—")</f>
        <v>—</v>
      </c>
      <c r="AA152" s="56" t="str">
        <f aca="false">IF(AND(C152&lt;&gt;"",E152&lt;&gt;""),E152-C152,"")</f>
        <v/>
      </c>
      <c r="AB152" s="42"/>
      <c r="AC152" s="57"/>
      <c r="AD152" s="58"/>
      <c r="AE152" s="59" t="str">
        <f aca="false">IF(G152&lt;&gt;"",HYPERLINK("https://www.tradingview.com/chart/?symbol="&amp;G152&amp;"&amp;interval=60&amp;from="&amp;(AG152-10*3600)&amp;"&amp;to="&amp;(AG152+50*3600),"📈 1H"),"")</f>
        <v/>
      </c>
      <c r="AF152" s="60" t="str">
        <f aca="false">IF(G152&lt;&gt;"",HYPERLINK("https://www.tradingview.com/chart/?symbol="&amp;G152&amp;"&amp;interval=240&amp;from="&amp;(AG152-10*14400)&amp;"&amp;to="&amp;(AG152+50*14400),"📈 4H"),"")</f>
        <v/>
      </c>
      <c r="AG152" s="36" t="str">
        <f aca="false">IF(C152&lt;&gt;"",INT((C152+IF(D152&lt;&gt;"",D152,0)-DATE(1970,1,1))*86400),"")</f>
        <v/>
      </c>
    </row>
    <row r="153" customFormat="false" ht="19.5" hidden="false" customHeight="true" outlineLevel="0" collapsed="false">
      <c r="A153" s="12" t="n">
        <f aca="false">ROW()-4</f>
        <v>149</v>
      </c>
      <c r="B153" s="13"/>
      <c r="C153" s="14"/>
      <c r="D153" s="15"/>
      <c r="E153" s="14"/>
      <c r="F153" s="15"/>
      <c r="G153" s="16"/>
      <c r="H153" s="17"/>
      <c r="I153" s="18"/>
      <c r="J153" s="19"/>
      <c r="K153" s="14"/>
      <c r="L153" s="17"/>
      <c r="M153" s="19"/>
      <c r="N153" s="20"/>
      <c r="O153" s="19"/>
      <c r="P153" s="21"/>
      <c r="Q153" s="22" t="str">
        <f aca="false">IF(L153="","",IF(M153&lt;&gt;"",M153*L153*100,IF(AND(O153&lt;&gt;"",B153&lt;&gt;""),IFERROR(AVERAGEIF($B$5:$B$1004,B153,$M$5:$M$1004)*L153*100,""),"")))</f>
        <v/>
      </c>
      <c r="R153" s="22" t="str">
        <f aca="false">IF(AND(O153&lt;&gt;"",L153&lt;&gt;""),O153*L153*100,"")</f>
        <v/>
      </c>
      <c r="S153" s="23" t="str">
        <f aca="false">IF(AND(P153&lt;&gt;"",L153&lt;&gt;""),P153*L153*100,"")</f>
        <v/>
      </c>
      <c r="T153" s="24" t="str">
        <f aca="false">IF(AND(Q153&lt;&gt;"",R153&lt;&gt;""),R153-Q153,"")</f>
        <v/>
      </c>
      <c r="U153" s="25" t="str">
        <f aca="false">IF(AND(Q153&lt;&gt;"",Q153&lt;&gt;0,T153&lt;&gt;""),T153/Q153,"")</f>
        <v/>
      </c>
      <c r="V153" s="26" t="str">
        <f aca="false">IF(AND(S153&lt;&gt;"",Q153&lt;&gt;""),S153-Q153,"")</f>
        <v/>
      </c>
      <c r="W153" s="27" t="str">
        <f aca="false">IF(AND(Q153&lt;&gt;"",Q153&lt;&gt;0,V153&lt;&gt;""),V153/Q153,"")</f>
        <v/>
      </c>
      <c r="X153" s="28" t="s">
        <v>37</v>
      </c>
      <c r="Y153" s="29" t="str">
        <f aca="false">IF(AND(O153&lt;&gt;"",M153&lt;&gt;"",O153&gt;M153),CONCATENATE("1 : ",TEXT((O153-M153)/M153,"0.00")),IF(AND(O153&lt;&gt;"",M153&lt;&gt;"",O153&lt;M153),CONCATENATE("-1 : ",TEXT((M153-O153)/M153,"0.00")),"—"))</f>
        <v>—</v>
      </c>
      <c r="Z153" s="30" t="str">
        <f aca="false">IF(AND(P153&lt;&gt;"",M153&lt;&gt;"",P153&gt;M153),CONCATENATE("1 : ",TEXT((P153-M153)/M153,"0.00")),"—")</f>
        <v>—</v>
      </c>
      <c r="AA153" s="31" t="str">
        <f aca="false">IF(AND(C153&lt;&gt;"",E153&lt;&gt;""),E153-C153,"")</f>
        <v/>
      </c>
      <c r="AB153" s="17"/>
      <c r="AC153" s="32"/>
      <c r="AD153" s="33"/>
      <c r="AE153" s="34" t="str">
        <f aca="false">IF(G153&lt;&gt;"",HYPERLINK("https://www.tradingview.com/chart/?symbol="&amp;G153&amp;"&amp;interval=60&amp;from="&amp;(AG153-10*3600)&amp;"&amp;to="&amp;(AG153+50*3600),"📈 1H"),"")</f>
        <v/>
      </c>
      <c r="AF153" s="35" t="str">
        <f aca="false">IF(G153&lt;&gt;"",HYPERLINK("https://www.tradingview.com/chart/?symbol="&amp;G153&amp;"&amp;interval=240&amp;from="&amp;(AG153-10*14400)&amp;"&amp;to="&amp;(AG153+50*14400),"📈 4H"),"")</f>
        <v/>
      </c>
      <c r="AG153" s="36" t="str">
        <f aca="false">IF(C153&lt;&gt;"",INT((C153+IF(D153&lt;&gt;"",D153,0)-DATE(1970,1,1))*86400),"")</f>
        <v/>
      </c>
    </row>
    <row r="154" customFormat="false" ht="19.5" hidden="false" customHeight="true" outlineLevel="0" collapsed="false">
      <c r="A154" s="37" t="n">
        <f aca="false">ROW()-4</f>
        <v>150</v>
      </c>
      <c r="B154" s="38"/>
      <c r="C154" s="39"/>
      <c r="D154" s="40"/>
      <c r="E154" s="39"/>
      <c r="F154" s="40"/>
      <c r="G154" s="41"/>
      <c r="H154" s="42"/>
      <c r="I154" s="43"/>
      <c r="J154" s="44"/>
      <c r="K154" s="39"/>
      <c r="L154" s="42"/>
      <c r="M154" s="44"/>
      <c r="N154" s="45"/>
      <c r="O154" s="44"/>
      <c r="P154" s="46"/>
      <c r="Q154" s="47" t="str">
        <f aca="false">IF(L154="","",IF(M154&lt;&gt;"",M154*L154*100,IF(AND(O154&lt;&gt;"",B154&lt;&gt;""),IFERROR(AVERAGEIF($B$5:$B$1004,B154,$M$5:$M$1004)*L154*100,""),"")))</f>
        <v/>
      </c>
      <c r="R154" s="47" t="str">
        <f aca="false">IF(AND(O154&lt;&gt;"",L154&lt;&gt;""),O154*L154*100,"")</f>
        <v/>
      </c>
      <c r="S154" s="48" t="str">
        <f aca="false">IF(AND(P154&lt;&gt;"",L154&lt;&gt;""),P154*L154*100,"")</f>
        <v/>
      </c>
      <c r="T154" s="49" t="str">
        <f aca="false">IF(AND(Q154&lt;&gt;"",R154&lt;&gt;""),R154-Q154,"")</f>
        <v/>
      </c>
      <c r="U154" s="50" t="str">
        <f aca="false">IF(AND(Q154&lt;&gt;"",Q154&lt;&gt;0,T154&lt;&gt;""),T154/Q154,"")</f>
        <v/>
      </c>
      <c r="V154" s="51" t="str">
        <f aca="false">IF(AND(S154&lt;&gt;"",Q154&lt;&gt;""),S154-Q154,"")</f>
        <v/>
      </c>
      <c r="W154" s="52" t="str">
        <f aca="false">IF(AND(Q154&lt;&gt;"",Q154&lt;&gt;0,V154&lt;&gt;""),V154/Q154,"")</f>
        <v/>
      </c>
      <c r="X154" s="53" t="s">
        <v>37</v>
      </c>
      <c r="Y154" s="54" t="str">
        <f aca="false">IF(AND(O154&lt;&gt;"",M154&lt;&gt;"",O154&gt;M154),CONCATENATE("1 : ",TEXT((O154-M154)/M154,"0.00")),IF(AND(O154&lt;&gt;"",M154&lt;&gt;"",O154&lt;M154),CONCATENATE("-1 : ",TEXT((M154-O154)/M154,"0.00")),"—"))</f>
        <v>—</v>
      </c>
      <c r="Z154" s="55" t="str">
        <f aca="false">IF(AND(P154&lt;&gt;"",M154&lt;&gt;"",P154&gt;M154),CONCATENATE("1 : ",TEXT((P154-M154)/M154,"0.00")),"—")</f>
        <v>—</v>
      </c>
      <c r="AA154" s="56" t="str">
        <f aca="false">IF(AND(C154&lt;&gt;"",E154&lt;&gt;""),E154-C154,"")</f>
        <v/>
      </c>
      <c r="AB154" s="42"/>
      <c r="AC154" s="57"/>
      <c r="AD154" s="58"/>
      <c r="AE154" s="59" t="str">
        <f aca="false">IF(G154&lt;&gt;"",HYPERLINK("https://www.tradingview.com/chart/?symbol="&amp;G154&amp;"&amp;interval=60&amp;from="&amp;(AG154-10*3600)&amp;"&amp;to="&amp;(AG154+50*3600),"📈 1H"),"")</f>
        <v/>
      </c>
      <c r="AF154" s="60" t="str">
        <f aca="false">IF(G154&lt;&gt;"",HYPERLINK("https://www.tradingview.com/chart/?symbol="&amp;G154&amp;"&amp;interval=240&amp;from="&amp;(AG154-10*14400)&amp;"&amp;to="&amp;(AG154+50*14400),"📈 4H"),"")</f>
        <v/>
      </c>
      <c r="AG154" s="36" t="str">
        <f aca="false">IF(C154&lt;&gt;"",INT((C154+IF(D154&lt;&gt;"",D154,0)-DATE(1970,1,1))*86400),"")</f>
        <v/>
      </c>
    </row>
    <row r="155" customFormat="false" ht="19.5" hidden="false" customHeight="true" outlineLevel="0" collapsed="false">
      <c r="A155" s="12" t="n">
        <f aca="false">ROW()-4</f>
        <v>151</v>
      </c>
      <c r="B155" s="13"/>
      <c r="C155" s="14"/>
      <c r="D155" s="15"/>
      <c r="E155" s="14"/>
      <c r="F155" s="15"/>
      <c r="G155" s="16"/>
      <c r="H155" s="17"/>
      <c r="I155" s="18"/>
      <c r="J155" s="19"/>
      <c r="K155" s="14"/>
      <c r="L155" s="17"/>
      <c r="M155" s="19"/>
      <c r="N155" s="20"/>
      <c r="O155" s="19"/>
      <c r="P155" s="21"/>
      <c r="Q155" s="22" t="str">
        <f aca="false">IF(L155="","",IF(M155&lt;&gt;"",M155*L155*100,IF(AND(O155&lt;&gt;"",B155&lt;&gt;""),IFERROR(AVERAGEIF($B$5:$B$1004,B155,$M$5:$M$1004)*L155*100,""),"")))</f>
        <v/>
      </c>
      <c r="R155" s="22" t="str">
        <f aca="false">IF(AND(O155&lt;&gt;"",L155&lt;&gt;""),O155*L155*100,"")</f>
        <v/>
      </c>
      <c r="S155" s="23" t="str">
        <f aca="false">IF(AND(P155&lt;&gt;"",L155&lt;&gt;""),P155*L155*100,"")</f>
        <v/>
      </c>
      <c r="T155" s="24" t="str">
        <f aca="false">IF(AND(Q155&lt;&gt;"",R155&lt;&gt;""),R155-Q155,"")</f>
        <v/>
      </c>
      <c r="U155" s="25" t="str">
        <f aca="false">IF(AND(Q155&lt;&gt;"",Q155&lt;&gt;0,T155&lt;&gt;""),T155/Q155,"")</f>
        <v/>
      </c>
      <c r="V155" s="26" t="str">
        <f aca="false">IF(AND(S155&lt;&gt;"",Q155&lt;&gt;""),S155-Q155,"")</f>
        <v/>
      </c>
      <c r="W155" s="27" t="str">
        <f aca="false">IF(AND(Q155&lt;&gt;"",Q155&lt;&gt;0,V155&lt;&gt;""),V155/Q155,"")</f>
        <v/>
      </c>
      <c r="X155" s="28" t="s">
        <v>37</v>
      </c>
      <c r="Y155" s="29" t="str">
        <f aca="false">IF(AND(O155&lt;&gt;"",M155&lt;&gt;"",O155&gt;M155),CONCATENATE("1 : ",TEXT((O155-M155)/M155,"0.00")),IF(AND(O155&lt;&gt;"",M155&lt;&gt;"",O155&lt;M155),CONCATENATE("-1 : ",TEXT((M155-O155)/M155,"0.00")),"—"))</f>
        <v>—</v>
      </c>
      <c r="Z155" s="30" t="str">
        <f aca="false">IF(AND(P155&lt;&gt;"",M155&lt;&gt;"",P155&gt;M155),CONCATENATE("1 : ",TEXT((P155-M155)/M155,"0.00")),"—")</f>
        <v>—</v>
      </c>
      <c r="AA155" s="31" t="str">
        <f aca="false">IF(AND(C155&lt;&gt;"",E155&lt;&gt;""),E155-C155,"")</f>
        <v/>
      </c>
      <c r="AB155" s="17"/>
      <c r="AC155" s="32"/>
      <c r="AD155" s="33"/>
      <c r="AE155" s="34" t="str">
        <f aca="false">IF(G155&lt;&gt;"",HYPERLINK("https://www.tradingview.com/chart/?symbol="&amp;G155&amp;"&amp;interval=60&amp;from="&amp;(AG155-10*3600)&amp;"&amp;to="&amp;(AG155+50*3600),"📈 1H"),"")</f>
        <v/>
      </c>
      <c r="AF155" s="35" t="str">
        <f aca="false">IF(G155&lt;&gt;"",HYPERLINK("https://www.tradingview.com/chart/?symbol="&amp;G155&amp;"&amp;interval=240&amp;from="&amp;(AG155-10*14400)&amp;"&amp;to="&amp;(AG155+50*14400),"📈 4H"),"")</f>
        <v/>
      </c>
      <c r="AG155" s="36" t="str">
        <f aca="false">IF(C155&lt;&gt;"",INT((C155+IF(D155&lt;&gt;"",D155,0)-DATE(1970,1,1))*86400),"")</f>
        <v/>
      </c>
    </row>
    <row r="156" customFormat="false" ht="19.5" hidden="false" customHeight="true" outlineLevel="0" collapsed="false">
      <c r="A156" s="37" t="n">
        <f aca="false">ROW()-4</f>
        <v>152</v>
      </c>
      <c r="B156" s="38"/>
      <c r="C156" s="39"/>
      <c r="D156" s="40"/>
      <c r="E156" s="39"/>
      <c r="F156" s="40"/>
      <c r="G156" s="41"/>
      <c r="H156" s="42"/>
      <c r="I156" s="43"/>
      <c r="J156" s="44"/>
      <c r="K156" s="39"/>
      <c r="L156" s="42"/>
      <c r="M156" s="44"/>
      <c r="N156" s="45"/>
      <c r="O156" s="44"/>
      <c r="P156" s="46"/>
      <c r="Q156" s="47" t="str">
        <f aca="false">IF(L156="","",IF(M156&lt;&gt;"",M156*L156*100,IF(AND(O156&lt;&gt;"",B156&lt;&gt;""),IFERROR(AVERAGEIF($B$5:$B$1004,B156,$M$5:$M$1004)*L156*100,""),"")))</f>
        <v/>
      </c>
      <c r="R156" s="47" t="str">
        <f aca="false">IF(AND(O156&lt;&gt;"",L156&lt;&gt;""),O156*L156*100,"")</f>
        <v/>
      </c>
      <c r="S156" s="48" t="str">
        <f aca="false">IF(AND(P156&lt;&gt;"",L156&lt;&gt;""),P156*L156*100,"")</f>
        <v/>
      </c>
      <c r="T156" s="49" t="str">
        <f aca="false">IF(AND(Q156&lt;&gt;"",R156&lt;&gt;""),R156-Q156,"")</f>
        <v/>
      </c>
      <c r="U156" s="50" t="str">
        <f aca="false">IF(AND(Q156&lt;&gt;"",Q156&lt;&gt;0,T156&lt;&gt;""),T156/Q156,"")</f>
        <v/>
      </c>
      <c r="V156" s="51" t="str">
        <f aca="false">IF(AND(S156&lt;&gt;"",Q156&lt;&gt;""),S156-Q156,"")</f>
        <v/>
      </c>
      <c r="W156" s="52" t="str">
        <f aca="false">IF(AND(Q156&lt;&gt;"",Q156&lt;&gt;0,V156&lt;&gt;""),V156/Q156,"")</f>
        <v/>
      </c>
      <c r="X156" s="53" t="s">
        <v>37</v>
      </c>
      <c r="Y156" s="54" t="str">
        <f aca="false">IF(AND(O156&lt;&gt;"",M156&lt;&gt;"",O156&gt;M156),CONCATENATE("1 : ",TEXT((O156-M156)/M156,"0.00")),IF(AND(O156&lt;&gt;"",M156&lt;&gt;"",O156&lt;M156),CONCATENATE("-1 : ",TEXT((M156-O156)/M156,"0.00")),"—"))</f>
        <v>—</v>
      </c>
      <c r="Z156" s="55" t="str">
        <f aca="false">IF(AND(P156&lt;&gt;"",M156&lt;&gt;"",P156&gt;M156),CONCATENATE("1 : ",TEXT((P156-M156)/M156,"0.00")),"—")</f>
        <v>—</v>
      </c>
      <c r="AA156" s="56" t="str">
        <f aca="false">IF(AND(C156&lt;&gt;"",E156&lt;&gt;""),E156-C156,"")</f>
        <v/>
      </c>
      <c r="AB156" s="42"/>
      <c r="AC156" s="57"/>
      <c r="AD156" s="58"/>
      <c r="AE156" s="59" t="str">
        <f aca="false">IF(G156&lt;&gt;"",HYPERLINK("https://www.tradingview.com/chart/?symbol="&amp;G156&amp;"&amp;interval=60&amp;from="&amp;(AG156-10*3600)&amp;"&amp;to="&amp;(AG156+50*3600),"📈 1H"),"")</f>
        <v/>
      </c>
      <c r="AF156" s="60" t="str">
        <f aca="false">IF(G156&lt;&gt;"",HYPERLINK("https://www.tradingview.com/chart/?symbol="&amp;G156&amp;"&amp;interval=240&amp;from="&amp;(AG156-10*14400)&amp;"&amp;to="&amp;(AG156+50*14400),"📈 4H"),"")</f>
        <v/>
      </c>
      <c r="AG156" s="36" t="str">
        <f aca="false">IF(C156&lt;&gt;"",INT((C156+IF(D156&lt;&gt;"",D156,0)-DATE(1970,1,1))*86400),"")</f>
        <v/>
      </c>
    </row>
    <row r="157" customFormat="false" ht="19.5" hidden="false" customHeight="true" outlineLevel="0" collapsed="false">
      <c r="A157" s="12" t="n">
        <f aca="false">ROW()-4</f>
        <v>153</v>
      </c>
      <c r="B157" s="13"/>
      <c r="C157" s="14"/>
      <c r="D157" s="15"/>
      <c r="E157" s="14"/>
      <c r="F157" s="15"/>
      <c r="G157" s="16"/>
      <c r="H157" s="17"/>
      <c r="I157" s="18"/>
      <c r="J157" s="19"/>
      <c r="K157" s="14"/>
      <c r="L157" s="17"/>
      <c r="M157" s="19"/>
      <c r="N157" s="20"/>
      <c r="O157" s="19"/>
      <c r="P157" s="21"/>
      <c r="Q157" s="22" t="str">
        <f aca="false">IF(L157="","",IF(M157&lt;&gt;"",M157*L157*100,IF(AND(O157&lt;&gt;"",B157&lt;&gt;""),IFERROR(AVERAGEIF($B$5:$B$1004,B157,$M$5:$M$1004)*L157*100,""),"")))</f>
        <v/>
      </c>
      <c r="R157" s="22" t="str">
        <f aca="false">IF(AND(O157&lt;&gt;"",L157&lt;&gt;""),O157*L157*100,"")</f>
        <v/>
      </c>
      <c r="S157" s="23" t="str">
        <f aca="false">IF(AND(P157&lt;&gt;"",L157&lt;&gt;""),P157*L157*100,"")</f>
        <v/>
      </c>
      <c r="T157" s="24" t="str">
        <f aca="false">IF(AND(Q157&lt;&gt;"",R157&lt;&gt;""),R157-Q157,"")</f>
        <v/>
      </c>
      <c r="U157" s="25" t="str">
        <f aca="false">IF(AND(Q157&lt;&gt;"",Q157&lt;&gt;0,T157&lt;&gt;""),T157/Q157,"")</f>
        <v/>
      </c>
      <c r="V157" s="26" t="str">
        <f aca="false">IF(AND(S157&lt;&gt;"",Q157&lt;&gt;""),S157-Q157,"")</f>
        <v/>
      </c>
      <c r="W157" s="27" t="str">
        <f aca="false">IF(AND(Q157&lt;&gt;"",Q157&lt;&gt;0,V157&lt;&gt;""),V157/Q157,"")</f>
        <v/>
      </c>
      <c r="X157" s="28" t="s">
        <v>37</v>
      </c>
      <c r="Y157" s="29" t="str">
        <f aca="false">IF(AND(O157&lt;&gt;"",M157&lt;&gt;"",O157&gt;M157),CONCATENATE("1 : ",TEXT((O157-M157)/M157,"0.00")),IF(AND(O157&lt;&gt;"",M157&lt;&gt;"",O157&lt;M157),CONCATENATE("-1 : ",TEXT((M157-O157)/M157,"0.00")),"—"))</f>
        <v>—</v>
      </c>
      <c r="Z157" s="30" t="str">
        <f aca="false">IF(AND(P157&lt;&gt;"",M157&lt;&gt;"",P157&gt;M157),CONCATENATE("1 : ",TEXT((P157-M157)/M157,"0.00")),"—")</f>
        <v>—</v>
      </c>
      <c r="AA157" s="31" t="str">
        <f aca="false">IF(AND(C157&lt;&gt;"",E157&lt;&gt;""),E157-C157,"")</f>
        <v/>
      </c>
      <c r="AB157" s="17"/>
      <c r="AC157" s="32"/>
      <c r="AD157" s="33"/>
      <c r="AE157" s="34" t="str">
        <f aca="false">IF(G157&lt;&gt;"",HYPERLINK("https://www.tradingview.com/chart/?symbol="&amp;G157&amp;"&amp;interval=60&amp;from="&amp;(AG157-10*3600)&amp;"&amp;to="&amp;(AG157+50*3600),"📈 1H"),"")</f>
        <v/>
      </c>
      <c r="AF157" s="35" t="str">
        <f aca="false">IF(G157&lt;&gt;"",HYPERLINK("https://www.tradingview.com/chart/?symbol="&amp;G157&amp;"&amp;interval=240&amp;from="&amp;(AG157-10*14400)&amp;"&amp;to="&amp;(AG157+50*14400),"📈 4H"),"")</f>
        <v/>
      </c>
      <c r="AG157" s="36" t="str">
        <f aca="false">IF(C157&lt;&gt;"",INT((C157+IF(D157&lt;&gt;"",D157,0)-DATE(1970,1,1))*86400),"")</f>
        <v/>
      </c>
    </row>
    <row r="158" customFormat="false" ht="19.5" hidden="false" customHeight="true" outlineLevel="0" collapsed="false">
      <c r="A158" s="37" t="n">
        <f aca="false">ROW()-4</f>
        <v>154</v>
      </c>
      <c r="B158" s="38"/>
      <c r="C158" s="39"/>
      <c r="D158" s="40"/>
      <c r="E158" s="39"/>
      <c r="F158" s="40"/>
      <c r="G158" s="41"/>
      <c r="H158" s="42"/>
      <c r="I158" s="43"/>
      <c r="J158" s="44"/>
      <c r="K158" s="39"/>
      <c r="L158" s="42"/>
      <c r="M158" s="44"/>
      <c r="N158" s="45"/>
      <c r="O158" s="44"/>
      <c r="P158" s="46"/>
      <c r="Q158" s="47" t="str">
        <f aca="false">IF(L158="","",IF(M158&lt;&gt;"",M158*L158*100,IF(AND(O158&lt;&gt;"",B158&lt;&gt;""),IFERROR(AVERAGEIF($B$5:$B$1004,B158,$M$5:$M$1004)*L158*100,""),"")))</f>
        <v/>
      </c>
      <c r="R158" s="47" t="str">
        <f aca="false">IF(AND(O158&lt;&gt;"",L158&lt;&gt;""),O158*L158*100,"")</f>
        <v/>
      </c>
      <c r="S158" s="48" t="str">
        <f aca="false">IF(AND(P158&lt;&gt;"",L158&lt;&gt;""),P158*L158*100,"")</f>
        <v/>
      </c>
      <c r="T158" s="49" t="str">
        <f aca="false">IF(AND(Q158&lt;&gt;"",R158&lt;&gt;""),R158-Q158,"")</f>
        <v/>
      </c>
      <c r="U158" s="50" t="str">
        <f aca="false">IF(AND(Q158&lt;&gt;"",Q158&lt;&gt;0,T158&lt;&gt;""),T158/Q158,"")</f>
        <v/>
      </c>
      <c r="V158" s="51" t="str">
        <f aca="false">IF(AND(S158&lt;&gt;"",Q158&lt;&gt;""),S158-Q158,"")</f>
        <v/>
      </c>
      <c r="W158" s="52" t="str">
        <f aca="false">IF(AND(Q158&lt;&gt;"",Q158&lt;&gt;0,V158&lt;&gt;""),V158/Q158,"")</f>
        <v/>
      </c>
      <c r="X158" s="53" t="s">
        <v>37</v>
      </c>
      <c r="Y158" s="54" t="str">
        <f aca="false">IF(AND(O158&lt;&gt;"",M158&lt;&gt;"",O158&gt;M158),CONCATENATE("1 : ",TEXT((O158-M158)/M158,"0.00")),IF(AND(O158&lt;&gt;"",M158&lt;&gt;"",O158&lt;M158),CONCATENATE("-1 : ",TEXT((M158-O158)/M158,"0.00")),"—"))</f>
        <v>—</v>
      </c>
      <c r="Z158" s="55" t="str">
        <f aca="false">IF(AND(P158&lt;&gt;"",M158&lt;&gt;"",P158&gt;M158),CONCATENATE("1 : ",TEXT((P158-M158)/M158,"0.00")),"—")</f>
        <v>—</v>
      </c>
      <c r="AA158" s="56" t="str">
        <f aca="false">IF(AND(C158&lt;&gt;"",E158&lt;&gt;""),E158-C158,"")</f>
        <v/>
      </c>
      <c r="AB158" s="42"/>
      <c r="AC158" s="57"/>
      <c r="AD158" s="58"/>
      <c r="AE158" s="59" t="str">
        <f aca="false">IF(G158&lt;&gt;"",HYPERLINK("https://www.tradingview.com/chart/?symbol="&amp;G158&amp;"&amp;interval=60&amp;from="&amp;(AG158-10*3600)&amp;"&amp;to="&amp;(AG158+50*3600),"📈 1H"),"")</f>
        <v/>
      </c>
      <c r="AF158" s="60" t="str">
        <f aca="false">IF(G158&lt;&gt;"",HYPERLINK("https://www.tradingview.com/chart/?symbol="&amp;G158&amp;"&amp;interval=240&amp;from="&amp;(AG158-10*14400)&amp;"&amp;to="&amp;(AG158+50*14400),"📈 4H"),"")</f>
        <v/>
      </c>
      <c r="AG158" s="36" t="str">
        <f aca="false">IF(C158&lt;&gt;"",INT((C158+IF(D158&lt;&gt;"",D158,0)-DATE(1970,1,1))*86400),"")</f>
        <v/>
      </c>
    </row>
    <row r="159" customFormat="false" ht="19.5" hidden="false" customHeight="true" outlineLevel="0" collapsed="false">
      <c r="A159" s="12" t="n">
        <f aca="false">ROW()-4</f>
        <v>155</v>
      </c>
      <c r="B159" s="13"/>
      <c r="C159" s="14"/>
      <c r="D159" s="15"/>
      <c r="E159" s="14"/>
      <c r="F159" s="15"/>
      <c r="G159" s="16"/>
      <c r="H159" s="17"/>
      <c r="I159" s="18"/>
      <c r="J159" s="19"/>
      <c r="K159" s="14"/>
      <c r="L159" s="17"/>
      <c r="M159" s="19"/>
      <c r="N159" s="20"/>
      <c r="O159" s="19"/>
      <c r="P159" s="21"/>
      <c r="Q159" s="22" t="str">
        <f aca="false">IF(L159="","",IF(M159&lt;&gt;"",M159*L159*100,IF(AND(O159&lt;&gt;"",B159&lt;&gt;""),IFERROR(AVERAGEIF($B$5:$B$1004,B159,$M$5:$M$1004)*L159*100,""),"")))</f>
        <v/>
      </c>
      <c r="R159" s="22" t="str">
        <f aca="false">IF(AND(O159&lt;&gt;"",L159&lt;&gt;""),O159*L159*100,"")</f>
        <v/>
      </c>
      <c r="S159" s="23" t="str">
        <f aca="false">IF(AND(P159&lt;&gt;"",L159&lt;&gt;""),P159*L159*100,"")</f>
        <v/>
      </c>
      <c r="T159" s="24" t="str">
        <f aca="false">IF(AND(Q159&lt;&gt;"",R159&lt;&gt;""),R159-Q159,"")</f>
        <v/>
      </c>
      <c r="U159" s="25" t="str">
        <f aca="false">IF(AND(Q159&lt;&gt;"",Q159&lt;&gt;0,T159&lt;&gt;""),T159/Q159,"")</f>
        <v/>
      </c>
      <c r="V159" s="26" t="str">
        <f aca="false">IF(AND(S159&lt;&gt;"",Q159&lt;&gt;""),S159-Q159,"")</f>
        <v/>
      </c>
      <c r="W159" s="27" t="str">
        <f aca="false">IF(AND(Q159&lt;&gt;"",Q159&lt;&gt;0,V159&lt;&gt;""),V159/Q159,"")</f>
        <v/>
      </c>
      <c r="X159" s="28" t="s">
        <v>37</v>
      </c>
      <c r="Y159" s="29" t="str">
        <f aca="false">IF(AND(O159&lt;&gt;"",M159&lt;&gt;"",O159&gt;M159),CONCATENATE("1 : ",TEXT((O159-M159)/M159,"0.00")),IF(AND(O159&lt;&gt;"",M159&lt;&gt;"",O159&lt;M159),CONCATENATE("-1 : ",TEXT((M159-O159)/M159,"0.00")),"—"))</f>
        <v>—</v>
      </c>
      <c r="Z159" s="30" t="str">
        <f aca="false">IF(AND(P159&lt;&gt;"",M159&lt;&gt;"",P159&gt;M159),CONCATENATE("1 : ",TEXT((P159-M159)/M159,"0.00")),"—")</f>
        <v>—</v>
      </c>
      <c r="AA159" s="31" t="str">
        <f aca="false">IF(AND(C159&lt;&gt;"",E159&lt;&gt;""),E159-C159,"")</f>
        <v/>
      </c>
      <c r="AB159" s="17"/>
      <c r="AC159" s="32"/>
      <c r="AD159" s="33"/>
      <c r="AE159" s="34" t="str">
        <f aca="false">IF(G159&lt;&gt;"",HYPERLINK("https://www.tradingview.com/chart/?symbol="&amp;G159&amp;"&amp;interval=60&amp;from="&amp;(AG159-10*3600)&amp;"&amp;to="&amp;(AG159+50*3600),"📈 1H"),"")</f>
        <v/>
      </c>
      <c r="AF159" s="35" t="str">
        <f aca="false">IF(G159&lt;&gt;"",HYPERLINK("https://www.tradingview.com/chart/?symbol="&amp;G159&amp;"&amp;interval=240&amp;from="&amp;(AG159-10*14400)&amp;"&amp;to="&amp;(AG159+50*14400),"📈 4H"),"")</f>
        <v/>
      </c>
      <c r="AG159" s="36" t="str">
        <f aca="false">IF(C159&lt;&gt;"",INT((C159+IF(D159&lt;&gt;"",D159,0)-DATE(1970,1,1))*86400),"")</f>
        <v/>
      </c>
    </row>
    <row r="160" customFormat="false" ht="19.5" hidden="false" customHeight="true" outlineLevel="0" collapsed="false">
      <c r="A160" s="37" t="n">
        <f aca="false">ROW()-4</f>
        <v>156</v>
      </c>
      <c r="B160" s="38"/>
      <c r="C160" s="39"/>
      <c r="D160" s="40"/>
      <c r="E160" s="39"/>
      <c r="F160" s="40"/>
      <c r="G160" s="41"/>
      <c r="H160" s="42"/>
      <c r="I160" s="43"/>
      <c r="J160" s="44"/>
      <c r="K160" s="39"/>
      <c r="L160" s="42"/>
      <c r="M160" s="44"/>
      <c r="N160" s="45"/>
      <c r="O160" s="44"/>
      <c r="P160" s="46"/>
      <c r="Q160" s="47" t="str">
        <f aca="false">IF(L160="","",IF(M160&lt;&gt;"",M160*L160*100,IF(AND(O160&lt;&gt;"",B160&lt;&gt;""),IFERROR(AVERAGEIF($B$5:$B$1004,B160,$M$5:$M$1004)*L160*100,""),"")))</f>
        <v/>
      </c>
      <c r="R160" s="47" t="str">
        <f aca="false">IF(AND(O160&lt;&gt;"",L160&lt;&gt;""),O160*L160*100,"")</f>
        <v/>
      </c>
      <c r="S160" s="48" t="str">
        <f aca="false">IF(AND(P160&lt;&gt;"",L160&lt;&gt;""),P160*L160*100,"")</f>
        <v/>
      </c>
      <c r="T160" s="49" t="str">
        <f aca="false">IF(AND(Q160&lt;&gt;"",R160&lt;&gt;""),R160-Q160,"")</f>
        <v/>
      </c>
      <c r="U160" s="50" t="str">
        <f aca="false">IF(AND(Q160&lt;&gt;"",Q160&lt;&gt;0,T160&lt;&gt;""),T160/Q160,"")</f>
        <v/>
      </c>
      <c r="V160" s="51" t="str">
        <f aca="false">IF(AND(S160&lt;&gt;"",Q160&lt;&gt;""),S160-Q160,"")</f>
        <v/>
      </c>
      <c r="W160" s="52" t="str">
        <f aca="false">IF(AND(Q160&lt;&gt;"",Q160&lt;&gt;0,V160&lt;&gt;""),V160/Q160,"")</f>
        <v/>
      </c>
      <c r="X160" s="53" t="s">
        <v>37</v>
      </c>
      <c r="Y160" s="54" t="str">
        <f aca="false">IF(AND(O160&lt;&gt;"",M160&lt;&gt;"",O160&gt;M160),CONCATENATE("1 : ",TEXT((O160-M160)/M160,"0.00")),IF(AND(O160&lt;&gt;"",M160&lt;&gt;"",O160&lt;M160),CONCATENATE("-1 : ",TEXT((M160-O160)/M160,"0.00")),"—"))</f>
        <v>—</v>
      </c>
      <c r="Z160" s="55" t="str">
        <f aca="false">IF(AND(P160&lt;&gt;"",M160&lt;&gt;"",P160&gt;M160),CONCATENATE("1 : ",TEXT((P160-M160)/M160,"0.00")),"—")</f>
        <v>—</v>
      </c>
      <c r="AA160" s="56" t="str">
        <f aca="false">IF(AND(C160&lt;&gt;"",E160&lt;&gt;""),E160-C160,"")</f>
        <v/>
      </c>
      <c r="AB160" s="42"/>
      <c r="AC160" s="57"/>
      <c r="AD160" s="58"/>
      <c r="AE160" s="59" t="str">
        <f aca="false">IF(G160&lt;&gt;"",HYPERLINK("https://www.tradingview.com/chart/?symbol="&amp;G160&amp;"&amp;interval=60&amp;from="&amp;(AG160-10*3600)&amp;"&amp;to="&amp;(AG160+50*3600),"📈 1H"),"")</f>
        <v/>
      </c>
      <c r="AF160" s="60" t="str">
        <f aca="false">IF(G160&lt;&gt;"",HYPERLINK("https://www.tradingview.com/chart/?symbol="&amp;G160&amp;"&amp;interval=240&amp;from="&amp;(AG160-10*14400)&amp;"&amp;to="&amp;(AG160+50*14400),"📈 4H"),"")</f>
        <v/>
      </c>
      <c r="AG160" s="36" t="str">
        <f aca="false">IF(C160&lt;&gt;"",INT((C160+IF(D160&lt;&gt;"",D160,0)-DATE(1970,1,1))*86400),"")</f>
        <v/>
      </c>
    </row>
    <row r="161" customFormat="false" ht="19.5" hidden="false" customHeight="true" outlineLevel="0" collapsed="false">
      <c r="A161" s="12" t="n">
        <f aca="false">ROW()-4</f>
        <v>157</v>
      </c>
      <c r="B161" s="13"/>
      <c r="C161" s="14"/>
      <c r="D161" s="15"/>
      <c r="E161" s="14"/>
      <c r="F161" s="15"/>
      <c r="G161" s="16"/>
      <c r="H161" s="17"/>
      <c r="I161" s="18"/>
      <c r="J161" s="19"/>
      <c r="K161" s="14"/>
      <c r="L161" s="17"/>
      <c r="M161" s="19"/>
      <c r="N161" s="20"/>
      <c r="O161" s="19"/>
      <c r="P161" s="21"/>
      <c r="Q161" s="22" t="str">
        <f aca="false">IF(L161="","",IF(M161&lt;&gt;"",M161*L161*100,IF(AND(O161&lt;&gt;"",B161&lt;&gt;""),IFERROR(AVERAGEIF($B$5:$B$1004,B161,$M$5:$M$1004)*L161*100,""),"")))</f>
        <v/>
      </c>
      <c r="R161" s="22" t="str">
        <f aca="false">IF(AND(O161&lt;&gt;"",L161&lt;&gt;""),O161*L161*100,"")</f>
        <v/>
      </c>
      <c r="S161" s="23" t="str">
        <f aca="false">IF(AND(P161&lt;&gt;"",L161&lt;&gt;""),P161*L161*100,"")</f>
        <v/>
      </c>
      <c r="T161" s="24" t="str">
        <f aca="false">IF(AND(Q161&lt;&gt;"",R161&lt;&gt;""),R161-Q161,"")</f>
        <v/>
      </c>
      <c r="U161" s="25" t="str">
        <f aca="false">IF(AND(Q161&lt;&gt;"",Q161&lt;&gt;0,T161&lt;&gt;""),T161/Q161,"")</f>
        <v/>
      </c>
      <c r="V161" s="26" t="str">
        <f aca="false">IF(AND(S161&lt;&gt;"",Q161&lt;&gt;""),S161-Q161,"")</f>
        <v/>
      </c>
      <c r="W161" s="27" t="str">
        <f aca="false">IF(AND(Q161&lt;&gt;"",Q161&lt;&gt;0,V161&lt;&gt;""),V161/Q161,"")</f>
        <v/>
      </c>
      <c r="X161" s="28" t="s">
        <v>37</v>
      </c>
      <c r="Y161" s="29" t="str">
        <f aca="false">IF(AND(O161&lt;&gt;"",M161&lt;&gt;"",O161&gt;M161),CONCATENATE("1 : ",TEXT((O161-M161)/M161,"0.00")),IF(AND(O161&lt;&gt;"",M161&lt;&gt;"",O161&lt;M161),CONCATENATE("-1 : ",TEXT((M161-O161)/M161,"0.00")),"—"))</f>
        <v>—</v>
      </c>
      <c r="Z161" s="30" t="str">
        <f aca="false">IF(AND(P161&lt;&gt;"",M161&lt;&gt;"",P161&gt;M161),CONCATENATE("1 : ",TEXT((P161-M161)/M161,"0.00")),"—")</f>
        <v>—</v>
      </c>
      <c r="AA161" s="31" t="str">
        <f aca="false">IF(AND(C161&lt;&gt;"",E161&lt;&gt;""),E161-C161,"")</f>
        <v/>
      </c>
      <c r="AB161" s="17"/>
      <c r="AC161" s="32"/>
      <c r="AD161" s="33"/>
      <c r="AE161" s="34" t="str">
        <f aca="false">IF(G161&lt;&gt;"",HYPERLINK("https://www.tradingview.com/chart/?symbol="&amp;G161&amp;"&amp;interval=60&amp;from="&amp;(AG161-10*3600)&amp;"&amp;to="&amp;(AG161+50*3600),"📈 1H"),"")</f>
        <v/>
      </c>
      <c r="AF161" s="35" t="str">
        <f aca="false">IF(G161&lt;&gt;"",HYPERLINK("https://www.tradingview.com/chart/?symbol="&amp;G161&amp;"&amp;interval=240&amp;from="&amp;(AG161-10*14400)&amp;"&amp;to="&amp;(AG161+50*14400),"📈 4H"),"")</f>
        <v/>
      </c>
      <c r="AG161" s="36" t="str">
        <f aca="false">IF(C161&lt;&gt;"",INT((C161+IF(D161&lt;&gt;"",D161,0)-DATE(1970,1,1))*86400),"")</f>
        <v/>
      </c>
    </row>
    <row r="162" customFormat="false" ht="19.5" hidden="false" customHeight="true" outlineLevel="0" collapsed="false">
      <c r="A162" s="37" t="n">
        <f aca="false">ROW()-4</f>
        <v>158</v>
      </c>
      <c r="B162" s="38"/>
      <c r="C162" s="39"/>
      <c r="D162" s="40"/>
      <c r="E162" s="39"/>
      <c r="F162" s="40"/>
      <c r="G162" s="41"/>
      <c r="H162" s="42"/>
      <c r="I162" s="43"/>
      <c r="J162" s="44"/>
      <c r="K162" s="39"/>
      <c r="L162" s="42"/>
      <c r="M162" s="44"/>
      <c r="N162" s="45"/>
      <c r="O162" s="44"/>
      <c r="P162" s="46"/>
      <c r="Q162" s="47" t="str">
        <f aca="false">IF(L162="","",IF(M162&lt;&gt;"",M162*L162*100,IF(AND(O162&lt;&gt;"",B162&lt;&gt;""),IFERROR(AVERAGEIF($B$5:$B$1004,B162,$M$5:$M$1004)*L162*100,""),"")))</f>
        <v/>
      </c>
      <c r="R162" s="47" t="str">
        <f aca="false">IF(AND(O162&lt;&gt;"",L162&lt;&gt;""),O162*L162*100,"")</f>
        <v/>
      </c>
      <c r="S162" s="48" t="str">
        <f aca="false">IF(AND(P162&lt;&gt;"",L162&lt;&gt;""),P162*L162*100,"")</f>
        <v/>
      </c>
      <c r="T162" s="49" t="str">
        <f aca="false">IF(AND(Q162&lt;&gt;"",R162&lt;&gt;""),R162-Q162,"")</f>
        <v/>
      </c>
      <c r="U162" s="50" t="str">
        <f aca="false">IF(AND(Q162&lt;&gt;"",Q162&lt;&gt;0,T162&lt;&gt;""),T162/Q162,"")</f>
        <v/>
      </c>
      <c r="V162" s="51" t="str">
        <f aca="false">IF(AND(S162&lt;&gt;"",Q162&lt;&gt;""),S162-Q162,"")</f>
        <v/>
      </c>
      <c r="W162" s="52" t="str">
        <f aca="false">IF(AND(Q162&lt;&gt;"",Q162&lt;&gt;0,V162&lt;&gt;""),V162/Q162,"")</f>
        <v/>
      </c>
      <c r="X162" s="53" t="s">
        <v>37</v>
      </c>
      <c r="Y162" s="54" t="str">
        <f aca="false">IF(AND(O162&lt;&gt;"",M162&lt;&gt;"",O162&gt;M162),CONCATENATE("1 : ",TEXT((O162-M162)/M162,"0.00")),IF(AND(O162&lt;&gt;"",M162&lt;&gt;"",O162&lt;M162),CONCATENATE("-1 : ",TEXT((M162-O162)/M162,"0.00")),"—"))</f>
        <v>—</v>
      </c>
      <c r="Z162" s="55" t="str">
        <f aca="false">IF(AND(P162&lt;&gt;"",M162&lt;&gt;"",P162&gt;M162),CONCATENATE("1 : ",TEXT((P162-M162)/M162,"0.00")),"—")</f>
        <v>—</v>
      </c>
      <c r="AA162" s="56" t="str">
        <f aca="false">IF(AND(C162&lt;&gt;"",E162&lt;&gt;""),E162-C162,"")</f>
        <v/>
      </c>
      <c r="AB162" s="42"/>
      <c r="AC162" s="57"/>
      <c r="AD162" s="58"/>
      <c r="AE162" s="59" t="str">
        <f aca="false">IF(G162&lt;&gt;"",HYPERLINK("https://www.tradingview.com/chart/?symbol="&amp;G162&amp;"&amp;interval=60&amp;from="&amp;(AG162-10*3600)&amp;"&amp;to="&amp;(AG162+50*3600),"📈 1H"),"")</f>
        <v/>
      </c>
      <c r="AF162" s="60" t="str">
        <f aca="false">IF(G162&lt;&gt;"",HYPERLINK("https://www.tradingview.com/chart/?symbol="&amp;G162&amp;"&amp;interval=240&amp;from="&amp;(AG162-10*14400)&amp;"&amp;to="&amp;(AG162+50*14400),"📈 4H"),"")</f>
        <v/>
      </c>
      <c r="AG162" s="36" t="str">
        <f aca="false">IF(C162&lt;&gt;"",INT((C162+IF(D162&lt;&gt;"",D162,0)-DATE(1970,1,1))*86400),"")</f>
        <v/>
      </c>
    </row>
    <row r="163" customFormat="false" ht="19.5" hidden="false" customHeight="true" outlineLevel="0" collapsed="false">
      <c r="A163" s="12" t="n">
        <f aca="false">ROW()-4</f>
        <v>159</v>
      </c>
      <c r="B163" s="13"/>
      <c r="C163" s="14"/>
      <c r="D163" s="15"/>
      <c r="E163" s="14"/>
      <c r="F163" s="15"/>
      <c r="G163" s="16"/>
      <c r="H163" s="17"/>
      <c r="I163" s="18"/>
      <c r="J163" s="19"/>
      <c r="K163" s="14"/>
      <c r="L163" s="17"/>
      <c r="M163" s="19"/>
      <c r="N163" s="20"/>
      <c r="O163" s="19"/>
      <c r="P163" s="21"/>
      <c r="Q163" s="22" t="str">
        <f aca="false">IF(L163="","",IF(M163&lt;&gt;"",M163*L163*100,IF(AND(O163&lt;&gt;"",B163&lt;&gt;""),IFERROR(AVERAGEIF($B$5:$B$1004,B163,$M$5:$M$1004)*L163*100,""),"")))</f>
        <v/>
      </c>
      <c r="R163" s="22" t="str">
        <f aca="false">IF(AND(O163&lt;&gt;"",L163&lt;&gt;""),O163*L163*100,"")</f>
        <v/>
      </c>
      <c r="S163" s="23" t="str">
        <f aca="false">IF(AND(P163&lt;&gt;"",L163&lt;&gt;""),P163*L163*100,"")</f>
        <v/>
      </c>
      <c r="T163" s="24" t="str">
        <f aca="false">IF(AND(Q163&lt;&gt;"",R163&lt;&gt;""),R163-Q163,"")</f>
        <v/>
      </c>
      <c r="U163" s="25" t="str">
        <f aca="false">IF(AND(Q163&lt;&gt;"",Q163&lt;&gt;0,T163&lt;&gt;""),T163/Q163,"")</f>
        <v/>
      </c>
      <c r="V163" s="26" t="str">
        <f aca="false">IF(AND(S163&lt;&gt;"",Q163&lt;&gt;""),S163-Q163,"")</f>
        <v/>
      </c>
      <c r="W163" s="27" t="str">
        <f aca="false">IF(AND(Q163&lt;&gt;"",Q163&lt;&gt;0,V163&lt;&gt;""),V163/Q163,"")</f>
        <v/>
      </c>
      <c r="X163" s="28" t="s">
        <v>37</v>
      </c>
      <c r="Y163" s="29" t="str">
        <f aca="false">IF(AND(O163&lt;&gt;"",M163&lt;&gt;"",O163&gt;M163),CONCATENATE("1 : ",TEXT((O163-M163)/M163,"0.00")),IF(AND(O163&lt;&gt;"",M163&lt;&gt;"",O163&lt;M163),CONCATENATE("-1 : ",TEXT((M163-O163)/M163,"0.00")),"—"))</f>
        <v>—</v>
      </c>
      <c r="Z163" s="30" t="str">
        <f aca="false">IF(AND(P163&lt;&gt;"",M163&lt;&gt;"",P163&gt;M163),CONCATENATE("1 : ",TEXT((P163-M163)/M163,"0.00")),"—")</f>
        <v>—</v>
      </c>
      <c r="AA163" s="31" t="str">
        <f aca="false">IF(AND(C163&lt;&gt;"",E163&lt;&gt;""),E163-C163,"")</f>
        <v/>
      </c>
      <c r="AB163" s="17"/>
      <c r="AC163" s="32"/>
      <c r="AD163" s="33"/>
      <c r="AE163" s="34" t="str">
        <f aca="false">IF(G163&lt;&gt;"",HYPERLINK("https://www.tradingview.com/chart/?symbol="&amp;G163&amp;"&amp;interval=60&amp;from="&amp;(AG163-10*3600)&amp;"&amp;to="&amp;(AG163+50*3600),"📈 1H"),"")</f>
        <v/>
      </c>
      <c r="AF163" s="35" t="str">
        <f aca="false">IF(G163&lt;&gt;"",HYPERLINK("https://www.tradingview.com/chart/?symbol="&amp;G163&amp;"&amp;interval=240&amp;from="&amp;(AG163-10*14400)&amp;"&amp;to="&amp;(AG163+50*14400),"📈 4H"),"")</f>
        <v/>
      </c>
      <c r="AG163" s="36" t="str">
        <f aca="false">IF(C163&lt;&gt;"",INT((C163+IF(D163&lt;&gt;"",D163,0)-DATE(1970,1,1))*86400),"")</f>
        <v/>
      </c>
    </row>
    <row r="164" customFormat="false" ht="19.5" hidden="false" customHeight="true" outlineLevel="0" collapsed="false">
      <c r="A164" s="37" t="n">
        <f aca="false">ROW()-4</f>
        <v>160</v>
      </c>
      <c r="B164" s="38"/>
      <c r="C164" s="39"/>
      <c r="D164" s="40"/>
      <c r="E164" s="39"/>
      <c r="F164" s="40"/>
      <c r="G164" s="41"/>
      <c r="H164" s="42"/>
      <c r="I164" s="43"/>
      <c r="J164" s="44"/>
      <c r="K164" s="39"/>
      <c r="L164" s="42"/>
      <c r="M164" s="44"/>
      <c r="N164" s="45"/>
      <c r="O164" s="44"/>
      <c r="P164" s="46"/>
      <c r="Q164" s="47" t="str">
        <f aca="false">IF(L164="","",IF(M164&lt;&gt;"",M164*L164*100,IF(AND(O164&lt;&gt;"",B164&lt;&gt;""),IFERROR(AVERAGEIF($B$5:$B$1004,B164,$M$5:$M$1004)*L164*100,""),"")))</f>
        <v/>
      </c>
      <c r="R164" s="47" t="str">
        <f aca="false">IF(AND(O164&lt;&gt;"",L164&lt;&gt;""),O164*L164*100,"")</f>
        <v/>
      </c>
      <c r="S164" s="48" t="str">
        <f aca="false">IF(AND(P164&lt;&gt;"",L164&lt;&gt;""),P164*L164*100,"")</f>
        <v/>
      </c>
      <c r="T164" s="49" t="str">
        <f aca="false">IF(AND(Q164&lt;&gt;"",R164&lt;&gt;""),R164-Q164,"")</f>
        <v/>
      </c>
      <c r="U164" s="50" t="str">
        <f aca="false">IF(AND(Q164&lt;&gt;"",Q164&lt;&gt;0,T164&lt;&gt;""),T164/Q164,"")</f>
        <v/>
      </c>
      <c r="V164" s="51" t="str">
        <f aca="false">IF(AND(S164&lt;&gt;"",Q164&lt;&gt;""),S164-Q164,"")</f>
        <v/>
      </c>
      <c r="W164" s="52" t="str">
        <f aca="false">IF(AND(Q164&lt;&gt;"",Q164&lt;&gt;0,V164&lt;&gt;""),V164/Q164,"")</f>
        <v/>
      </c>
      <c r="X164" s="53" t="s">
        <v>37</v>
      </c>
      <c r="Y164" s="54" t="str">
        <f aca="false">IF(AND(O164&lt;&gt;"",M164&lt;&gt;"",O164&gt;M164),CONCATENATE("1 : ",TEXT((O164-M164)/M164,"0.00")),IF(AND(O164&lt;&gt;"",M164&lt;&gt;"",O164&lt;M164),CONCATENATE("-1 : ",TEXT((M164-O164)/M164,"0.00")),"—"))</f>
        <v>—</v>
      </c>
      <c r="Z164" s="55" t="str">
        <f aca="false">IF(AND(P164&lt;&gt;"",M164&lt;&gt;"",P164&gt;M164),CONCATENATE("1 : ",TEXT((P164-M164)/M164,"0.00")),"—")</f>
        <v>—</v>
      </c>
      <c r="AA164" s="56" t="str">
        <f aca="false">IF(AND(C164&lt;&gt;"",E164&lt;&gt;""),E164-C164,"")</f>
        <v/>
      </c>
      <c r="AB164" s="42"/>
      <c r="AC164" s="57"/>
      <c r="AD164" s="58"/>
      <c r="AE164" s="59" t="str">
        <f aca="false">IF(G164&lt;&gt;"",HYPERLINK("https://www.tradingview.com/chart/?symbol="&amp;G164&amp;"&amp;interval=60&amp;from="&amp;(AG164-10*3600)&amp;"&amp;to="&amp;(AG164+50*3600),"📈 1H"),"")</f>
        <v/>
      </c>
      <c r="AF164" s="60" t="str">
        <f aca="false">IF(G164&lt;&gt;"",HYPERLINK("https://www.tradingview.com/chart/?symbol="&amp;G164&amp;"&amp;interval=240&amp;from="&amp;(AG164-10*14400)&amp;"&amp;to="&amp;(AG164+50*14400),"📈 4H"),"")</f>
        <v/>
      </c>
      <c r="AG164" s="36" t="str">
        <f aca="false">IF(C164&lt;&gt;"",INT((C164+IF(D164&lt;&gt;"",D164,0)-DATE(1970,1,1))*86400),"")</f>
        <v/>
      </c>
    </row>
    <row r="165" customFormat="false" ht="19.5" hidden="false" customHeight="true" outlineLevel="0" collapsed="false">
      <c r="A165" s="12" t="n">
        <f aca="false">ROW()-4</f>
        <v>161</v>
      </c>
      <c r="B165" s="13"/>
      <c r="C165" s="14"/>
      <c r="D165" s="15"/>
      <c r="E165" s="14"/>
      <c r="F165" s="15"/>
      <c r="G165" s="16"/>
      <c r="H165" s="17"/>
      <c r="I165" s="18"/>
      <c r="J165" s="19"/>
      <c r="K165" s="14"/>
      <c r="L165" s="17"/>
      <c r="M165" s="19"/>
      <c r="N165" s="20"/>
      <c r="O165" s="19"/>
      <c r="P165" s="21"/>
      <c r="Q165" s="22" t="str">
        <f aca="false">IF(L165="","",IF(M165&lt;&gt;"",M165*L165*100,IF(AND(O165&lt;&gt;"",B165&lt;&gt;""),IFERROR(AVERAGEIF($B$5:$B$1004,B165,$M$5:$M$1004)*L165*100,""),"")))</f>
        <v/>
      </c>
      <c r="R165" s="22" t="str">
        <f aca="false">IF(AND(O165&lt;&gt;"",L165&lt;&gt;""),O165*L165*100,"")</f>
        <v/>
      </c>
      <c r="S165" s="23" t="str">
        <f aca="false">IF(AND(P165&lt;&gt;"",L165&lt;&gt;""),P165*L165*100,"")</f>
        <v/>
      </c>
      <c r="T165" s="24" t="str">
        <f aca="false">IF(AND(Q165&lt;&gt;"",R165&lt;&gt;""),R165-Q165,"")</f>
        <v/>
      </c>
      <c r="U165" s="25" t="str">
        <f aca="false">IF(AND(Q165&lt;&gt;"",Q165&lt;&gt;0,T165&lt;&gt;""),T165/Q165,"")</f>
        <v/>
      </c>
      <c r="V165" s="26" t="str">
        <f aca="false">IF(AND(S165&lt;&gt;"",Q165&lt;&gt;""),S165-Q165,"")</f>
        <v/>
      </c>
      <c r="W165" s="27" t="str">
        <f aca="false">IF(AND(Q165&lt;&gt;"",Q165&lt;&gt;0,V165&lt;&gt;""),V165/Q165,"")</f>
        <v/>
      </c>
      <c r="X165" s="28" t="s">
        <v>37</v>
      </c>
      <c r="Y165" s="29" t="str">
        <f aca="false">IF(AND(O165&lt;&gt;"",M165&lt;&gt;"",O165&gt;M165),CONCATENATE("1 : ",TEXT((O165-M165)/M165,"0.00")),IF(AND(O165&lt;&gt;"",M165&lt;&gt;"",O165&lt;M165),CONCATENATE("-1 : ",TEXT((M165-O165)/M165,"0.00")),"—"))</f>
        <v>—</v>
      </c>
      <c r="Z165" s="30" t="str">
        <f aca="false">IF(AND(P165&lt;&gt;"",M165&lt;&gt;"",P165&gt;M165),CONCATENATE("1 : ",TEXT((P165-M165)/M165,"0.00")),"—")</f>
        <v>—</v>
      </c>
      <c r="AA165" s="31" t="str">
        <f aca="false">IF(AND(C165&lt;&gt;"",E165&lt;&gt;""),E165-C165,"")</f>
        <v/>
      </c>
      <c r="AB165" s="17"/>
      <c r="AC165" s="32"/>
      <c r="AD165" s="33"/>
      <c r="AE165" s="34" t="str">
        <f aca="false">IF(G165&lt;&gt;"",HYPERLINK("https://www.tradingview.com/chart/?symbol="&amp;G165&amp;"&amp;interval=60&amp;from="&amp;(AG165-10*3600)&amp;"&amp;to="&amp;(AG165+50*3600),"📈 1H"),"")</f>
        <v/>
      </c>
      <c r="AF165" s="35" t="str">
        <f aca="false">IF(G165&lt;&gt;"",HYPERLINK("https://www.tradingview.com/chart/?symbol="&amp;G165&amp;"&amp;interval=240&amp;from="&amp;(AG165-10*14400)&amp;"&amp;to="&amp;(AG165+50*14400),"📈 4H"),"")</f>
        <v/>
      </c>
      <c r="AG165" s="36" t="str">
        <f aca="false">IF(C165&lt;&gt;"",INT((C165+IF(D165&lt;&gt;"",D165,0)-DATE(1970,1,1))*86400),"")</f>
        <v/>
      </c>
    </row>
    <row r="166" customFormat="false" ht="19.5" hidden="false" customHeight="true" outlineLevel="0" collapsed="false">
      <c r="A166" s="37" t="n">
        <f aca="false">ROW()-4</f>
        <v>162</v>
      </c>
      <c r="B166" s="38"/>
      <c r="C166" s="39"/>
      <c r="D166" s="40"/>
      <c r="E166" s="39"/>
      <c r="F166" s="40"/>
      <c r="G166" s="41"/>
      <c r="H166" s="42"/>
      <c r="I166" s="43"/>
      <c r="J166" s="44"/>
      <c r="K166" s="39"/>
      <c r="L166" s="42"/>
      <c r="M166" s="44"/>
      <c r="N166" s="45"/>
      <c r="O166" s="44"/>
      <c r="P166" s="46"/>
      <c r="Q166" s="47" t="str">
        <f aca="false">IF(L166="","",IF(M166&lt;&gt;"",M166*L166*100,IF(AND(O166&lt;&gt;"",B166&lt;&gt;""),IFERROR(AVERAGEIF($B$5:$B$1004,B166,$M$5:$M$1004)*L166*100,""),"")))</f>
        <v/>
      </c>
      <c r="R166" s="47" t="str">
        <f aca="false">IF(AND(O166&lt;&gt;"",L166&lt;&gt;""),O166*L166*100,"")</f>
        <v/>
      </c>
      <c r="S166" s="48" t="str">
        <f aca="false">IF(AND(P166&lt;&gt;"",L166&lt;&gt;""),P166*L166*100,"")</f>
        <v/>
      </c>
      <c r="T166" s="49" t="str">
        <f aca="false">IF(AND(Q166&lt;&gt;"",R166&lt;&gt;""),R166-Q166,"")</f>
        <v/>
      </c>
      <c r="U166" s="50" t="str">
        <f aca="false">IF(AND(Q166&lt;&gt;"",Q166&lt;&gt;0,T166&lt;&gt;""),T166/Q166,"")</f>
        <v/>
      </c>
      <c r="V166" s="51" t="str">
        <f aca="false">IF(AND(S166&lt;&gt;"",Q166&lt;&gt;""),S166-Q166,"")</f>
        <v/>
      </c>
      <c r="W166" s="52" t="str">
        <f aca="false">IF(AND(Q166&lt;&gt;"",Q166&lt;&gt;0,V166&lt;&gt;""),V166/Q166,"")</f>
        <v/>
      </c>
      <c r="X166" s="53" t="s">
        <v>37</v>
      </c>
      <c r="Y166" s="54" t="str">
        <f aca="false">IF(AND(O166&lt;&gt;"",M166&lt;&gt;"",O166&gt;M166),CONCATENATE("1 : ",TEXT((O166-M166)/M166,"0.00")),IF(AND(O166&lt;&gt;"",M166&lt;&gt;"",O166&lt;M166),CONCATENATE("-1 : ",TEXT((M166-O166)/M166,"0.00")),"—"))</f>
        <v>—</v>
      </c>
      <c r="Z166" s="55" t="str">
        <f aca="false">IF(AND(P166&lt;&gt;"",M166&lt;&gt;"",P166&gt;M166),CONCATENATE("1 : ",TEXT((P166-M166)/M166,"0.00")),"—")</f>
        <v>—</v>
      </c>
      <c r="AA166" s="56" t="str">
        <f aca="false">IF(AND(C166&lt;&gt;"",E166&lt;&gt;""),E166-C166,"")</f>
        <v/>
      </c>
      <c r="AB166" s="42"/>
      <c r="AC166" s="57"/>
      <c r="AD166" s="58"/>
      <c r="AE166" s="59" t="str">
        <f aca="false">IF(G166&lt;&gt;"",HYPERLINK("https://www.tradingview.com/chart/?symbol="&amp;G166&amp;"&amp;interval=60&amp;from="&amp;(AG166-10*3600)&amp;"&amp;to="&amp;(AG166+50*3600),"📈 1H"),"")</f>
        <v/>
      </c>
      <c r="AF166" s="60" t="str">
        <f aca="false">IF(G166&lt;&gt;"",HYPERLINK("https://www.tradingview.com/chart/?symbol="&amp;G166&amp;"&amp;interval=240&amp;from="&amp;(AG166-10*14400)&amp;"&amp;to="&amp;(AG166+50*14400),"📈 4H"),"")</f>
        <v/>
      </c>
      <c r="AG166" s="36" t="str">
        <f aca="false">IF(C166&lt;&gt;"",INT((C166+IF(D166&lt;&gt;"",D166,0)-DATE(1970,1,1))*86400),"")</f>
        <v/>
      </c>
    </row>
    <row r="167" customFormat="false" ht="19.5" hidden="false" customHeight="true" outlineLevel="0" collapsed="false">
      <c r="A167" s="12" t="n">
        <f aca="false">ROW()-4</f>
        <v>163</v>
      </c>
      <c r="B167" s="13"/>
      <c r="C167" s="14"/>
      <c r="D167" s="15"/>
      <c r="E167" s="14"/>
      <c r="F167" s="15"/>
      <c r="G167" s="16"/>
      <c r="H167" s="17"/>
      <c r="I167" s="18"/>
      <c r="J167" s="19"/>
      <c r="K167" s="14"/>
      <c r="L167" s="17"/>
      <c r="M167" s="19"/>
      <c r="N167" s="20"/>
      <c r="O167" s="19"/>
      <c r="P167" s="21"/>
      <c r="Q167" s="22" t="str">
        <f aca="false">IF(L167="","",IF(M167&lt;&gt;"",M167*L167*100,IF(AND(O167&lt;&gt;"",B167&lt;&gt;""),IFERROR(AVERAGEIF($B$5:$B$1004,B167,$M$5:$M$1004)*L167*100,""),"")))</f>
        <v/>
      </c>
      <c r="R167" s="22" t="str">
        <f aca="false">IF(AND(O167&lt;&gt;"",L167&lt;&gt;""),O167*L167*100,"")</f>
        <v/>
      </c>
      <c r="S167" s="23" t="str">
        <f aca="false">IF(AND(P167&lt;&gt;"",L167&lt;&gt;""),P167*L167*100,"")</f>
        <v/>
      </c>
      <c r="T167" s="24" t="str">
        <f aca="false">IF(AND(Q167&lt;&gt;"",R167&lt;&gt;""),R167-Q167,"")</f>
        <v/>
      </c>
      <c r="U167" s="25" t="str">
        <f aca="false">IF(AND(Q167&lt;&gt;"",Q167&lt;&gt;0,T167&lt;&gt;""),T167/Q167,"")</f>
        <v/>
      </c>
      <c r="V167" s="26" t="str">
        <f aca="false">IF(AND(S167&lt;&gt;"",Q167&lt;&gt;""),S167-Q167,"")</f>
        <v/>
      </c>
      <c r="W167" s="27" t="str">
        <f aca="false">IF(AND(Q167&lt;&gt;"",Q167&lt;&gt;0,V167&lt;&gt;""),V167/Q167,"")</f>
        <v/>
      </c>
      <c r="X167" s="28" t="s">
        <v>37</v>
      </c>
      <c r="Y167" s="29" t="str">
        <f aca="false">IF(AND(O167&lt;&gt;"",M167&lt;&gt;"",O167&gt;M167),CONCATENATE("1 : ",TEXT((O167-M167)/M167,"0.00")),IF(AND(O167&lt;&gt;"",M167&lt;&gt;"",O167&lt;M167),CONCATENATE("-1 : ",TEXT((M167-O167)/M167,"0.00")),"—"))</f>
        <v>—</v>
      </c>
      <c r="Z167" s="30" t="str">
        <f aca="false">IF(AND(P167&lt;&gt;"",M167&lt;&gt;"",P167&gt;M167),CONCATENATE("1 : ",TEXT((P167-M167)/M167,"0.00")),"—")</f>
        <v>—</v>
      </c>
      <c r="AA167" s="31" t="str">
        <f aca="false">IF(AND(C167&lt;&gt;"",E167&lt;&gt;""),E167-C167,"")</f>
        <v/>
      </c>
      <c r="AB167" s="17"/>
      <c r="AC167" s="32"/>
      <c r="AD167" s="33"/>
      <c r="AE167" s="34" t="str">
        <f aca="false">IF(G167&lt;&gt;"",HYPERLINK("https://www.tradingview.com/chart/?symbol="&amp;G167&amp;"&amp;interval=60&amp;from="&amp;(AG167-10*3600)&amp;"&amp;to="&amp;(AG167+50*3600),"📈 1H"),"")</f>
        <v/>
      </c>
      <c r="AF167" s="35" t="str">
        <f aca="false">IF(G167&lt;&gt;"",HYPERLINK("https://www.tradingview.com/chart/?symbol="&amp;G167&amp;"&amp;interval=240&amp;from="&amp;(AG167-10*14400)&amp;"&amp;to="&amp;(AG167+50*14400),"📈 4H"),"")</f>
        <v/>
      </c>
      <c r="AG167" s="36" t="str">
        <f aca="false">IF(C167&lt;&gt;"",INT((C167+IF(D167&lt;&gt;"",D167,0)-DATE(1970,1,1))*86400),"")</f>
        <v/>
      </c>
    </row>
    <row r="168" customFormat="false" ht="19.5" hidden="false" customHeight="true" outlineLevel="0" collapsed="false">
      <c r="A168" s="37" t="n">
        <f aca="false">ROW()-4</f>
        <v>164</v>
      </c>
      <c r="B168" s="38"/>
      <c r="C168" s="39"/>
      <c r="D168" s="40"/>
      <c r="E168" s="39"/>
      <c r="F168" s="40"/>
      <c r="G168" s="41"/>
      <c r="H168" s="42"/>
      <c r="I168" s="43"/>
      <c r="J168" s="44"/>
      <c r="K168" s="39"/>
      <c r="L168" s="42"/>
      <c r="M168" s="44"/>
      <c r="N168" s="45"/>
      <c r="O168" s="44"/>
      <c r="P168" s="46"/>
      <c r="Q168" s="47" t="str">
        <f aca="false">IF(L168="","",IF(M168&lt;&gt;"",M168*L168*100,IF(AND(O168&lt;&gt;"",B168&lt;&gt;""),IFERROR(AVERAGEIF($B$5:$B$1004,B168,$M$5:$M$1004)*L168*100,""),"")))</f>
        <v/>
      </c>
      <c r="R168" s="47" t="str">
        <f aca="false">IF(AND(O168&lt;&gt;"",L168&lt;&gt;""),O168*L168*100,"")</f>
        <v/>
      </c>
      <c r="S168" s="48" t="str">
        <f aca="false">IF(AND(P168&lt;&gt;"",L168&lt;&gt;""),P168*L168*100,"")</f>
        <v/>
      </c>
      <c r="T168" s="49" t="str">
        <f aca="false">IF(AND(Q168&lt;&gt;"",R168&lt;&gt;""),R168-Q168,"")</f>
        <v/>
      </c>
      <c r="U168" s="50" t="str">
        <f aca="false">IF(AND(Q168&lt;&gt;"",Q168&lt;&gt;0,T168&lt;&gt;""),T168/Q168,"")</f>
        <v/>
      </c>
      <c r="V168" s="51" t="str">
        <f aca="false">IF(AND(S168&lt;&gt;"",Q168&lt;&gt;""),S168-Q168,"")</f>
        <v/>
      </c>
      <c r="W168" s="52" t="str">
        <f aca="false">IF(AND(Q168&lt;&gt;"",Q168&lt;&gt;0,V168&lt;&gt;""),V168/Q168,"")</f>
        <v/>
      </c>
      <c r="X168" s="53" t="s">
        <v>37</v>
      </c>
      <c r="Y168" s="54" t="str">
        <f aca="false">IF(AND(O168&lt;&gt;"",M168&lt;&gt;"",O168&gt;M168),CONCATENATE("1 : ",TEXT((O168-M168)/M168,"0.00")),IF(AND(O168&lt;&gt;"",M168&lt;&gt;"",O168&lt;M168),CONCATENATE("-1 : ",TEXT((M168-O168)/M168,"0.00")),"—"))</f>
        <v>—</v>
      </c>
      <c r="Z168" s="55" t="str">
        <f aca="false">IF(AND(P168&lt;&gt;"",M168&lt;&gt;"",P168&gt;M168),CONCATENATE("1 : ",TEXT((P168-M168)/M168,"0.00")),"—")</f>
        <v>—</v>
      </c>
      <c r="AA168" s="56" t="str">
        <f aca="false">IF(AND(C168&lt;&gt;"",E168&lt;&gt;""),E168-C168,"")</f>
        <v/>
      </c>
      <c r="AB168" s="42"/>
      <c r="AC168" s="57"/>
      <c r="AD168" s="58"/>
      <c r="AE168" s="59" t="str">
        <f aca="false">IF(G168&lt;&gt;"",HYPERLINK("https://www.tradingview.com/chart/?symbol="&amp;G168&amp;"&amp;interval=60&amp;from="&amp;(AG168-10*3600)&amp;"&amp;to="&amp;(AG168+50*3600),"📈 1H"),"")</f>
        <v/>
      </c>
      <c r="AF168" s="60" t="str">
        <f aca="false">IF(G168&lt;&gt;"",HYPERLINK("https://www.tradingview.com/chart/?symbol="&amp;G168&amp;"&amp;interval=240&amp;from="&amp;(AG168-10*14400)&amp;"&amp;to="&amp;(AG168+50*14400),"📈 4H"),"")</f>
        <v/>
      </c>
      <c r="AG168" s="36" t="str">
        <f aca="false">IF(C168&lt;&gt;"",INT((C168+IF(D168&lt;&gt;"",D168,0)-DATE(1970,1,1))*86400),"")</f>
        <v/>
      </c>
    </row>
    <row r="169" customFormat="false" ht="19.5" hidden="false" customHeight="true" outlineLevel="0" collapsed="false">
      <c r="A169" s="12" t="n">
        <f aca="false">ROW()-4</f>
        <v>165</v>
      </c>
      <c r="B169" s="13"/>
      <c r="C169" s="14"/>
      <c r="D169" s="15"/>
      <c r="E169" s="14"/>
      <c r="F169" s="15"/>
      <c r="G169" s="16"/>
      <c r="H169" s="17"/>
      <c r="I169" s="18"/>
      <c r="J169" s="19"/>
      <c r="K169" s="14"/>
      <c r="L169" s="17"/>
      <c r="M169" s="19"/>
      <c r="N169" s="20"/>
      <c r="O169" s="19"/>
      <c r="P169" s="21"/>
      <c r="Q169" s="22" t="str">
        <f aca="false">IF(L169="","",IF(M169&lt;&gt;"",M169*L169*100,IF(AND(O169&lt;&gt;"",B169&lt;&gt;""),IFERROR(AVERAGEIF($B$5:$B$1004,B169,$M$5:$M$1004)*L169*100,""),"")))</f>
        <v/>
      </c>
      <c r="R169" s="22" t="str">
        <f aca="false">IF(AND(O169&lt;&gt;"",L169&lt;&gt;""),O169*L169*100,"")</f>
        <v/>
      </c>
      <c r="S169" s="23" t="str">
        <f aca="false">IF(AND(P169&lt;&gt;"",L169&lt;&gt;""),P169*L169*100,"")</f>
        <v/>
      </c>
      <c r="T169" s="24" t="str">
        <f aca="false">IF(AND(Q169&lt;&gt;"",R169&lt;&gt;""),R169-Q169,"")</f>
        <v/>
      </c>
      <c r="U169" s="25" t="str">
        <f aca="false">IF(AND(Q169&lt;&gt;"",Q169&lt;&gt;0,T169&lt;&gt;""),T169/Q169,"")</f>
        <v/>
      </c>
      <c r="V169" s="26" t="str">
        <f aca="false">IF(AND(S169&lt;&gt;"",Q169&lt;&gt;""),S169-Q169,"")</f>
        <v/>
      </c>
      <c r="W169" s="27" t="str">
        <f aca="false">IF(AND(Q169&lt;&gt;"",Q169&lt;&gt;0,V169&lt;&gt;""),V169/Q169,"")</f>
        <v/>
      </c>
      <c r="X169" s="28" t="s">
        <v>37</v>
      </c>
      <c r="Y169" s="29" t="str">
        <f aca="false">IF(AND(O169&lt;&gt;"",M169&lt;&gt;"",O169&gt;M169),CONCATENATE("1 : ",TEXT((O169-M169)/M169,"0.00")),IF(AND(O169&lt;&gt;"",M169&lt;&gt;"",O169&lt;M169),CONCATENATE("-1 : ",TEXT((M169-O169)/M169,"0.00")),"—"))</f>
        <v>—</v>
      </c>
      <c r="Z169" s="30" t="str">
        <f aca="false">IF(AND(P169&lt;&gt;"",M169&lt;&gt;"",P169&gt;M169),CONCATENATE("1 : ",TEXT((P169-M169)/M169,"0.00")),"—")</f>
        <v>—</v>
      </c>
      <c r="AA169" s="31" t="str">
        <f aca="false">IF(AND(C169&lt;&gt;"",E169&lt;&gt;""),E169-C169,"")</f>
        <v/>
      </c>
      <c r="AB169" s="17"/>
      <c r="AC169" s="32"/>
      <c r="AD169" s="33"/>
      <c r="AE169" s="34" t="str">
        <f aca="false">IF(G169&lt;&gt;"",HYPERLINK("https://www.tradingview.com/chart/?symbol="&amp;G169&amp;"&amp;interval=60&amp;from="&amp;(AG169-10*3600)&amp;"&amp;to="&amp;(AG169+50*3600),"📈 1H"),"")</f>
        <v/>
      </c>
      <c r="AF169" s="35" t="str">
        <f aca="false">IF(G169&lt;&gt;"",HYPERLINK("https://www.tradingview.com/chart/?symbol="&amp;G169&amp;"&amp;interval=240&amp;from="&amp;(AG169-10*14400)&amp;"&amp;to="&amp;(AG169+50*14400),"📈 4H"),"")</f>
        <v/>
      </c>
      <c r="AG169" s="36" t="str">
        <f aca="false">IF(C169&lt;&gt;"",INT((C169+IF(D169&lt;&gt;"",D169,0)-DATE(1970,1,1))*86400),"")</f>
        <v/>
      </c>
    </row>
    <row r="170" customFormat="false" ht="19.5" hidden="false" customHeight="true" outlineLevel="0" collapsed="false">
      <c r="A170" s="37" t="n">
        <f aca="false">ROW()-4</f>
        <v>166</v>
      </c>
      <c r="B170" s="38"/>
      <c r="C170" s="39"/>
      <c r="D170" s="40"/>
      <c r="E170" s="39"/>
      <c r="F170" s="40"/>
      <c r="G170" s="41"/>
      <c r="H170" s="42"/>
      <c r="I170" s="43"/>
      <c r="J170" s="44"/>
      <c r="K170" s="39"/>
      <c r="L170" s="42"/>
      <c r="M170" s="44"/>
      <c r="N170" s="45"/>
      <c r="O170" s="44"/>
      <c r="P170" s="46"/>
      <c r="Q170" s="47" t="str">
        <f aca="false">IF(L170="","",IF(M170&lt;&gt;"",M170*L170*100,IF(AND(O170&lt;&gt;"",B170&lt;&gt;""),IFERROR(AVERAGEIF($B$5:$B$1004,B170,$M$5:$M$1004)*L170*100,""),"")))</f>
        <v/>
      </c>
      <c r="R170" s="47" t="str">
        <f aca="false">IF(AND(O170&lt;&gt;"",L170&lt;&gt;""),O170*L170*100,"")</f>
        <v/>
      </c>
      <c r="S170" s="48" t="str">
        <f aca="false">IF(AND(P170&lt;&gt;"",L170&lt;&gt;""),P170*L170*100,"")</f>
        <v/>
      </c>
      <c r="T170" s="49" t="str">
        <f aca="false">IF(AND(Q170&lt;&gt;"",R170&lt;&gt;""),R170-Q170,"")</f>
        <v/>
      </c>
      <c r="U170" s="50" t="str">
        <f aca="false">IF(AND(Q170&lt;&gt;"",Q170&lt;&gt;0,T170&lt;&gt;""),T170/Q170,"")</f>
        <v/>
      </c>
      <c r="V170" s="51" t="str">
        <f aca="false">IF(AND(S170&lt;&gt;"",Q170&lt;&gt;""),S170-Q170,"")</f>
        <v/>
      </c>
      <c r="W170" s="52" t="str">
        <f aca="false">IF(AND(Q170&lt;&gt;"",Q170&lt;&gt;0,V170&lt;&gt;""),V170/Q170,"")</f>
        <v/>
      </c>
      <c r="X170" s="53" t="s">
        <v>37</v>
      </c>
      <c r="Y170" s="54" t="str">
        <f aca="false">IF(AND(O170&lt;&gt;"",M170&lt;&gt;"",O170&gt;M170),CONCATENATE("1 : ",TEXT((O170-M170)/M170,"0.00")),IF(AND(O170&lt;&gt;"",M170&lt;&gt;"",O170&lt;M170),CONCATENATE("-1 : ",TEXT((M170-O170)/M170,"0.00")),"—"))</f>
        <v>—</v>
      </c>
      <c r="Z170" s="55" t="str">
        <f aca="false">IF(AND(P170&lt;&gt;"",M170&lt;&gt;"",P170&gt;M170),CONCATENATE("1 : ",TEXT((P170-M170)/M170,"0.00")),"—")</f>
        <v>—</v>
      </c>
      <c r="AA170" s="56" t="str">
        <f aca="false">IF(AND(C170&lt;&gt;"",E170&lt;&gt;""),E170-C170,"")</f>
        <v/>
      </c>
      <c r="AB170" s="42"/>
      <c r="AC170" s="57"/>
      <c r="AD170" s="58"/>
      <c r="AE170" s="59" t="str">
        <f aca="false">IF(G170&lt;&gt;"",HYPERLINK("https://www.tradingview.com/chart/?symbol="&amp;G170&amp;"&amp;interval=60&amp;from="&amp;(AG170-10*3600)&amp;"&amp;to="&amp;(AG170+50*3600),"📈 1H"),"")</f>
        <v/>
      </c>
      <c r="AF170" s="60" t="str">
        <f aca="false">IF(G170&lt;&gt;"",HYPERLINK("https://www.tradingview.com/chart/?symbol="&amp;G170&amp;"&amp;interval=240&amp;from="&amp;(AG170-10*14400)&amp;"&amp;to="&amp;(AG170+50*14400),"📈 4H"),"")</f>
        <v/>
      </c>
      <c r="AG170" s="36" t="str">
        <f aca="false">IF(C170&lt;&gt;"",INT((C170+IF(D170&lt;&gt;"",D170,0)-DATE(1970,1,1))*86400),"")</f>
        <v/>
      </c>
    </row>
    <row r="171" customFormat="false" ht="19.5" hidden="false" customHeight="true" outlineLevel="0" collapsed="false">
      <c r="A171" s="12" t="n">
        <f aca="false">ROW()-4</f>
        <v>167</v>
      </c>
      <c r="B171" s="13"/>
      <c r="C171" s="14"/>
      <c r="D171" s="15"/>
      <c r="E171" s="14"/>
      <c r="F171" s="15"/>
      <c r="G171" s="16"/>
      <c r="H171" s="17"/>
      <c r="I171" s="18"/>
      <c r="J171" s="19"/>
      <c r="K171" s="14"/>
      <c r="L171" s="17"/>
      <c r="M171" s="19"/>
      <c r="N171" s="20"/>
      <c r="O171" s="19"/>
      <c r="P171" s="21"/>
      <c r="Q171" s="22" t="str">
        <f aca="false">IF(L171="","",IF(M171&lt;&gt;"",M171*L171*100,IF(AND(O171&lt;&gt;"",B171&lt;&gt;""),IFERROR(AVERAGEIF($B$5:$B$1004,B171,$M$5:$M$1004)*L171*100,""),"")))</f>
        <v/>
      </c>
      <c r="R171" s="22" t="str">
        <f aca="false">IF(AND(O171&lt;&gt;"",L171&lt;&gt;""),O171*L171*100,"")</f>
        <v/>
      </c>
      <c r="S171" s="23" t="str">
        <f aca="false">IF(AND(P171&lt;&gt;"",L171&lt;&gt;""),P171*L171*100,"")</f>
        <v/>
      </c>
      <c r="T171" s="24" t="str">
        <f aca="false">IF(AND(Q171&lt;&gt;"",R171&lt;&gt;""),R171-Q171,"")</f>
        <v/>
      </c>
      <c r="U171" s="25" t="str">
        <f aca="false">IF(AND(Q171&lt;&gt;"",Q171&lt;&gt;0,T171&lt;&gt;""),T171/Q171,"")</f>
        <v/>
      </c>
      <c r="V171" s="26" t="str">
        <f aca="false">IF(AND(S171&lt;&gt;"",Q171&lt;&gt;""),S171-Q171,"")</f>
        <v/>
      </c>
      <c r="W171" s="27" t="str">
        <f aca="false">IF(AND(Q171&lt;&gt;"",Q171&lt;&gt;0,V171&lt;&gt;""),V171/Q171,"")</f>
        <v/>
      </c>
      <c r="X171" s="28" t="s">
        <v>37</v>
      </c>
      <c r="Y171" s="29" t="str">
        <f aca="false">IF(AND(O171&lt;&gt;"",M171&lt;&gt;"",O171&gt;M171),CONCATENATE("1 : ",TEXT((O171-M171)/M171,"0.00")),IF(AND(O171&lt;&gt;"",M171&lt;&gt;"",O171&lt;M171),CONCATENATE("-1 : ",TEXT((M171-O171)/M171,"0.00")),"—"))</f>
        <v>—</v>
      </c>
      <c r="Z171" s="30" t="str">
        <f aca="false">IF(AND(P171&lt;&gt;"",M171&lt;&gt;"",P171&gt;M171),CONCATENATE("1 : ",TEXT((P171-M171)/M171,"0.00")),"—")</f>
        <v>—</v>
      </c>
      <c r="AA171" s="31" t="str">
        <f aca="false">IF(AND(C171&lt;&gt;"",E171&lt;&gt;""),E171-C171,"")</f>
        <v/>
      </c>
      <c r="AB171" s="17"/>
      <c r="AC171" s="32"/>
      <c r="AD171" s="33"/>
      <c r="AE171" s="34" t="str">
        <f aca="false">IF(G171&lt;&gt;"",HYPERLINK("https://www.tradingview.com/chart/?symbol="&amp;G171&amp;"&amp;interval=60&amp;from="&amp;(AG171-10*3600)&amp;"&amp;to="&amp;(AG171+50*3600),"📈 1H"),"")</f>
        <v/>
      </c>
      <c r="AF171" s="35" t="str">
        <f aca="false">IF(G171&lt;&gt;"",HYPERLINK("https://www.tradingview.com/chart/?symbol="&amp;G171&amp;"&amp;interval=240&amp;from="&amp;(AG171-10*14400)&amp;"&amp;to="&amp;(AG171+50*14400),"📈 4H"),"")</f>
        <v/>
      </c>
      <c r="AG171" s="36" t="str">
        <f aca="false">IF(C171&lt;&gt;"",INT((C171+IF(D171&lt;&gt;"",D171,0)-DATE(1970,1,1))*86400),"")</f>
        <v/>
      </c>
    </row>
    <row r="172" customFormat="false" ht="19.5" hidden="false" customHeight="true" outlineLevel="0" collapsed="false">
      <c r="A172" s="37" t="n">
        <f aca="false">ROW()-4</f>
        <v>168</v>
      </c>
      <c r="B172" s="38"/>
      <c r="C172" s="39"/>
      <c r="D172" s="40"/>
      <c r="E172" s="39"/>
      <c r="F172" s="40"/>
      <c r="G172" s="41"/>
      <c r="H172" s="42"/>
      <c r="I172" s="43"/>
      <c r="J172" s="44"/>
      <c r="K172" s="39"/>
      <c r="L172" s="42"/>
      <c r="M172" s="44"/>
      <c r="N172" s="45"/>
      <c r="O172" s="44"/>
      <c r="P172" s="46"/>
      <c r="Q172" s="47" t="str">
        <f aca="false">IF(L172="","",IF(M172&lt;&gt;"",M172*L172*100,IF(AND(O172&lt;&gt;"",B172&lt;&gt;""),IFERROR(AVERAGEIF($B$5:$B$1004,B172,$M$5:$M$1004)*L172*100,""),"")))</f>
        <v/>
      </c>
      <c r="R172" s="47" t="str">
        <f aca="false">IF(AND(O172&lt;&gt;"",L172&lt;&gt;""),O172*L172*100,"")</f>
        <v/>
      </c>
      <c r="S172" s="48" t="str">
        <f aca="false">IF(AND(P172&lt;&gt;"",L172&lt;&gt;""),P172*L172*100,"")</f>
        <v/>
      </c>
      <c r="T172" s="49" t="str">
        <f aca="false">IF(AND(Q172&lt;&gt;"",R172&lt;&gt;""),R172-Q172,"")</f>
        <v/>
      </c>
      <c r="U172" s="50" t="str">
        <f aca="false">IF(AND(Q172&lt;&gt;"",Q172&lt;&gt;0,T172&lt;&gt;""),T172/Q172,"")</f>
        <v/>
      </c>
      <c r="V172" s="51" t="str">
        <f aca="false">IF(AND(S172&lt;&gt;"",Q172&lt;&gt;""),S172-Q172,"")</f>
        <v/>
      </c>
      <c r="W172" s="52" t="str">
        <f aca="false">IF(AND(Q172&lt;&gt;"",Q172&lt;&gt;0,V172&lt;&gt;""),V172/Q172,"")</f>
        <v/>
      </c>
      <c r="X172" s="53" t="s">
        <v>37</v>
      </c>
      <c r="Y172" s="54" t="str">
        <f aca="false">IF(AND(O172&lt;&gt;"",M172&lt;&gt;"",O172&gt;M172),CONCATENATE("1 : ",TEXT((O172-M172)/M172,"0.00")),IF(AND(O172&lt;&gt;"",M172&lt;&gt;"",O172&lt;M172),CONCATENATE("-1 : ",TEXT((M172-O172)/M172,"0.00")),"—"))</f>
        <v>—</v>
      </c>
      <c r="Z172" s="55" t="str">
        <f aca="false">IF(AND(P172&lt;&gt;"",M172&lt;&gt;"",P172&gt;M172),CONCATENATE("1 : ",TEXT((P172-M172)/M172,"0.00")),"—")</f>
        <v>—</v>
      </c>
      <c r="AA172" s="56" t="str">
        <f aca="false">IF(AND(C172&lt;&gt;"",E172&lt;&gt;""),E172-C172,"")</f>
        <v/>
      </c>
      <c r="AB172" s="42"/>
      <c r="AC172" s="57"/>
      <c r="AD172" s="58"/>
      <c r="AE172" s="59" t="str">
        <f aca="false">IF(G172&lt;&gt;"",HYPERLINK("https://www.tradingview.com/chart/?symbol="&amp;G172&amp;"&amp;interval=60&amp;from="&amp;(AG172-10*3600)&amp;"&amp;to="&amp;(AG172+50*3600),"📈 1H"),"")</f>
        <v/>
      </c>
      <c r="AF172" s="60" t="str">
        <f aca="false">IF(G172&lt;&gt;"",HYPERLINK("https://www.tradingview.com/chart/?symbol="&amp;G172&amp;"&amp;interval=240&amp;from="&amp;(AG172-10*14400)&amp;"&amp;to="&amp;(AG172+50*14400),"📈 4H"),"")</f>
        <v/>
      </c>
      <c r="AG172" s="36" t="str">
        <f aca="false">IF(C172&lt;&gt;"",INT((C172+IF(D172&lt;&gt;"",D172,0)-DATE(1970,1,1))*86400),"")</f>
        <v/>
      </c>
    </row>
    <row r="173" customFormat="false" ht="19.5" hidden="false" customHeight="true" outlineLevel="0" collapsed="false">
      <c r="A173" s="12" t="n">
        <f aca="false">ROW()-4</f>
        <v>169</v>
      </c>
      <c r="B173" s="13"/>
      <c r="C173" s="14"/>
      <c r="D173" s="15"/>
      <c r="E173" s="14"/>
      <c r="F173" s="15"/>
      <c r="G173" s="16"/>
      <c r="H173" s="17"/>
      <c r="I173" s="18"/>
      <c r="J173" s="19"/>
      <c r="K173" s="14"/>
      <c r="L173" s="17"/>
      <c r="M173" s="19"/>
      <c r="N173" s="20"/>
      <c r="O173" s="19"/>
      <c r="P173" s="21"/>
      <c r="Q173" s="22" t="str">
        <f aca="false">IF(L173="","",IF(M173&lt;&gt;"",M173*L173*100,IF(AND(O173&lt;&gt;"",B173&lt;&gt;""),IFERROR(AVERAGEIF($B$5:$B$1004,B173,$M$5:$M$1004)*L173*100,""),"")))</f>
        <v/>
      </c>
      <c r="R173" s="22" t="str">
        <f aca="false">IF(AND(O173&lt;&gt;"",L173&lt;&gt;""),O173*L173*100,"")</f>
        <v/>
      </c>
      <c r="S173" s="23" t="str">
        <f aca="false">IF(AND(P173&lt;&gt;"",L173&lt;&gt;""),P173*L173*100,"")</f>
        <v/>
      </c>
      <c r="T173" s="24" t="str">
        <f aca="false">IF(AND(Q173&lt;&gt;"",R173&lt;&gt;""),R173-Q173,"")</f>
        <v/>
      </c>
      <c r="U173" s="25" t="str">
        <f aca="false">IF(AND(Q173&lt;&gt;"",Q173&lt;&gt;0,T173&lt;&gt;""),T173/Q173,"")</f>
        <v/>
      </c>
      <c r="V173" s="26" t="str">
        <f aca="false">IF(AND(S173&lt;&gt;"",Q173&lt;&gt;""),S173-Q173,"")</f>
        <v/>
      </c>
      <c r="W173" s="27" t="str">
        <f aca="false">IF(AND(Q173&lt;&gt;"",Q173&lt;&gt;0,V173&lt;&gt;""),V173/Q173,"")</f>
        <v/>
      </c>
      <c r="X173" s="28" t="s">
        <v>37</v>
      </c>
      <c r="Y173" s="29" t="str">
        <f aca="false">IF(AND(O173&lt;&gt;"",M173&lt;&gt;"",O173&gt;M173),CONCATENATE("1 : ",TEXT((O173-M173)/M173,"0.00")),IF(AND(O173&lt;&gt;"",M173&lt;&gt;"",O173&lt;M173),CONCATENATE("-1 : ",TEXT((M173-O173)/M173,"0.00")),"—"))</f>
        <v>—</v>
      </c>
      <c r="Z173" s="30" t="str">
        <f aca="false">IF(AND(P173&lt;&gt;"",M173&lt;&gt;"",P173&gt;M173),CONCATENATE("1 : ",TEXT((P173-M173)/M173,"0.00")),"—")</f>
        <v>—</v>
      </c>
      <c r="AA173" s="31" t="str">
        <f aca="false">IF(AND(C173&lt;&gt;"",E173&lt;&gt;""),E173-C173,"")</f>
        <v/>
      </c>
      <c r="AB173" s="17"/>
      <c r="AC173" s="32"/>
      <c r="AD173" s="33"/>
      <c r="AE173" s="34" t="str">
        <f aca="false">IF(G173&lt;&gt;"",HYPERLINK("https://www.tradingview.com/chart/?symbol="&amp;G173&amp;"&amp;interval=60&amp;from="&amp;(AG173-10*3600)&amp;"&amp;to="&amp;(AG173+50*3600),"📈 1H"),"")</f>
        <v/>
      </c>
      <c r="AF173" s="35" t="str">
        <f aca="false">IF(G173&lt;&gt;"",HYPERLINK("https://www.tradingview.com/chart/?symbol="&amp;G173&amp;"&amp;interval=240&amp;from="&amp;(AG173-10*14400)&amp;"&amp;to="&amp;(AG173+50*14400),"📈 4H"),"")</f>
        <v/>
      </c>
      <c r="AG173" s="36" t="str">
        <f aca="false">IF(C173&lt;&gt;"",INT((C173+IF(D173&lt;&gt;"",D173,0)-DATE(1970,1,1))*86400),"")</f>
        <v/>
      </c>
    </row>
    <row r="174" customFormat="false" ht="19.5" hidden="false" customHeight="true" outlineLevel="0" collapsed="false">
      <c r="A174" s="37" t="n">
        <f aca="false">ROW()-4</f>
        <v>170</v>
      </c>
      <c r="B174" s="38"/>
      <c r="C174" s="39"/>
      <c r="D174" s="40"/>
      <c r="E174" s="39"/>
      <c r="F174" s="40"/>
      <c r="G174" s="41"/>
      <c r="H174" s="42"/>
      <c r="I174" s="43"/>
      <c r="J174" s="44"/>
      <c r="K174" s="39"/>
      <c r="L174" s="42"/>
      <c r="M174" s="44"/>
      <c r="N174" s="45"/>
      <c r="O174" s="44"/>
      <c r="P174" s="46"/>
      <c r="Q174" s="47" t="str">
        <f aca="false">IF(L174="","",IF(M174&lt;&gt;"",M174*L174*100,IF(AND(O174&lt;&gt;"",B174&lt;&gt;""),IFERROR(AVERAGEIF($B$5:$B$1004,B174,$M$5:$M$1004)*L174*100,""),"")))</f>
        <v/>
      </c>
      <c r="R174" s="47" t="str">
        <f aca="false">IF(AND(O174&lt;&gt;"",L174&lt;&gt;""),O174*L174*100,"")</f>
        <v/>
      </c>
      <c r="S174" s="48" t="str">
        <f aca="false">IF(AND(P174&lt;&gt;"",L174&lt;&gt;""),P174*L174*100,"")</f>
        <v/>
      </c>
      <c r="T174" s="49" t="str">
        <f aca="false">IF(AND(Q174&lt;&gt;"",R174&lt;&gt;""),R174-Q174,"")</f>
        <v/>
      </c>
      <c r="U174" s="50" t="str">
        <f aca="false">IF(AND(Q174&lt;&gt;"",Q174&lt;&gt;0,T174&lt;&gt;""),T174/Q174,"")</f>
        <v/>
      </c>
      <c r="V174" s="51" t="str">
        <f aca="false">IF(AND(S174&lt;&gt;"",Q174&lt;&gt;""),S174-Q174,"")</f>
        <v/>
      </c>
      <c r="W174" s="52" t="str">
        <f aca="false">IF(AND(Q174&lt;&gt;"",Q174&lt;&gt;0,V174&lt;&gt;""),V174/Q174,"")</f>
        <v/>
      </c>
      <c r="X174" s="53" t="s">
        <v>37</v>
      </c>
      <c r="Y174" s="54" t="str">
        <f aca="false">IF(AND(O174&lt;&gt;"",M174&lt;&gt;"",O174&gt;M174),CONCATENATE("1 : ",TEXT((O174-M174)/M174,"0.00")),IF(AND(O174&lt;&gt;"",M174&lt;&gt;"",O174&lt;M174),CONCATENATE("-1 : ",TEXT((M174-O174)/M174,"0.00")),"—"))</f>
        <v>—</v>
      </c>
      <c r="Z174" s="55" t="str">
        <f aca="false">IF(AND(P174&lt;&gt;"",M174&lt;&gt;"",P174&gt;M174),CONCATENATE("1 : ",TEXT((P174-M174)/M174,"0.00")),"—")</f>
        <v>—</v>
      </c>
      <c r="AA174" s="56" t="str">
        <f aca="false">IF(AND(C174&lt;&gt;"",E174&lt;&gt;""),E174-C174,"")</f>
        <v/>
      </c>
      <c r="AB174" s="42"/>
      <c r="AC174" s="57"/>
      <c r="AD174" s="58"/>
      <c r="AE174" s="59" t="str">
        <f aca="false">IF(G174&lt;&gt;"",HYPERLINK("https://www.tradingview.com/chart/?symbol="&amp;G174&amp;"&amp;interval=60&amp;from="&amp;(AG174-10*3600)&amp;"&amp;to="&amp;(AG174+50*3600),"📈 1H"),"")</f>
        <v/>
      </c>
      <c r="AF174" s="60" t="str">
        <f aca="false">IF(G174&lt;&gt;"",HYPERLINK("https://www.tradingview.com/chart/?symbol="&amp;G174&amp;"&amp;interval=240&amp;from="&amp;(AG174-10*14400)&amp;"&amp;to="&amp;(AG174+50*14400),"📈 4H"),"")</f>
        <v/>
      </c>
      <c r="AG174" s="36" t="str">
        <f aca="false">IF(C174&lt;&gt;"",INT((C174+IF(D174&lt;&gt;"",D174,0)-DATE(1970,1,1))*86400),"")</f>
        <v/>
      </c>
    </row>
    <row r="175" customFormat="false" ht="19.5" hidden="false" customHeight="true" outlineLevel="0" collapsed="false">
      <c r="A175" s="12" t="n">
        <f aca="false">ROW()-4</f>
        <v>171</v>
      </c>
      <c r="B175" s="13"/>
      <c r="C175" s="14"/>
      <c r="D175" s="15"/>
      <c r="E175" s="14"/>
      <c r="F175" s="15"/>
      <c r="G175" s="16"/>
      <c r="H175" s="17"/>
      <c r="I175" s="18"/>
      <c r="J175" s="19"/>
      <c r="K175" s="14"/>
      <c r="L175" s="17"/>
      <c r="M175" s="19"/>
      <c r="N175" s="20"/>
      <c r="O175" s="19"/>
      <c r="P175" s="21"/>
      <c r="Q175" s="22" t="str">
        <f aca="false">IF(L175="","",IF(M175&lt;&gt;"",M175*L175*100,IF(AND(O175&lt;&gt;"",B175&lt;&gt;""),IFERROR(AVERAGEIF($B$5:$B$1004,B175,$M$5:$M$1004)*L175*100,""),"")))</f>
        <v/>
      </c>
      <c r="R175" s="22" t="str">
        <f aca="false">IF(AND(O175&lt;&gt;"",L175&lt;&gt;""),O175*L175*100,"")</f>
        <v/>
      </c>
      <c r="S175" s="23" t="str">
        <f aca="false">IF(AND(P175&lt;&gt;"",L175&lt;&gt;""),P175*L175*100,"")</f>
        <v/>
      </c>
      <c r="T175" s="24" t="str">
        <f aca="false">IF(AND(Q175&lt;&gt;"",R175&lt;&gt;""),R175-Q175,"")</f>
        <v/>
      </c>
      <c r="U175" s="25" t="str">
        <f aca="false">IF(AND(Q175&lt;&gt;"",Q175&lt;&gt;0,T175&lt;&gt;""),T175/Q175,"")</f>
        <v/>
      </c>
      <c r="V175" s="26" t="str">
        <f aca="false">IF(AND(S175&lt;&gt;"",Q175&lt;&gt;""),S175-Q175,"")</f>
        <v/>
      </c>
      <c r="W175" s="27" t="str">
        <f aca="false">IF(AND(Q175&lt;&gt;"",Q175&lt;&gt;0,V175&lt;&gt;""),V175/Q175,"")</f>
        <v/>
      </c>
      <c r="X175" s="28" t="s">
        <v>37</v>
      </c>
      <c r="Y175" s="29" t="str">
        <f aca="false">IF(AND(O175&lt;&gt;"",M175&lt;&gt;"",O175&gt;M175),CONCATENATE("1 : ",TEXT((O175-M175)/M175,"0.00")),IF(AND(O175&lt;&gt;"",M175&lt;&gt;"",O175&lt;M175),CONCATENATE("-1 : ",TEXT((M175-O175)/M175,"0.00")),"—"))</f>
        <v>—</v>
      </c>
      <c r="Z175" s="30" t="str">
        <f aca="false">IF(AND(P175&lt;&gt;"",M175&lt;&gt;"",P175&gt;M175),CONCATENATE("1 : ",TEXT((P175-M175)/M175,"0.00")),"—")</f>
        <v>—</v>
      </c>
      <c r="AA175" s="31" t="str">
        <f aca="false">IF(AND(C175&lt;&gt;"",E175&lt;&gt;""),E175-C175,"")</f>
        <v/>
      </c>
      <c r="AB175" s="17"/>
      <c r="AC175" s="32"/>
      <c r="AD175" s="33"/>
      <c r="AE175" s="34" t="str">
        <f aca="false">IF(G175&lt;&gt;"",HYPERLINK("https://www.tradingview.com/chart/?symbol="&amp;G175&amp;"&amp;interval=60&amp;from="&amp;(AG175-10*3600)&amp;"&amp;to="&amp;(AG175+50*3600),"📈 1H"),"")</f>
        <v/>
      </c>
      <c r="AF175" s="35" t="str">
        <f aca="false">IF(G175&lt;&gt;"",HYPERLINK("https://www.tradingview.com/chart/?symbol="&amp;G175&amp;"&amp;interval=240&amp;from="&amp;(AG175-10*14400)&amp;"&amp;to="&amp;(AG175+50*14400),"📈 4H"),"")</f>
        <v/>
      </c>
      <c r="AG175" s="36" t="str">
        <f aca="false">IF(C175&lt;&gt;"",INT((C175+IF(D175&lt;&gt;"",D175,0)-DATE(1970,1,1))*86400),"")</f>
        <v/>
      </c>
    </row>
    <row r="176" customFormat="false" ht="19.5" hidden="false" customHeight="true" outlineLevel="0" collapsed="false">
      <c r="A176" s="37" t="n">
        <f aca="false">ROW()-4</f>
        <v>172</v>
      </c>
      <c r="B176" s="38"/>
      <c r="C176" s="39"/>
      <c r="D176" s="40"/>
      <c r="E176" s="39"/>
      <c r="F176" s="40"/>
      <c r="G176" s="41"/>
      <c r="H176" s="42"/>
      <c r="I176" s="43"/>
      <c r="J176" s="44"/>
      <c r="K176" s="39"/>
      <c r="L176" s="42"/>
      <c r="M176" s="44"/>
      <c r="N176" s="45"/>
      <c r="O176" s="44"/>
      <c r="P176" s="46"/>
      <c r="Q176" s="47" t="str">
        <f aca="false">IF(L176="","",IF(M176&lt;&gt;"",M176*L176*100,IF(AND(O176&lt;&gt;"",B176&lt;&gt;""),IFERROR(AVERAGEIF($B$5:$B$1004,B176,$M$5:$M$1004)*L176*100,""),"")))</f>
        <v/>
      </c>
      <c r="R176" s="47" t="str">
        <f aca="false">IF(AND(O176&lt;&gt;"",L176&lt;&gt;""),O176*L176*100,"")</f>
        <v/>
      </c>
      <c r="S176" s="48" t="str">
        <f aca="false">IF(AND(P176&lt;&gt;"",L176&lt;&gt;""),P176*L176*100,"")</f>
        <v/>
      </c>
      <c r="T176" s="49" t="str">
        <f aca="false">IF(AND(Q176&lt;&gt;"",R176&lt;&gt;""),R176-Q176,"")</f>
        <v/>
      </c>
      <c r="U176" s="50" t="str">
        <f aca="false">IF(AND(Q176&lt;&gt;"",Q176&lt;&gt;0,T176&lt;&gt;""),T176/Q176,"")</f>
        <v/>
      </c>
      <c r="V176" s="51" t="str">
        <f aca="false">IF(AND(S176&lt;&gt;"",Q176&lt;&gt;""),S176-Q176,"")</f>
        <v/>
      </c>
      <c r="W176" s="52" t="str">
        <f aca="false">IF(AND(Q176&lt;&gt;"",Q176&lt;&gt;0,V176&lt;&gt;""),V176/Q176,"")</f>
        <v/>
      </c>
      <c r="X176" s="53" t="s">
        <v>37</v>
      </c>
      <c r="Y176" s="54" t="str">
        <f aca="false">IF(AND(O176&lt;&gt;"",M176&lt;&gt;"",O176&gt;M176),CONCATENATE("1 : ",TEXT((O176-M176)/M176,"0.00")),IF(AND(O176&lt;&gt;"",M176&lt;&gt;"",O176&lt;M176),CONCATENATE("-1 : ",TEXT((M176-O176)/M176,"0.00")),"—"))</f>
        <v>—</v>
      </c>
      <c r="Z176" s="55" t="str">
        <f aca="false">IF(AND(P176&lt;&gt;"",M176&lt;&gt;"",P176&gt;M176),CONCATENATE("1 : ",TEXT((P176-M176)/M176,"0.00")),"—")</f>
        <v>—</v>
      </c>
      <c r="AA176" s="56" t="str">
        <f aca="false">IF(AND(C176&lt;&gt;"",E176&lt;&gt;""),E176-C176,"")</f>
        <v/>
      </c>
      <c r="AB176" s="42"/>
      <c r="AC176" s="57"/>
      <c r="AD176" s="58"/>
      <c r="AE176" s="59" t="str">
        <f aca="false">IF(G176&lt;&gt;"",HYPERLINK("https://www.tradingview.com/chart/?symbol="&amp;G176&amp;"&amp;interval=60&amp;from="&amp;(AG176-10*3600)&amp;"&amp;to="&amp;(AG176+50*3600),"📈 1H"),"")</f>
        <v/>
      </c>
      <c r="AF176" s="60" t="str">
        <f aca="false">IF(G176&lt;&gt;"",HYPERLINK("https://www.tradingview.com/chart/?symbol="&amp;G176&amp;"&amp;interval=240&amp;from="&amp;(AG176-10*14400)&amp;"&amp;to="&amp;(AG176+50*14400),"📈 4H"),"")</f>
        <v/>
      </c>
      <c r="AG176" s="36" t="str">
        <f aca="false">IF(C176&lt;&gt;"",INT((C176+IF(D176&lt;&gt;"",D176,0)-DATE(1970,1,1))*86400),"")</f>
        <v/>
      </c>
    </row>
    <row r="177" customFormat="false" ht="19.5" hidden="false" customHeight="true" outlineLevel="0" collapsed="false">
      <c r="A177" s="12" t="n">
        <f aca="false">ROW()-4</f>
        <v>173</v>
      </c>
      <c r="B177" s="13"/>
      <c r="C177" s="14"/>
      <c r="D177" s="15"/>
      <c r="E177" s="14"/>
      <c r="F177" s="15"/>
      <c r="G177" s="16"/>
      <c r="H177" s="17"/>
      <c r="I177" s="18"/>
      <c r="J177" s="19"/>
      <c r="K177" s="14"/>
      <c r="L177" s="17"/>
      <c r="M177" s="19"/>
      <c r="N177" s="20"/>
      <c r="O177" s="19"/>
      <c r="P177" s="21"/>
      <c r="Q177" s="22" t="str">
        <f aca="false">IF(L177="","",IF(M177&lt;&gt;"",M177*L177*100,IF(AND(O177&lt;&gt;"",B177&lt;&gt;""),IFERROR(AVERAGEIF($B$5:$B$1004,B177,$M$5:$M$1004)*L177*100,""),"")))</f>
        <v/>
      </c>
      <c r="R177" s="22" t="str">
        <f aca="false">IF(AND(O177&lt;&gt;"",L177&lt;&gt;""),O177*L177*100,"")</f>
        <v/>
      </c>
      <c r="S177" s="23" t="str">
        <f aca="false">IF(AND(P177&lt;&gt;"",L177&lt;&gt;""),P177*L177*100,"")</f>
        <v/>
      </c>
      <c r="T177" s="24" t="str">
        <f aca="false">IF(AND(Q177&lt;&gt;"",R177&lt;&gt;""),R177-Q177,"")</f>
        <v/>
      </c>
      <c r="U177" s="25" t="str">
        <f aca="false">IF(AND(Q177&lt;&gt;"",Q177&lt;&gt;0,T177&lt;&gt;""),T177/Q177,"")</f>
        <v/>
      </c>
      <c r="V177" s="26" t="str">
        <f aca="false">IF(AND(S177&lt;&gt;"",Q177&lt;&gt;""),S177-Q177,"")</f>
        <v/>
      </c>
      <c r="W177" s="27" t="str">
        <f aca="false">IF(AND(Q177&lt;&gt;"",Q177&lt;&gt;0,V177&lt;&gt;""),V177/Q177,"")</f>
        <v/>
      </c>
      <c r="X177" s="28" t="s">
        <v>37</v>
      </c>
      <c r="Y177" s="29" t="str">
        <f aca="false">IF(AND(O177&lt;&gt;"",M177&lt;&gt;"",O177&gt;M177),CONCATENATE("1 : ",TEXT((O177-M177)/M177,"0.00")),IF(AND(O177&lt;&gt;"",M177&lt;&gt;"",O177&lt;M177),CONCATENATE("-1 : ",TEXT((M177-O177)/M177,"0.00")),"—"))</f>
        <v>—</v>
      </c>
      <c r="Z177" s="30" t="str">
        <f aca="false">IF(AND(P177&lt;&gt;"",M177&lt;&gt;"",P177&gt;M177),CONCATENATE("1 : ",TEXT((P177-M177)/M177,"0.00")),"—")</f>
        <v>—</v>
      </c>
      <c r="AA177" s="31" t="str">
        <f aca="false">IF(AND(C177&lt;&gt;"",E177&lt;&gt;""),E177-C177,"")</f>
        <v/>
      </c>
      <c r="AB177" s="17"/>
      <c r="AC177" s="32"/>
      <c r="AD177" s="33"/>
      <c r="AE177" s="34" t="str">
        <f aca="false">IF(G177&lt;&gt;"",HYPERLINK("https://www.tradingview.com/chart/?symbol="&amp;G177&amp;"&amp;interval=60&amp;from="&amp;(AG177-10*3600)&amp;"&amp;to="&amp;(AG177+50*3600),"📈 1H"),"")</f>
        <v/>
      </c>
      <c r="AF177" s="35" t="str">
        <f aca="false">IF(G177&lt;&gt;"",HYPERLINK("https://www.tradingview.com/chart/?symbol="&amp;G177&amp;"&amp;interval=240&amp;from="&amp;(AG177-10*14400)&amp;"&amp;to="&amp;(AG177+50*14400),"📈 4H"),"")</f>
        <v/>
      </c>
      <c r="AG177" s="36" t="str">
        <f aca="false">IF(C177&lt;&gt;"",INT((C177+IF(D177&lt;&gt;"",D177,0)-DATE(1970,1,1))*86400),"")</f>
        <v/>
      </c>
    </row>
    <row r="178" customFormat="false" ht="19.5" hidden="false" customHeight="true" outlineLevel="0" collapsed="false">
      <c r="A178" s="37" t="n">
        <f aca="false">ROW()-4</f>
        <v>174</v>
      </c>
      <c r="B178" s="38"/>
      <c r="C178" s="39"/>
      <c r="D178" s="40"/>
      <c r="E178" s="39"/>
      <c r="F178" s="40"/>
      <c r="G178" s="41"/>
      <c r="H178" s="42"/>
      <c r="I178" s="43"/>
      <c r="J178" s="44"/>
      <c r="K178" s="39"/>
      <c r="L178" s="42"/>
      <c r="M178" s="44"/>
      <c r="N178" s="45"/>
      <c r="O178" s="44"/>
      <c r="P178" s="46"/>
      <c r="Q178" s="47" t="str">
        <f aca="false">IF(L178="","",IF(M178&lt;&gt;"",M178*L178*100,IF(AND(O178&lt;&gt;"",B178&lt;&gt;""),IFERROR(AVERAGEIF($B$5:$B$1004,B178,$M$5:$M$1004)*L178*100,""),"")))</f>
        <v/>
      </c>
      <c r="R178" s="47" t="str">
        <f aca="false">IF(AND(O178&lt;&gt;"",L178&lt;&gt;""),O178*L178*100,"")</f>
        <v/>
      </c>
      <c r="S178" s="48" t="str">
        <f aca="false">IF(AND(P178&lt;&gt;"",L178&lt;&gt;""),P178*L178*100,"")</f>
        <v/>
      </c>
      <c r="T178" s="49" t="str">
        <f aca="false">IF(AND(Q178&lt;&gt;"",R178&lt;&gt;""),R178-Q178,"")</f>
        <v/>
      </c>
      <c r="U178" s="50" t="str">
        <f aca="false">IF(AND(Q178&lt;&gt;"",Q178&lt;&gt;0,T178&lt;&gt;""),T178/Q178,"")</f>
        <v/>
      </c>
      <c r="V178" s="51" t="str">
        <f aca="false">IF(AND(S178&lt;&gt;"",Q178&lt;&gt;""),S178-Q178,"")</f>
        <v/>
      </c>
      <c r="W178" s="52" t="str">
        <f aca="false">IF(AND(Q178&lt;&gt;"",Q178&lt;&gt;0,V178&lt;&gt;""),V178/Q178,"")</f>
        <v/>
      </c>
      <c r="X178" s="53" t="s">
        <v>37</v>
      </c>
      <c r="Y178" s="54" t="str">
        <f aca="false">IF(AND(O178&lt;&gt;"",M178&lt;&gt;"",O178&gt;M178),CONCATENATE("1 : ",TEXT((O178-M178)/M178,"0.00")),IF(AND(O178&lt;&gt;"",M178&lt;&gt;"",O178&lt;M178),CONCATENATE("-1 : ",TEXT((M178-O178)/M178,"0.00")),"—"))</f>
        <v>—</v>
      </c>
      <c r="Z178" s="55" t="str">
        <f aca="false">IF(AND(P178&lt;&gt;"",M178&lt;&gt;"",P178&gt;M178),CONCATENATE("1 : ",TEXT((P178-M178)/M178,"0.00")),"—")</f>
        <v>—</v>
      </c>
      <c r="AA178" s="56" t="str">
        <f aca="false">IF(AND(C178&lt;&gt;"",E178&lt;&gt;""),E178-C178,"")</f>
        <v/>
      </c>
      <c r="AB178" s="42"/>
      <c r="AC178" s="57"/>
      <c r="AD178" s="58"/>
      <c r="AE178" s="59" t="str">
        <f aca="false">IF(G178&lt;&gt;"",HYPERLINK("https://www.tradingview.com/chart/?symbol="&amp;G178&amp;"&amp;interval=60&amp;from="&amp;(AG178-10*3600)&amp;"&amp;to="&amp;(AG178+50*3600),"📈 1H"),"")</f>
        <v/>
      </c>
      <c r="AF178" s="60" t="str">
        <f aca="false">IF(G178&lt;&gt;"",HYPERLINK("https://www.tradingview.com/chart/?symbol="&amp;G178&amp;"&amp;interval=240&amp;from="&amp;(AG178-10*14400)&amp;"&amp;to="&amp;(AG178+50*14400),"📈 4H"),"")</f>
        <v/>
      </c>
      <c r="AG178" s="36" t="str">
        <f aca="false">IF(C178&lt;&gt;"",INT((C178+IF(D178&lt;&gt;"",D178,0)-DATE(1970,1,1))*86400),"")</f>
        <v/>
      </c>
    </row>
    <row r="179" customFormat="false" ht="19.5" hidden="false" customHeight="true" outlineLevel="0" collapsed="false">
      <c r="A179" s="12" t="n">
        <f aca="false">ROW()-4</f>
        <v>175</v>
      </c>
      <c r="B179" s="13"/>
      <c r="C179" s="14"/>
      <c r="D179" s="15"/>
      <c r="E179" s="14"/>
      <c r="F179" s="15"/>
      <c r="G179" s="16"/>
      <c r="H179" s="17"/>
      <c r="I179" s="18"/>
      <c r="J179" s="19"/>
      <c r="K179" s="14"/>
      <c r="L179" s="17"/>
      <c r="M179" s="19"/>
      <c r="N179" s="20"/>
      <c r="O179" s="19"/>
      <c r="P179" s="21"/>
      <c r="Q179" s="22" t="str">
        <f aca="false">IF(L179="","",IF(M179&lt;&gt;"",M179*L179*100,IF(AND(O179&lt;&gt;"",B179&lt;&gt;""),IFERROR(AVERAGEIF($B$5:$B$1004,B179,$M$5:$M$1004)*L179*100,""),"")))</f>
        <v/>
      </c>
      <c r="R179" s="22" t="str">
        <f aca="false">IF(AND(O179&lt;&gt;"",L179&lt;&gt;""),O179*L179*100,"")</f>
        <v/>
      </c>
      <c r="S179" s="23" t="str">
        <f aca="false">IF(AND(P179&lt;&gt;"",L179&lt;&gt;""),P179*L179*100,"")</f>
        <v/>
      </c>
      <c r="T179" s="24" t="str">
        <f aca="false">IF(AND(Q179&lt;&gt;"",R179&lt;&gt;""),R179-Q179,"")</f>
        <v/>
      </c>
      <c r="U179" s="25" t="str">
        <f aca="false">IF(AND(Q179&lt;&gt;"",Q179&lt;&gt;0,T179&lt;&gt;""),T179/Q179,"")</f>
        <v/>
      </c>
      <c r="V179" s="26" t="str">
        <f aca="false">IF(AND(S179&lt;&gt;"",Q179&lt;&gt;""),S179-Q179,"")</f>
        <v/>
      </c>
      <c r="W179" s="27" t="str">
        <f aca="false">IF(AND(Q179&lt;&gt;"",Q179&lt;&gt;0,V179&lt;&gt;""),V179/Q179,"")</f>
        <v/>
      </c>
      <c r="X179" s="28" t="s">
        <v>37</v>
      </c>
      <c r="Y179" s="29" t="str">
        <f aca="false">IF(AND(O179&lt;&gt;"",M179&lt;&gt;"",O179&gt;M179),CONCATENATE("1 : ",TEXT((O179-M179)/M179,"0.00")),IF(AND(O179&lt;&gt;"",M179&lt;&gt;"",O179&lt;M179),CONCATENATE("-1 : ",TEXT((M179-O179)/M179,"0.00")),"—"))</f>
        <v>—</v>
      </c>
      <c r="Z179" s="30" t="str">
        <f aca="false">IF(AND(P179&lt;&gt;"",M179&lt;&gt;"",P179&gt;M179),CONCATENATE("1 : ",TEXT((P179-M179)/M179,"0.00")),"—")</f>
        <v>—</v>
      </c>
      <c r="AA179" s="31" t="str">
        <f aca="false">IF(AND(C179&lt;&gt;"",E179&lt;&gt;""),E179-C179,"")</f>
        <v/>
      </c>
      <c r="AB179" s="17"/>
      <c r="AC179" s="32"/>
      <c r="AD179" s="33"/>
      <c r="AE179" s="34" t="str">
        <f aca="false">IF(G179&lt;&gt;"",HYPERLINK("https://www.tradingview.com/chart/?symbol="&amp;G179&amp;"&amp;interval=60&amp;from="&amp;(AG179-10*3600)&amp;"&amp;to="&amp;(AG179+50*3600),"📈 1H"),"")</f>
        <v/>
      </c>
      <c r="AF179" s="35" t="str">
        <f aca="false">IF(G179&lt;&gt;"",HYPERLINK("https://www.tradingview.com/chart/?symbol="&amp;G179&amp;"&amp;interval=240&amp;from="&amp;(AG179-10*14400)&amp;"&amp;to="&amp;(AG179+50*14400),"📈 4H"),"")</f>
        <v/>
      </c>
      <c r="AG179" s="36" t="str">
        <f aca="false">IF(C179&lt;&gt;"",INT((C179+IF(D179&lt;&gt;"",D179,0)-DATE(1970,1,1))*86400),"")</f>
        <v/>
      </c>
    </row>
    <row r="180" customFormat="false" ht="19.5" hidden="false" customHeight="true" outlineLevel="0" collapsed="false">
      <c r="A180" s="37" t="n">
        <f aca="false">ROW()-4</f>
        <v>176</v>
      </c>
      <c r="B180" s="38"/>
      <c r="C180" s="39"/>
      <c r="D180" s="40"/>
      <c r="E180" s="39"/>
      <c r="F180" s="40"/>
      <c r="G180" s="41"/>
      <c r="H180" s="42"/>
      <c r="I180" s="43"/>
      <c r="J180" s="44"/>
      <c r="K180" s="39"/>
      <c r="L180" s="42"/>
      <c r="M180" s="44"/>
      <c r="N180" s="45"/>
      <c r="O180" s="44"/>
      <c r="P180" s="46"/>
      <c r="Q180" s="47" t="str">
        <f aca="false">IF(L180="","",IF(M180&lt;&gt;"",M180*L180*100,IF(AND(O180&lt;&gt;"",B180&lt;&gt;""),IFERROR(AVERAGEIF($B$5:$B$1004,B180,$M$5:$M$1004)*L180*100,""),"")))</f>
        <v/>
      </c>
      <c r="R180" s="47" t="str">
        <f aca="false">IF(AND(O180&lt;&gt;"",L180&lt;&gt;""),O180*L180*100,"")</f>
        <v/>
      </c>
      <c r="S180" s="48" t="str">
        <f aca="false">IF(AND(P180&lt;&gt;"",L180&lt;&gt;""),P180*L180*100,"")</f>
        <v/>
      </c>
      <c r="T180" s="49" t="str">
        <f aca="false">IF(AND(Q180&lt;&gt;"",R180&lt;&gt;""),R180-Q180,"")</f>
        <v/>
      </c>
      <c r="U180" s="50" t="str">
        <f aca="false">IF(AND(Q180&lt;&gt;"",Q180&lt;&gt;0,T180&lt;&gt;""),T180/Q180,"")</f>
        <v/>
      </c>
      <c r="V180" s="51" t="str">
        <f aca="false">IF(AND(S180&lt;&gt;"",Q180&lt;&gt;""),S180-Q180,"")</f>
        <v/>
      </c>
      <c r="W180" s="52" t="str">
        <f aca="false">IF(AND(Q180&lt;&gt;"",Q180&lt;&gt;0,V180&lt;&gt;""),V180/Q180,"")</f>
        <v/>
      </c>
      <c r="X180" s="53" t="s">
        <v>37</v>
      </c>
      <c r="Y180" s="54" t="str">
        <f aca="false">IF(AND(O180&lt;&gt;"",M180&lt;&gt;"",O180&gt;M180),CONCATENATE("1 : ",TEXT((O180-M180)/M180,"0.00")),IF(AND(O180&lt;&gt;"",M180&lt;&gt;"",O180&lt;M180),CONCATENATE("-1 : ",TEXT((M180-O180)/M180,"0.00")),"—"))</f>
        <v>—</v>
      </c>
      <c r="Z180" s="55" t="str">
        <f aca="false">IF(AND(P180&lt;&gt;"",M180&lt;&gt;"",P180&gt;M180),CONCATENATE("1 : ",TEXT((P180-M180)/M180,"0.00")),"—")</f>
        <v>—</v>
      </c>
      <c r="AA180" s="56" t="str">
        <f aca="false">IF(AND(C180&lt;&gt;"",E180&lt;&gt;""),E180-C180,"")</f>
        <v/>
      </c>
      <c r="AB180" s="42"/>
      <c r="AC180" s="57"/>
      <c r="AD180" s="58"/>
      <c r="AE180" s="59" t="str">
        <f aca="false">IF(G180&lt;&gt;"",HYPERLINK("https://www.tradingview.com/chart/?symbol="&amp;G180&amp;"&amp;interval=60&amp;from="&amp;(AG180-10*3600)&amp;"&amp;to="&amp;(AG180+50*3600),"📈 1H"),"")</f>
        <v/>
      </c>
      <c r="AF180" s="60" t="str">
        <f aca="false">IF(G180&lt;&gt;"",HYPERLINK("https://www.tradingview.com/chart/?symbol="&amp;G180&amp;"&amp;interval=240&amp;from="&amp;(AG180-10*14400)&amp;"&amp;to="&amp;(AG180+50*14400),"📈 4H"),"")</f>
        <v/>
      </c>
      <c r="AG180" s="36" t="str">
        <f aca="false">IF(C180&lt;&gt;"",INT((C180+IF(D180&lt;&gt;"",D180,0)-DATE(1970,1,1))*86400),"")</f>
        <v/>
      </c>
    </row>
    <row r="181" customFormat="false" ht="19.5" hidden="false" customHeight="true" outlineLevel="0" collapsed="false">
      <c r="A181" s="12" t="n">
        <f aca="false">ROW()-4</f>
        <v>177</v>
      </c>
      <c r="B181" s="13"/>
      <c r="C181" s="14"/>
      <c r="D181" s="15"/>
      <c r="E181" s="14"/>
      <c r="F181" s="15"/>
      <c r="G181" s="16"/>
      <c r="H181" s="17"/>
      <c r="I181" s="18"/>
      <c r="J181" s="19"/>
      <c r="K181" s="14"/>
      <c r="L181" s="17"/>
      <c r="M181" s="19"/>
      <c r="N181" s="20"/>
      <c r="O181" s="19"/>
      <c r="P181" s="21"/>
      <c r="Q181" s="22" t="str">
        <f aca="false">IF(L181="","",IF(M181&lt;&gt;"",M181*L181*100,IF(AND(O181&lt;&gt;"",B181&lt;&gt;""),IFERROR(AVERAGEIF($B$5:$B$1004,B181,$M$5:$M$1004)*L181*100,""),"")))</f>
        <v/>
      </c>
      <c r="R181" s="22" t="str">
        <f aca="false">IF(AND(O181&lt;&gt;"",L181&lt;&gt;""),O181*L181*100,"")</f>
        <v/>
      </c>
      <c r="S181" s="23" t="str">
        <f aca="false">IF(AND(P181&lt;&gt;"",L181&lt;&gt;""),P181*L181*100,"")</f>
        <v/>
      </c>
      <c r="T181" s="24" t="str">
        <f aca="false">IF(AND(Q181&lt;&gt;"",R181&lt;&gt;""),R181-Q181,"")</f>
        <v/>
      </c>
      <c r="U181" s="25" t="str">
        <f aca="false">IF(AND(Q181&lt;&gt;"",Q181&lt;&gt;0,T181&lt;&gt;""),T181/Q181,"")</f>
        <v/>
      </c>
      <c r="V181" s="26" t="str">
        <f aca="false">IF(AND(S181&lt;&gt;"",Q181&lt;&gt;""),S181-Q181,"")</f>
        <v/>
      </c>
      <c r="W181" s="27" t="str">
        <f aca="false">IF(AND(Q181&lt;&gt;"",Q181&lt;&gt;0,V181&lt;&gt;""),V181/Q181,"")</f>
        <v/>
      </c>
      <c r="X181" s="28" t="s">
        <v>37</v>
      </c>
      <c r="Y181" s="29" t="str">
        <f aca="false">IF(AND(O181&lt;&gt;"",M181&lt;&gt;"",O181&gt;M181),CONCATENATE("1 : ",TEXT((O181-M181)/M181,"0.00")),IF(AND(O181&lt;&gt;"",M181&lt;&gt;"",O181&lt;M181),CONCATENATE("-1 : ",TEXT((M181-O181)/M181,"0.00")),"—"))</f>
        <v>—</v>
      </c>
      <c r="Z181" s="30" t="str">
        <f aca="false">IF(AND(P181&lt;&gt;"",M181&lt;&gt;"",P181&gt;M181),CONCATENATE("1 : ",TEXT((P181-M181)/M181,"0.00")),"—")</f>
        <v>—</v>
      </c>
      <c r="AA181" s="31" t="str">
        <f aca="false">IF(AND(C181&lt;&gt;"",E181&lt;&gt;""),E181-C181,"")</f>
        <v/>
      </c>
      <c r="AB181" s="17"/>
      <c r="AC181" s="32"/>
      <c r="AD181" s="33"/>
      <c r="AE181" s="34" t="str">
        <f aca="false">IF(G181&lt;&gt;"",HYPERLINK("https://www.tradingview.com/chart/?symbol="&amp;G181&amp;"&amp;interval=60&amp;from="&amp;(AG181-10*3600)&amp;"&amp;to="&amp;(AG181+50*3600),"📈 1H"),"")</f>
        <v/>
      </c>
      <c r="AF181" s="35" t="str">
        <f aca="false">IF(G181&lt;&gt;"",HYPERLINK("https://www.tradingview.com/chart/?symbol="&amp;G181&amp;"&amp;interval=240&amp;from="&amp;(AG181-10*14400)&amp;"&amp;to="&amp;(AG181+50*14400),"📈 4H"),"")</f>
        <v/>
      </c>
      <c r="AG181" s="36" t="str">
        <f aca="false">IF(C181&lt;&gt;"",INT((C181+IF(D181&lt;&gt;"",D181,0)-DATE(1970,1,1))*86400),"")</f>
        <v/>
      </c>
    </row>
    <row r="182" customFormat="false" ht="19.5" hidden="false" customHeight="true" outlineLevel="0" collapsed="false">
      <c r="A182" s="37" t="n">
        <f aca="false">ROW()-4</f>
        <v>178</v>
      </c>
      <c r="B182" s="38"/>
      <c r="C182" s="39"/>
      <c r="D182" s="40"/>
      <c r="E182" s="39"/>
      <c r="F182" s="40"/>
      <c r="G182" s="41"/>
      <c r="H182" s="42"/>
      <c r="I182" s="43"/>
      <c r="J182" s="44"/>
      <c r="K182" s="39"/>
      <c r="L182" s="42"/>
      <c r="M182" s="44"/>
      <c r="N182" s="45"/>
      <c r="O182" s="44"/>
      <c r="P182" s="46"/>
      <c r="Q182" s="47" t="str">
        <f aca="false">IF(L182="","",IF(M182&lt;&gt;"",M182*L182*100,IF(AND(O182&lt;&gt;"",B182&lt;&gt;""),IFERROR(AVERAGEIF($B$5:$B$1004,B182,$M$5:$M$1004)*L182*100,""),"")))</f>
        <v/>
      </c>
      <c r="R182" s="47" t="str">
        <f aca="false">IF(AND(O182&lt;&gt;"",L182&lt;&gt;""),O182*L182*100,"")</f>
        <v/>
      </c>
      <c r="S182" s="48" t="str">
        <f aca="false">IF(AND(P182&lt;&gt;"",L182&lt;&gt;""),P182*L182*100,"")</f>
        <v/>
      </c>
      <c r="T182" s="49" t="str">
        <f aca="false">IF(AND(Q182&lt;&gt;"",R182&lt;&gt;""),R182-Q182,"")</f>
        <v/>
      </c>
      <c r="U182" s="50" t="str">
        <f aca="false">IF(AND(Q182&lt;&gt;"",Q182&lt;&gt;0,T182&lt;&gt;""),T182/Q182,"")</f>
        <v/>
      </c>
      <c r="V182" s="51" t="str">
        <f aca="false">IF(AND(S182&lt;&gt;"",Q182&lt;&gt;""),S182-Q182,"")</f>
        <v/>
      </c>
      <c r="W182" s="52" t="str">
        <f aca="false">IF(AND(Q182&lt;&gt;"",Q182&lt;&gt;0,V182&lt;&gt;""),V182/Q182,"")</f>
        <v/>
      </c>
      <c r="X182" s="53" t="s">
        <v>37</v>
      </c>
      <c r="Y182" s="54" t="str">
        <f aca="false">IF(AND(O182&lt;&gt;"",M182&lt;&gt;"",O182&gt;M182),CONCATENATE("1 : ",TEXT((O182-M182)/M182,"0.00")),IF(AND(O182&lt;&gt;"",M182&lt;&gt;"",O182&lt;M182),CONCATENATE("-1 : ",TEXT((M182-O182)/M182,"0.00")),"—"))</f>
        <v>—</v>
      </c>
      <c r="Z182" s="55" t="str">
        <f aca="false">IF(AND(P182&lt;&gt;"",M182&lt;&gt;"",P182&gt;M182),CONCATENATE("1 : ",TEXT((P182-M182)/M182,"0.00")),"—")</f>
        <v>—</v>
      </c>
      <c r="AA182" s="56" t="str">
        <f aca="false">IF(AND(C182&lt;&gt;"",E182&lt;&gt;""),E182-C182,"")</f>
        <v/>
      </c>
      <c r="AB182" s="42"/>
      <c r="AC182" s="57"/>
      <c r="AD182" s="58"/>
      <c r="AE182" s="59" t="str">
        <f aca="false">IF(G182&lt;&gt;"",HYPERLINK("https://www.tradingview.com/chart/?symbol="&amp;G182&amp;"&amp;interval=60&amp;from="&amp;(AG182-10*3600)&amp;"&amp;to="&amp;(AG182+50*3600),"📈 1H"),"")</f>
        <v/>
      </c>
      <c r="AF182" s="60" t="str">
        <f aca="false">IF(G182&lt;&gt;"",HYPERLINK("https://www.tradingview.com/chart/?symbol="&amp;G182&amp;"&amp;interval=240&amp;from="&amp;(AG182-10*14400)&amp;"&amp;to="&amp;(AG182+50*14400),"📈 4H"),"")</f>
        <v/>
      </c>
      <c r="AG182" s="36" t="str">
        <f aca="false">IF(C182&lt;&gt;"",INT((C182+IF(D182&lt;&gt;"",D182,0)-DATE(1970,1,1))*86400),"")</f>
        <v/>
      </c>
    </row>
    <row r="183" customFormat="false" ht="19.5" hidden="false" customHeight="true" outlineLevel="0" collapsed="false">
      <c r="A183" s="12" t="n">
        <f aca="false">ROW()-4</f>
        <v>179</v>
      </c>
      <c r="B183" s="13"/>
      <c r="C183" s="14"/>
      <c r="D183" s="15"/>
      <c r="E183" s="14"/>
      <c r="F183" s="15"/>
      <c r="G183" s="16"/>
      <c r="H183" s="17"/>
      <c r="I183" s="18"/>
      <c r="J183" s="19"/>
      <c r="K183" s="14"/>
      <c r="L183" s="17"/>
      <c r="M183" s="19"/>
      <c r="N183" s="20"/>
      <c r="O183" s="19"/>
      <c r="P183" s="21"/>
      <c r="Q183" s="22" t="str">
        <f aca="false">IF(L183="","",IF(M183&lt;&gt;"",M183*L183*100,IF(AND(O183&lt;&gt;"",B183&lt;&gt;""),IFERROR(AVERAGEIF($B$5:$B$1004,B183,$M$5:$M$1004)*L183*100,""),"")))</f>
        <v/>
      </c>
      <c r="R183" s="22" t="str">
        <f aca="false">IF(AND(O183&lt;&gt;"",L183&lt;&gt;""),O183*L183*100,"")</f>
        <v/>
      </c>
      <c r="S183" s="23" t="str">
        <f aca="false">IF(AND(P183&lt;&gt;"",L183&lt;&gt;""),P183*L183*100,"")</f>
        <v/>
      </c>
      <c r="T183" s="24" t="str">
        <f aca="false">IF(AND(Q183&lt;&gt;"",R183&lt;&gt;""),R183-Q183,"")</f>
        <v/>
      </c>
      <c r="U183" s="25" t="str">
        <f aca="false">IF(AND(Q183&lt;&gt;"",Q183&lt;&gt;0,T183&lt;&gt;""),T183/Q183,"")</f>
        <v/>
      </c>
      <c r="V183" s="26" t="str">
        <f aca="false">IF(AND(S183&lt;&gt;"",Q183&lt;&gt;""),S183-Q183,"")</f>
        <v/>
      </c>
      <c r="W183" s="27" t="str">
        <f aca="false">IF(AND(Q183&lt;&gt;"",Q183&lt;&gt;0,V183&lt;&gt;""),V183/Q183,"")</f>
        <v/>
      </c>
      <c r="X183" s="28" t="s">
        <v>37</v>
      </c>
      <c r="Y183" s="29" t="str">
        <f aca="false">IF(AND(O183&lt;&gt;"",M183&lt;&gt;"",O183&gt;M183),CONCATENATE("1 : ",TEXT((O183-M183)/M183,"0.00")),IF(AND(O183&lt;&gt;"",M183&lt;&gt;"",O183&lt;M183),CONCATENATE("-1 : ",TEXT((M183-O183)/M183,"0.00")),"—"))</f>
        <v>—</v>
      </c>
      <c r="Z183" s="30" t="str">
        <f aca="false">IF(AND(P183&lt;&gt;"",M183&lt;&gt;"",P183&gt;M183),CONCATENATE("1 : ",TEXT((P183-M183)/M183,"0.00")),"—")</f>
        <v>—</v>
      </c>
      <c r="AA183" s="31" t="str">
        <f aca="false">IF(AND(C183&lt;&gt;"",E183&lt;&gt;""),E183-C183,"")</f>
        <v/>
      </c>
      <c r="AB183" s="17"/>
      <c r="AC183" s="32"/>
      <c r="AD183" s="33"/>
      <c r="AE183" s="34" t="str">
        <f aca="false">IF(G183&lt;&gt;"",HYPERLINK("https://www.tradingview.com/chart/?symbol="&amp;G183&amp;"&amp;interval=60&amp;from="&amp;(AG183-10*3600)&amp;"&amp;to="&amp;(AG183+50*3600),"📈 1H"),"")</f>
        <v/>
      </c>
      <c r="AF183" s="35" t="str">
        <f aca="false">IF(G183&lt;&gt;"",HYPERLINK("https://www.tradingview.com/chart/?symbol="&amp;G183&amp;"&amp;interval=240&amp;from="&amp;(AG183-10*14400)&amp;"&amp;to="&amp;(AG183+50*14400),"📈 4H"),"")</f>
        <v/>
      </c>
      <c r="AG183" s="36" t="str">
        <f aca="false">IF(C183&lt;&gt;"",INT((C183+IF(D183&lt;&gt;"",D183,0)-DATE(1970,1,1))*86400),"")</f>
        <v/>
      </c>
    </row>
    <row r="184" customFormat="false" ht="19.5" hidden="false" customHeight="true" outlineLevel="0" collapsed="false">
      <c r="A184" s="37" t="n">
        <f aca="false">ROW()-4</f>
        <v>180</v>
      </c>
      <c r="B184" s="38"/>
      <c r="C184" s="39"/>
      <c r="D184" s="40"/>
      <c r="E184" s="39"/>
      <c r="F184" s="40"/>
      <c r="G184" s="41"/>
      <c r="H184" s="42"/>
      <c r="I184" s="43"/>
      <c r="J184" s="44"/>
      <c r="K184" s="39"/>
      <c r="L184" s="42"/>
      <c r="M184" s="44"/>
      <c r="N184" s="45"/>
      <c r="O184" s="44"/>
      <c r="P184" s="46"/>
      <c r="Q184" s="47" t="str">
        <f aca="false">IF(L184="","",IF(M184&lt;&gt;"",M184*L184*100,IF(AND(O184&lt;&gt;"",B184&lt;&gt;""),IFERROR(AVERAGEIF($B$5:$B$1004,B184,$M$5:$M$1004)*L184*100,""),"")))</f>
        <v/>
      </c>
      <c r="R184" s="47" t="str">
        <f aca="false">IF(AND(O184&lt;&gt;"",L184&lt;&gt;""),O184*L184*100,"")</f>
        <v/>
      </c>
      <c r="S184" s="48" t="str">
        <f aca="false">IF(AND(P184&lt;&gt;"",L184&lt;&gt;""),P184*L184*100,"")</f>
        <v/>
      </c>
      <c r="T184" s="49" t="str">
        <f aca="false">IF(AND(Q184&lt;&gt;"",R184&lt;&gt;""),R184-Q184,"")</f>
        <v/>
      </c>
      <c r="U184" s="50" t="str">
        <f aca="false">IF(AND(Q184&lt;&gt;"",Q184&lt;&gt;0,T184&lt;&gt;""),T184/Q184,"")</f>
        <v/>
      </c>
      <c r="V184" s="51" t="str">
        <f aca="false">IF(AND(S184&lt;&gt;"",Q184&lt;&gt;""),S184-Q184,"")</f>
        <v/>
      </c>
      <c r="W184" s="52" t="str">
        <f aca="false">IF(AND(Q184&lt;&gt;"",Q184&lt;&gt;0,V184&lt;&gt;""),V184/Q184,"")</f>
        <v/>
      </c>
      <c r="X184" s="53" t="s">
        <v>37</v>
      </c>
      <c r="Y184" s="54" t="str">
        <f aca="false">IF(AND(O184&lt;&gt;"",M184&lt;&gt;"",O184&gt;M184),CONCATENATE("1 : ",TEXT((O184-M184)/M184,"0.00")),IF(AND(O184&lt;&gt;"",M184&lt;&gt;"",O184&lt;M184),CONCATENATE("-1 : ",TEXT((M184-O184)/M184,"0.00")),"—"))</f>
        <v>—</v>
      </c>
      <c r="Z184" s="55" t="str">
        <f aca="false">IF(AND(P184&lt;&gt;"",M184&lt;&gt;"",P184&gt;M184),CONCATENATE("1 : ",TEXT((P184-M184)/M184,"0.00")),"—")</f>
        <v>—</v>
      </c>
      <c r="AA184" s="56" t="str">
        <f aca="false">IF(AND(C184&lt;&gt;"",E184&lt;&gt;""),E184-C184,"")</f>
        <v/>
      </c>
      <c r="AB184" s="42"/>
      <c r="AC184" s="57"/>
      <c r="AD184" s="58"/>
      <c r="AE184" s="59" t="str">
        <f aca="false">IF(G184&lt;&gt;"",HYPERLINK("https://www.tradingview.com/chart/?symbol="&amp;G184&amp;"&amp;interval=60&amp;from="&amp;(AG184-10*3600)&amp;"&amp;to="&amp;(AG184+50*3600),"📈 1H"),"")</f>
        <v/>
      </c>
      <c r="AF184" s="60" t="str">
        <f aca="false">IF(G184&lt;&gt;"",HYPERLINK("https://www.tradingview.com/chart/?symbol="&amp;G184&amp;"&amp;interval=240&amp;from="&amp;(AG184-10*14400)&amp;"&amp;to="&amp;(AG184+50*14400),"📈 4H"),"")</f>
        <v/>
      </c>
      <c r="AG184" s="36" t="str">
        <f aca="false">IF(C184&lt;&gt;"",INT((C184+IF(D184&lt;&gt;"",D184,0)-DATE(1970,1,1))*86400),"")</f>
        <v/>
      </c>
    </row>
    <row r="185" customFormat="false" ht="19.5" hidden="false" customHeight="true" outlineLevel="0" collapsed="false">
      <c r="A185" s="12" t="n">
        <f aca="false">ROW()-4</f>
        <v>181</v>
      </c>
      <c r="B185" s="13"/>
      <c r="C185" s="14"/>
      <c r="D185" s="15"/>
      <c r="E185" s="14"/>
      <c r="F185" s="15"/>
      <c r="G185" s="16"/>
      <c r="H185" s="17"/>
      <c r="I185" s="18"/>
      <c r="J185" s="19"/>
      <c r="K185" s="14"/>
      <c r="L185" s="17"/>
      <c r="M185" s="19"/>
      <c r="N185" s="20"/>
      <c r="O185" s="19"/>
      <c r="P185" s="21"/>
      <c r="Q185" s="22" t="str">
        <f aca="false">IF(L185="","",IF(M185&lt;&gt;"",M185*L185*100,IF(AND(O185&lt;&gt;"",B185&lt;&gt;""),IFERROR(AVERAGEIF($B$5:$B$1004,B185,$M$5:$M$1004)*L185*100,""),"")))</f>
        <v/>
      </c>
      <c r="R185" s="22" t="str">
        <f aca="false">IF(AND(O185&lt;&gt;"",L185&lt;&gt;""),O185*L185*100,"")</f>
        <v/>
      </c>
      <c r="S185" s="23" t="str">
        <f aca="false">IF(AND(P185&lt;&gt;"",L185&lt;&gt;""),P185*L185*100,"")</f>
        <v/>
      </c>
      <c r="T185" s="24" t="str">
        <f aca="false">IF(AND(Q185&lt;&gt;"",R185&lt;&gt;""),R185-Q185,"")</f>
        <v/>
      </c>
      <c r="U185" s="25" t="str">
        <f aca="false">IF(AND(Q185&lt;&gt;"",Q185&lt;&gt;0,T185&lt;&gt;""),T185/Q185,"")</f>
        <v/>
      </c>
      <c r="V185" s="26" t="str">
        <f aca="false">IF(AND(S185&lt;&gt;"",Q185&lt;&gt;""),S185-Q185,"")</f>
        <v/>
      </c>
      <c r="W185" s="27" t="str">
        <f aca="false">IF(AND(Q185&lt;&gt;"",Q185&lt;&gt;0,V185&lt;&gt;""),V185/Q185,"")</f>
        <v/>
      </c>
      <c r="X185" s="28" t="s">
        <v>37</v>
      </c>
      <c r="Y185" s="29" t="str">
        <f aca="false">IF(AND(O185&lt;&gt;"",M185&lt;&gt;"",O185&gt;M185),CONCATENATE("1 : ",TEXT((O185-M185)/M185,"0.00")),IF(AND(O185&lt;&gt;"",M185&lt;&gt;"",O185&lt;M185),CONCATENATE("-1 : ",TEXT((M185-O185)/M185,"0.00")),"—"))</f>
        <v>—</v>
      </c>
      <c r="Z185" s="30" t="str">
        <f aca="false">IF(AND(P185&lt;&gt;"",M185&lt;&gt;"",P185&gt;M185),CONCATENATE("1 : ",TEXT((P185-M185)/M185,"0.00")),"—")</f>
        <v>—</v>
      </c>
      <c r="AA185" s="31" t="str">
        <f aca="false">IF(AND(C185&lt;&gt;"",E185&lt;&gt;""),E185-C185,"")</f>
        <v/>
      </c>
      <c r="AB185" s="17"/>
      <c r="AC185" s="32"/>
      <c r="AD185" s="33"/>
      <c r="AE185" s="34" t="str">
        <f aca="false">IF(G185&lt;&gt;"",HYPERLINK("https://www.tradingview.com/chart/?symbol="&amp;G185&amp;"&amp;interval=60&amp;from="&amp;(AG185-10*3600)&amp;"&amp;to="&amp;(AG185+50*3600),"📈 1H"),"")</f>
        <v/>
      </c>
      <c r="AF185" s="35" t="str">
        <f aca="false">IF(G185&lt;&gt;"",HYPERLINK("https://www.tradingview.com/chart/?symbol="&amp;G185&amp;"&amp;interval=240&amp;from="&amp;(AG185-10*14400)&amp;"&amp;to="&amp;(AG185+50*14400),"📈 4H"),"")</f>
        <v/>
      </c>
      <c r="AG185" s="36" t="str">
        <f aca="false">IF(C185&lt;&gt;"",INT((C185+IF(D185&lt;&gt;"",D185,0)-DATE(1970,1,1))*86400),"")</f>
        <v/>
      </c>
    </row>
    <row r="186" customFormat="false" ht="19.5" hidden="false" customHeight="true" outlineLevel="0" collapsed="false">
      <c r="A186" s="37" t="n">
        <f aca="false">ROW()-4</f>
        <v>182</v>
      </c>
      <c r="B186" s="38"/>
      <c r="C186" s="39"/>
      <c r="D186" s="40"/>
      <c r="E186" s="39"/>
      <c r="F186" s="40"/>
      <c r="G186" s="41"/>
      <c r="H186" s="42"/>
      <c r="I186" s="43"/>
      <c r="J186" s="44"/>
      <c r="K186" s="39"/>
      <c r="L186" s="42"/>
      <c r="M186" s="44"/>
      <c r="N186" s="45"/>
      <c r="O186" s="44"/>
      <c r="P186" s="46"/>
      <c r="Q186" s="47" t="str">
        <f aca="false">IF(L186="","",IF(M186&lt;&gt;"",M186*L186*100,IF(AND(O186&lt;&gt;"",B186&lt;&gt;""),IFERROR(AVERAGEIF($B$5:$B$1004,B186,$M$5:$M$1004)*L186*100,""),"")))</f>
        <v/>
      </c>
      <c r="R186" s="47" t="str">
        <f aca="false">IF(AND(O186&lt;&gt;"",L186&lt;&gt;""),O186*L186*100,"")</f>
        <v/>
      </c>
      <c r="S186" s="48" t="str">
        <f aca="false">IF(AND(P186&lt;&gt;"",L186&lt;&gt;""),P186*L186*100,"")</f>
        <v/>
      </c>
      <c r="T186" s="49" t="str">
        <f aca="false">IF(AND(Q186&lt;&gt;"",R186&lt;&gt;""),R186-Q186,"")</f>
        <v/>
      </c>
      <c r="U186" s="50" t="str">
        <f aca="false">IF(AND(Q186&lt;&gt;"",Q186&lt;&gt;0,T186&lt;&gt;""),T186/Q186,"")</f>
        <v/>
      </c>
      <c r="V186" s="51" t="str">
        <f aca="false">IF(AND(S186&lt;&gt;"",Q186&lt;&gt;""),S186-Q186,"")</f>
        <v/>
      </c>
      <c r="W186" s="52" t="str">
        <f aca="false">IF(AND(Q186&lt;&gt;"",Q186&lt;&gt;0,V186&lt;&gt;""),V186/Q186,"")</f>
        <v/>
      </c>
      <c r="X186" s="53" t="s">
        <v>37</v>
      </c>
      <c r="Y186" s="54" t="str">
        <f aca="false">IF(AND(O186&lt;&gt;"",M186&lt;&gt;"",O186&gt;M186),CONCATENATE("1 : ",TEXT((O186-M186)/M186,"0.00")),IF(AND(O186&lt;&gt;"",M186&lt;&gt;"",O186&lt;M186),CONCATENATE("-1 : ",TEXT((M186-O186)/M186,"0.00")),"—"))</f>
        <v>—</v>
      </c>
      <c r="Z186" s="55" t="str">
        <f aca="false">IF(AND(P186&lt;&gt;"",M186&lt;&gt;"",P186&gt;M186),CONCATENATE("1 : ",TEXT((P186-M186)/M186,"0.00")),"—")</f>
        <v>—</v>
      </c>
      <c r="AA186" s="56" t="str">
        <f aca="false">IF(AND(C186&lt;&gt;"",E186&lt;&gt;""),E186-C186,"")</f>
        <v/>
      </c>
      <c r="AB186" s="42"/>
      <c r="AC186" s="57"/>
      <c r="AD186" s="58"/>
      <c r="AE186" s="59" t="str">
        <f aca="false">IF(G186&lt;&gt;"",HYPERLINK("https://www.tradingview.com/chart/?symbol="&amp;G186&amp;"&amp;interval=60&amp;from="&amp;(AG186-10*3600)&amp;"&amp;to="&amp;(AG186+50*3600),"📈 1H"),"")</f>
        <v/>
      </c>
      <c r="AF186" s="60" t="str">
        <f aca="false">IF(G186&lt;&gt;"",HYPERLINK("https://www.tradingview.com/chart/?symbol="&amp;G186&amp;"&amp;interval=240&amp;from="&amp;(AG186-10*14400)&amp;"&amp;to="&amp;(AG186+50*14400),"📈 4H"),"")</f>
        <v/>
      </c>
      <c r="AG186" s="36" t="str">
        <f aca="false">IF(C186&lt;&gt;"",INT((C186+IF(D186&lt;&gt;"",D186,0)-DATE(1970,1,1))*86400),"")</f>
        <v/>
      </c>
    </row>
    <row r="187" customFormat="false" ht="19.5" hidden="false" customHeight="true" outlineLevel="0" collapsed="false">
      <c r="A187" s="12" t="n">
        <f aca="false">ROW()-4</f>
        <v>183</v>
      </c>
      <c r="B187" s="13"/>
      <c r="C187" s="14"/>
      <c r="D187" s="15"/>
      <c r="E187" s="14"/>
      <c r="F187" s="15"/>
      <c r="G187" s="16"/>
      <c r="H187" s="17"/>
      <c r="I187" s="18"/>
      <c r="J187" s="19"/>
      <c r="K187" s="14"/>
      <c r="L187" s="17"/>
      <c r="M187" s="19"/>
      <c r="N187" s="20"/>
      <c r="O187" s="19"/>
      <c r="P187" s="21"/>
      <c r="Q187" s="22" t="str">
        <f aca="false">IF(L187="","",IF(M187&lt;&gt;"",M187*L187*100,IF(AND(O187&lt;&gt;"",B187&lt;&gt;""),IFERROR(AVERAGEIF($B$5:$B$1004,B187,$M$5:$M$1004)*L187*100,""),"")))</f>
        <v/>
      </c>
      <c r="R187" s="22" t="str">
        <f aca="false">IF(AND(O187&lt;&gt;"",L187&lt;&gt;""),O187*L187*100,"")</f>
        <v/>
      </c>
      <c r="S187" s="23" t="str">
        <f aca="false">IF(AND(P187&lt;&gt;"",L187&lt;&gt;""),P187*L187*100,"")</f>
        <v/>
      </c>
      <c r="T187" s="24" t="str">
        <f aca="false">IF(AND(Q187&lt;&gt;"",R187&lt;&gt;""),R187-Q187,"")</f>
        <v/>
      </c>
      <c r="U187" s="25" t="str">
        <f aca="false">IF(AND(Q187&lt;&gt;"",Q187&lt;&gt;0,T187&lt;&gt;""),T187/Q187,"")</f>
        <v/>
      </c>
      <c r="V187" s="26" t="str">
        <f aca="false">IF(AND(S187&lt;&gt;"",Q187&lt;&gt;""),S187-Q187,"")</f>
        <v/>
      </c>
      <c r="W187" s="27" t="str">
        <f aca="false">IF(AND(Q187&lt;&gt;"",Q187&lt;&gt;0,V187&lt;&gt;""),V187/Q187,"")</f>
        <v/>
      </c>
      <c r="X187" s="28" t="s">
        <v>37</v>
      </c>
      <c r="Y187" s="29" t="str">
        <f aca="false">IF(AND(O187&lt;&gt;"",M187&lt;&gt;"",O187&gt;M187),CONCATENATE("1 : ",TEXT((O187-M187)/M187,"0.00")),IF(AND(O187&lt;&gt;"",M187&lt;&gt;"",O187&lt;M187),CONCATENATE("-1 : ",TEXT((M187-O187)/M187,"0.00")),"—"))</f>
        <v>—</v>
      </c>
      <c r="Z187" s="30" t="str">
        <f aca="false">IF(AND(P187&lt;&gt;"",M187&lt;&gt;"",P187&gt;M187),CONCATENATE("1 : ",TEXT((P187-M187)/M187,"0.00")),"—")</f>
        <v>—</v>
      </c>
      <c r="AA187" s="31" t="str">
        <f aca="false">IF(AND(C187&lt;&gt;"",E187&lt;&gt;""),E187-C187,"")</f>
        <v/>
      </c>
      <c r="AB187" s="17"/>
      <c r="AC187" s="32"/>
      <c r="AD187" s="33"/>
      <c r="AE187" s="34" t="str">
        <f aca="false">IF(G187&lt;&gt;"",HYPERLINK("https://www.tradingview.com/chart/?symbol="&amp;G187&amp;"&amp;interval=60&amp;from="&amp;(AG187-10*3600)&amp;"&amp;to="&amp;(AG187+50*3600),"📈 1H"),"")</f>
        <v/>
      </c>
      <c r="AF187" s="35" t="str">
        <f aca="false">IF(G187&lt;&gt;"",HYPERLINK("https://www.tradingview.com/chart/?symbol="&amp;G187&amp;"&amp;interval=240&amp;from="&amp;(AG187-10*14400)&amp;"&amp;to="&amp;(AG187+50*14400),"📈 4H"),"")</f>
        <v/>
      </c>
      <c r="AG187" s="36" t="str">
        <f aca="false">IF(C187&lt;&gt;"",INT((C187+IF(D187&lt;&gt;"",D187,0)-DATE(1970,1,1))*86400),"")</f>
        <v/>
      </c>
    </row>
    <row r="188" customFormat="false" ht="19.5" hidden="false" customHeight="true" outlineLevel="0" collapsed="false">
      <c r="A188" s="37" t="n">
        <f aca="false">ROW()-4</f>
        <v>184</v>
      </c>
      <c r="B188" s="38"/>
      <c r="C188" s="39"/>
      <c r="D188" s="40"/>
      <c r="E188" s="39"/>
      <c r="F188" s="40"/>
      <c r="G188" s="41"/>
      <c r="H188" s="42"/>
      <c r="I188" s="43"/>
      <c r="J188" s="44"/>
      <c r="K188" s="39"/>
      <c r="L188" s="42"/>
      <c r="M188" s="44"/>
      <c r="N188" s="45"/>
      <c r="O188" s="44"/>
      <c r="P188" s="46"/>
      <c r="Q188" s="47" t="str">
        <f aca="false">IF(L188="","",IF(M188&lt;&gt;"",M188*L188*100,IF(AND(O188&lt;&gt;"",B188&lt;&gt;""),IFERROR(AVERAGEIF($B$5:$B$1004,B188,$M$5:$M$1004)*L188*100,""),"")))</f>
        <v/>
      </c>
      <c r="R188" s="47" t="str">
        <f aca="false">IF(AND(O188&lt;&gt;"",L188&lt;&gt;""),O188*L188*100,"")</f>
        <v/>
      </c>
      <c r="S188" s="48" t="str">
        <f aca="false">IF(AND(P188&lt;&gt;"",L188&lt;&gt;""),P188*L188*100,"")</f>
        <v/>
      </c>
      <c r="T188" s="49" t="str">
        <f aca="false">IF(AND(Q188&lt;&gt;"",R188&lt;&gt;""),R188-Q188,"")</f>
        <v/>
      </c>
      <c r="U188" s="50" t="str">
        <f aca="false">IF(AND(Q188&lt;&gt;"",Q188&lt;&gt;0,T188&lt;&gt;""),T188/Q188,"")</f>
        <v/>
      </c>
      <c r="V188" s="51" t="str">
        <f aca="false">IF(AND(S188&lt;&gt;"",Q188&lt;&gt;""),S188-Q188,"")</f>
        <v/>
      </c>
      <c r="W188" s="52" t="str">
        <f aca="false">IF(AND(Q188&lt;&gt;"",Q188&lt;&gt;0,V188&lt;&gt;""),V188/Q188,"")</f>
        <v/>
      </c>
      <c r="X188" s="53" t="s">
        <v>37</v>
      </c>
      <c r="Y188" s="54" t="str">
        <f aca="false">IF(AND(O188&lt;&gt;"",M188&lt;&gt;"",O188&gt;M188),CONCATENATE("1 : ",TEXT((O188-M188)/M188,"0.00")),IF(AND(O188&lt;&gt;"",M188&lt;&gt;"",O188&lt;M188),CONCATENATE("-1 : ",TEXT((M188-O188)/M188,"0.00")),"—"))</f>
        <v>—</v>
      </c>
      <c r="Z188" s="55" t="str">
        <f aca="false">IF(AND(P188&lt;&gt;"",M188&lt;&gt;"",P188&gt;M188),CONCATENATE("1 : ",TEXT((P188-M188)/M188,"0.00")),"—")</f>
        <v>—</v>
      </c>
      <c r="AA188" s="56" t="str">
        <f aca="false">IF(AND(C188&lt;&gt;"",E188&lt;&gt;""),E188-C188,"")</f>
        <v/>
      </c>
      <c r="AB188" s="42"/>
      <c r="AC188" s="57"/>
      <c r="AD188" s="58"/>
      <c r="AE188" s="59" t="str">
        <f aca="false">IF(G188&lt;&gt;"",HYPERLINK("https://www.tradingview.com/chart/?symbol="&amp;G188&amp;"&amp;interval=60&amp;from="&amp;(AG188-10*3600)&amp;"&amp;to="&amp;(AG188+50*3600),"📈 1H"),"")</f>
        <v/>
      </c>
      <c r="AF188" s="60" t="str">
        <f aca="false">IF(G188&lt;&gt;"",HYPERLINK("https://www.tradingview.com/chart/?symbol="&amp;G188&amp;"&amp;interval=240&amp;from="&amp;(AG188-10*14400)&amp;"&amp;to="&amp;(AG188+50*14400),"📈 4H"),"")</f>
        <v/>
      </c>
      <c r="AG188" s="36" t="str">
        <f aca="false">IF(C188&lt;&gt;"",INT((C188+IF(D188&lt;&gt;"",D188,0)-DATE(1970,1,1))*86400),"")</f>
        <v/>
      </c>
    </row>
    <row r="189" customFormat="false" ht="19.5" hidden="false" customHeight="true" outlineLevel="0" collapsed="false">
      <c r="A189" s="12" t="n">
        <f aca="false">ROW()-4</f>
        <v>185</v>
      </c>
      <c r="B189" s="13"/>
      <c r="C189" s="14"/>
      <c r="D189" s="15"/>
      <c r="E189" s="14"/>
      <c r="F189" s="15"/>
      <c r="G189" s="16"/>
      <c r="H189" s="17"/>
      <c r="I189" s="18"/>
      <c r="J189" s="19"/>
      <c r="K189" s="14"/>
      <c r="L189" s="17"/>
      <c r="M189" s="19"/>
      <c r="N189" s="20"/>
      <c r="O189" s="19"/>
      <c r="P189" s="21"/>
      <c r="Q189" s="22" t="str">
        <f aca="false">IF(L189="","",IF(M189&lt;&gt;"",M189*L189*100,IF(AND(O189&lt;&gt;"",B189&lt;&gt;""),IFERROR(AVERAGEIF($B$5:$B$1004,B189,$M$5:$M$1004)*L189*100,""),"")))</f>
        <v/>
      </c>
      <c r="R189" s="22" t="str">
        <f aca="false">IF(AND(O189&lt;&gt;"",L189&lt;&gt;""),O189*L189*100,"")</f>
        <v/>
      </c>
      <c r="S189" s="23" t="str">
        <f aca="false">IF(AND(P189&lt;&gt;"",L189&lt;&gt;""),P189*L189*100,"")</f>
        <v/>
      </c>
      <c r="T189" s="24" t="str">
        <f aca="false">IF(AND(Q189&lt;&gt;"",R189&lt;&gt;""),R189-Q189,"")</f>
        <v/>
      </c>
      <c r="U189" s="25" t="str">
        <f aca="false">IF(AND(Q189&lt;&gt;"",Q189&lt;&gt;0,T189&lt;&gt;""),T189/Q189,"")</f>
        <v/>
      </c>
      <c r="V189" s="26" t="str">
        <f aca="false">IF(AND(S189&lt;&gt;"",Q189&lt;&gt;""),S189-Q189,"")</f>
        <v/>
      </c>
      <c r="W189" s="27" t="str">
        <f aca="false">IF(AND(Q189&lt;&gt;"",Q189&lt;&gt;0,V189&lt;&gt;""),V189/Q189,"")</f>
        <v/>
      </c>
      <c r="X189" s="28" t="s">
        <v>37</v>
      </c>
      <c r="Y189" s="29" t="str">
        <f aca="false">IF(AND(O189&lt;&gt;"",M189&lt;&gt;"",O189&gt;M189),CONCATENATE("1 : ",TEXT((O189-M189)/M189,"0.00")),IF(AND(O189&lt;&gt;"",M189&lt;&gt;"",O189&lt;M189),CONCATENATE("-1 : ",TEXT((M189-O189)/M189,"0.00")),"—"))</f>
        <v>—</v>
      </c>
      <c r="Z189" s="30" t="str">
        <f aca="false">IF(AND(P189&lt;&gt;"",M189&lt;&gt;"",P189&gt;M189),CONCATENATE("1 : ",TEXT((P189-M189)/M189,"0.00")),"—")</f>
        <v>—</v>
      </c>
      <c r="AA189" s="31" t="str">
        <f aca="false">IF(AND(C189&lt;&gt;"",E189&lt;&gt;""),E189-C189,"")</f>
        <v/>
      </c>
      <c r="AB189" s="17"/>
      <c r="AC189" s="32"/>
      <c r="AD189" s="33"/>
      <c r="AE189" s="34" t="str">
        <f aca="false">IF(G189&lt;&gt;"",HYPERLINK("https://www.tradingview.com/chart/?symbol="&amp;G189&amp;"&amp;interval=60&amp;from="&amp;(AG189-10*3600)&amp;"&amp;to="&amp;(AG189+50*3600),"📈 1H"),"")</f>
        <v/>
      </c>
      <c r="AF189" s="35" t="str">
        <f aca="false">IF(G189&lt;&gt;"",HYPERLINK("https://www.tradingview.com/chart/?symbol="&amp;G189&amp;"&amp;interval=240&amp;from="&amp;(AG189-10*14400)&amp;"&amp;to="&amp;(AG189+50*14400),"📈 4H"),"")</f>
        <v/>
      </c>
      <c r="AG189" s="36" t="str">
        <f aca="false">IF(C189&lt;&gt;"",INT((C189+IF(D189&lt;&gt;"",D189,0)-DATE(1970,1,1))*86400),"")</f>
        <v/>
      </c>
    </row>
    <row r="190" customFormat="false" ht="19.5" hidden="false" customHeight="true" outlineLevel="0" collapsed="false">
      <c r="A190" s="37" t="n">
        <f aca="false">ROW()-4</f>
        <v>186</v>
      </c>
      <c r="B190" s="38"/>
      <c r="C190" s="39"/>
      <c r="D190" s="40"/>
      <c r="E190" s="39"/>
      <c r="F190" s="40"/>
      <c r="G190" s="41"/>
      <c r="H190" s="42"/>
      <c r="I190" s="43"/>
      <c r="J190" s="44"/>
      <c r="K190" s="39"/>
      <c r="L190" s="42"/>
      <c r="M190" s="44"/>
      <c r="N190" s="45"/>
      <c r="O190" s="44"/>
      <c r="P190" s="46"/>
      <c r="Q190" s="47" t="str">
        <f aca="false">IF(L190="","",IF(M190&lt;&gt;"",M190*L190*100,IF(AND(O190&lt;&gt;"",B190&lt;&gt;""),IFERROR(AVERAGEIF($B$5:$B$1004,B190,$M$5:$M$1004)*L190*100,""),"")))</f>
        <v/>
      </c>
      <c r="R190" s="47" t="str">
        <f aca="false">IF(AND(O190&lt;&gt;"",L190&lt;&gt;""),O190*L190*100,"")</f>
        <v/>
      </c>
      <c r="S190" s="48" t="str">
        <f aca="false">IF(AND(P190&lt;&gt;"",L190&lt;&gt;""),P190*L190*100,"")</f>
        <v/>
      </c>
      <c r="T190" s="49" t="str">
        <f aca="false">IF(AND(Q190&lt;&gt;"",R190&lt;&gt;""),R190-Q190,"")</f>
        <v/>
      </c>
      <c r="U190" s="50" t="str">
        <f aca="false">IF(AND(Q190&lt;&gt;"",Q190&lt;&gt;0,T190&lt;&gt;""),T190/Q190,"")</f>
        <v/>
      </c>
      <c r="V190" s="51" t="str">
        <f aca="false">IF(AND(S190&lt;&gt;"",Q190&lt;&gt;""),S190-Q190,"")</f>
        <v/>
      </c>
      <c r="W190" s="52" t="str">
        <f aca="false">IF(AND(Q190&lt;&gt;"",Q190&lt;&gt;0,V190&lt;&gt;""),V190/Q190,"")</f>
        <v/>
      </c>
      <c r="X190" s="53" t="s">
        <v>37</v>
      </c>
      <c r="Y190" s="54" t="str">
        <f aca="false">IF(AND(O190&lt;&gt;"",M190&lt;&gt;"",O190&gt;M190),CONCATENATE("1 : ",TEXT((O190-M190)/M190,"0.00")),IF(AND(O190&lt;&gt;"",M190&lt;&gt;"",O190&lt;M190),CONCATENATE("-1 : ",TEXT((M190-O190)/M190,"0.00")),"—"))</f>
        <v>—</v>
      </c>
      <c r="Z190" s="55" t="str">
        <f aca="false">IF(AND(P190&lt;&gt;"",M190&lt;&gt;"",P190&gt;M190),CONCATENATE("1 : ",TEXT((P190-M190)/M190,"0.00")),"—")</f>
        <v>—</v>
      </c>
      <c r="AA190" s="56" t="str">
        <f aca="false">IF(AND(C190&lt;&gt;"",E190&lt;&gt;""),E190-C190,"")</f>
        <v/>
      </c>
      <c r="AB190" s="42"/>
      <c r="AC190" s="57"/>
      <c r="AD190" s="58"/>
      <c r="AE190" s="59" t="str">
        <f aca="false">IF(G190&lt;&gt;"",HYPERLINK("https://www.tradingview.com/chart/?symbol="&amp;G190&amp;"&amp;interval=60&amp;from="&amp;(AG190-10*3600)&amp;"&amp;to="&amp;(AG190+50*3600),"📈 1H"),"")</f>
        <v/>
      </c>
      <c r="AF190" s="60" t="str">
        <f aca="false">IF(G190&lt;&gt;"",HYPERLINK("https://www.tradingview.com/chart/?symbol="&amp;G190&amp;"&amp;interval=240&amp;from="&amp;(AG190-10*14400)&amp;"&amp;to="&amp;(AG190+50*14400),"📈 4H"),"")</f>
        <v/>
      </c>
      <c r="AG190" s="36" t="str">
        <f aca="false">IF(C190&lt;&gt;"",INT((C190+IF(D190&lt;&gt;"",D190,0)-DATE(1970,1,1))*86400),"")</f>
        <v/>
      </c>
    </row>
    <row r="191" customFormat="false" ht="19.5" hidden="false" customHeight="true" outlineLevel="0" collapsed="false">
      <c r="A191" s="12" t="n">
        <f aca="false">ROW()-4</f>
        <v>187</v>
      </c>
      <c r="B191" s="13"/>
      <c r="C191" s="14"/>
      <c r="D191" s="15"/>
      <c r="E191" s="14"/>
      <c r="F191" s="15"/>
      <c r="G191" s="16"/>
      <c r="H191" s="17"/>
      <c r="I191" s="18"/>
      <c r="J191" s="19"/>
      <c r="K191" s="14"/>
      <c r="L191" s="17"/>
      <c r="M191" s="19"/>
      <c r="N191" s="20"/>
      <c r="O191" s="19"/>
      <c r="P191" s="21"/>
      <c r="Q191" s="22" t="str">
        <f aca="false">IF(L191="","",IF(M191&lt;&gt;"",M191*L191*100,IF(AND(O191&lt;&gt;"",B191&lt;&gt;""),IFERROR(AVERAGEIF($B$5:$B$1004,B191,$M$5:$M$1004)*L191*100,""),"")))</f>
        <v/>
      </c>
      <c r="R191" s="22" t="str">
        <f aca="false">IF(AND(O191&lt;&gt;"",L191&lt;&gt;""),O191*L191*100,"")</f>
        <v/>
      </c>
      <c r="S191" s="23" t="str">
        <f aca="false">IF(AND(P191&lt;&gt;"",L191&lt;&gt;""),P191*L191*100,"")</f>
        <v/>
      </c>
      <c r="T191" s="24" t="str">
        <f aca="false">IF(AND(Q191&lt;&gt;"",R191&lt;&gt;""),R191-Q191,"")</f>
        <v/>
      </c>
      <c r="U191" s="25" t="str">
        <f aca="false">IF(AND(Q191&lt;&gt;"",Q191&lt;&gt;0,T191&lt;&gt;""),T191/Q191,"")</f>
        <v/>
      </c>
      <c r="V191" s="26" t="str">
        <f aca="false">IF(AND(S191&lt;&gt;"",Q191&lt;&gt;""),S191-Q191,"")</f>
        <v/>
      </c>
      <c r="W191" s="27" t="str">
        <f aca="false">IF(AND(Q191&lt;&gt;"",Q191&lt;&gt;0,V191&lt;&gt;""),V191/Q191,"")</f>
        <v/>
      </c>
      <c r="X191" s="28" t="s">
        <v>37</v>
      </c>
      <c r="Y191" s="29" t="str">
        <f aca="false">IF(AND(O191&lt;&gt;"",M191&lt;&gt;"",O191&gt;M191),CONCATENATE("1 : ",TEXT((O191-M191)/M191,"0.00")),IF(AND(O191&lt;&gt;"",M191&lt;&gt;"",O191&lt;M191),CONCATENATE("-1 : ",TEXT((M191-O191)/M191,"0.00")),"—"))</f>
        <v>—</v>
      </c>
      <c r="Z191" s="30" t="str">
        <f aca="false">IF(AND(P191&lt;&gt;"",M191&lt;&gt;"",P191&gt;M191),CONCATENATE("1 : ",TEXT((P191-M191)/M191,"0.00")),"—")</f>
        <v>—</v>
      </c>
      <c r="AA191" s="31" t="str">
        <f aca="false">IF(AND(C191&lt;&gt;"",E191&lt;&gt;""),E191-C191,"")</f>
        <v/>
      </c>
      <c r="AB191" s="17"/>
      <c r="AC191" s="32"/>
      <c r="AD191" s="33"/>
      <c r="AE191" s="34" t="str">
        <f aca="false">IF(G191&lt;&gt;"",HYPERLINK("https://www.tradingview.com/chart/?symbol="&amp;G191&amp;"&amp;interval=60&amp;from="&amp;(AG191-10*3600)&amp;"&amp;to="&amp;(AG191+50*3600),"📈 1H"),"")</f>
        <v/>
      </c>
      <c r="AF191" s="35" t="str">
        <f aca="false">IF(G191&lt;&gt;"",HYPERLINK("https://www.tradingview.com/chart/?symbol="&amp;G191&amp;"&amp;interval=240&amp;from="&amp;(AG191-10*14400)&amp;"&amp;to="&amp;(AG191+50*14400),"📈 4H"),"")</f>
        <v/>
      </c>
      <c r="AG191" s="36" t="str">
        <f aca="false">IF(C191&lt;&gt;"",INT((C191+IF(D191&lt;&gt;"",D191,0)-DATE(1970,1,1))*86400),"")</f>
        <v/>
      </c>
    </row>
    <row r="192" customFormat="false" ht="19.5" hidden="false" customHeight="true" outlineLevel="0" collapsed="false">
      <c r="A192" s="37" t="n">
        <f aca="false">ROW()-4</f>
        <v>188</v>
      </c>
      <c r="B192" s="38"/>
      <c r="C192" s="39"/>
      <c r="D192" s="40"/>
      <c r="E192" s="39"/>
      <c r="F192" s="40"/>
      <c r="G192" s="41"/>
      <c r="H192" s="42"/>
      <c r="I192" s="43"/>
      <c r="J192" s="44"/>
      <c r="K192" s="39"/>
      <c r="L192" s="42"/>
      <c r="M192" s="44"/>
      <c r="N192" s="45"/>
      <c r="O192" s="44"/>
      <c r="P192" s="46"/>
      <c r="Q192" s="47" t="str">
        <f aca="false">IF(L192="","",IF(M192&lt;&gt;"",M192*L192*100,IF(AND(O192&lt;&gt;"",B192&lt;&gt;""),IFERROR(AVERAGEIF($B$5:$B$1004,B192,$M$5:$M$1004)*L192*100,""),"")))</f>
        <v/>
      </c>
      <c r="R192" s="47" t="str">
        <f aca="false">IF(AND(O192&lt;&gt;"",L192&lt;&gt;""),O192*L192*100,"")</f>
        <v/>
      </c>
      <c r="S192" s="48" t="str">
        <f aca="false">IF(AND(P192&lt;&gt;"",L192&lt;&gt;""),P192*L192*100,"")</f>
        <v/>
      </c>
      <c r="T192" s="49" t="str">
        <f aca="false">IF(AND(Q192&lt;&gt;"",R192&lt;&gt;""),R192-Q192,"")</f>
        <v/>
      </c>
      <c r="U192" s="50" t="str">
        <f aca="false">IF(AND(Q192&lt;&gt;"",Q192&lt;&gt;0,T192&lt;&gt;""),T192/Q192,"")</f>
        <v/>
      </c>
      <c r="V192" s="51" t="str">
        <f aca="false">IF(AND(S192&lt;&gt;"",Q192&lt;&gt;""),S192-Q192,"")</f>
        <v/>
      </c>
      <c r="W192" s="52" t="str">
        <f aca="false">IF(AND(Q192&lt;&gt;"",Q192&lt;&gt;0,V192&lt;&gt;""),V192/Q192,"")</f>
        <v/>
      </c>
      <c r="X192" s="53" t="s">
        <v>37</v>
      </c>
      <c r="Y192" s="54" t="str">
        <f aca="false">IF(AND(O192&lt;&gt;"",M192&lt;&gt;"",O192&gt;M192),CONCATENATE("1 : ",TEXT((O192-M192)/M192,"0.00")),IF(AND(O192&lt;&gt;"",M192&lt;&gt;"",O192&lt;M192),CONCATENATE("-1 : ",TEXT((M192-O192)/M192,"0.00")),"—"))</f>
        <v>—</v>
      </c>
      <c r="Z192" s="55" t="str">
        <f aca="false">IF(AND(P192&lt;&gt;"",M192&lt;&gt;"",P192&gt;M192),CONCATENATE("1 : ",TEXT((P192-M192)/M192,"0.00")),"—")</f>
        <v>—</v>
      </c>
      <c r="AA192" s="56" t="str">
        <f aca="false">IF(AND(C192&lt;&gt;"",E192&lt;&gt;""),E192-C192,"")</f>
        <v/>
      </c>
      <c r="AB192" s="42"/>
      <c r="AC192" s="57"/>
      <c r="AD192" s="58"/>
      <c r="AE192" s="59" t="str">
        <f aca="false">IF(G192&lt;&gt;"",HYPERLINK("https://www.tradingview.com/chart/?symbol="&amp;G192&amp;"&amp;interval=60&amp;from="&amp;(AG192-10*3600)&amp;"&amp;to="&amp;(AG192+50*3600),"📈 1H"),"")</f>
        <v/>
      </c>
      <c r="AF192" s="60" t="str">
        <f aca="false">IF(G192&lt;&gt;"",HYPERLINK("https://www.tradingview.com/chart/?symbol="&amp;G192&amp;"&amp;interval=240&amp;from="&amp;(AG192-10*14400)&amp;"&amp;to="&amp;(AG192+50*14400),"📈 4H"),"")</f>
        <v/>
      </c>
      <c r="AG192" s="36" t="str">
        <f aca="false">IF(C192&lt;&gt;"",INT((C192+IF(D192&lt;&gt;"",D192,0)-DATE(1970,1,1))*86400),"")</f>
        <v/>
      </c>
    </row>
    <row r="193" customFormat="false" ht="19.5" hidden="false" customHeight="true" outlineLevel="0" collapsed="false">
      <c r="A193" s="12" t="n">
        <f aca="false">ROW()-4</f>
        <v>189</v>
      </c>
      <c r="B193" s="13"/>
      <c r="C193" s="14"/>
      <c r="D193" s="15"/>
      <c r="E193" s="14"/>
      <c r="F193" s="15"/>
      <c r="G193" s="16"/>
      <c r="H193" s="17"/>
      <c r="I193" s="18"/>
      <c r="J193" s="19"/>
      <c r="K193" s="14"/>
      <c r="L193" s="17"/>
      <c r="M193" s="19"/>
      <c r="N193" s="20"/>
      <c r="O193" s="19"/>
      <c r="P193" s="21"/>
      <c r="Q193" s="22" t="str">
        <f aca="false">IF(L193="","",IF(M193&lt;&gt;"",M193*L193*100,IF(AND(O193&lt;&gt;"",B193&lt;&gt;""),IFERROR(AVERAGEIF($B$5:$B$1004,B193,$M$5:$M$1004)*L193*100,""),"")))</f>
        <v/>
      </c>
      <c r="R193" s="22" t="str">
        <f aca="false">IF(AND(O193&lt;&gt;"",L193&lt;&gt;""),O193*L193*100,"")</f>
        <v/>
      </c>
      <c r="S193" s="23" t="str">
        <f aca="false">IF(AND(P193&lt;&gt;"",L193&lt;&gt;""),P193*L193*100,"")</f>
        <v/>
      </c>
      <c r="T193" s="24" t="str">
        <f aca="false">IF(AND(Q193&lt;&gt;"",R193&lt;&gt;""),R193-Q193,"")</f>
        <v/>
      </c>
      <c r="U193" s="25" t="str">
        <f aca="false">IF(AND(Q193&lt;&gt;"",Q193&lt;&gt;0,T193&lt;&gt;""),T193/Q193,"")</f>
        <v/>
      </c>
      <c r="V193" s="26" t="str">
        <f aca="false">IF(AND(S193&lt;&gt;"",Q193&lt;&gt;""),S193-Q193,"")</f>
        <v/>
      </c>
      <c r="W193" s="27" t="str">
        <f aca="false">IF(AND(Q193&lt;&gt;"",Q193&lt;&gt;0,V193&lt;&gt;""),V193/Q193,"")</f>
        <v/>
      </c>
      <c r="X193" s="28" t="s">
        <v>37</v>
      </c>
      <c r="Y193" s="29" t="str">
        <f aca="false">IF(AND(O193&lt;&gt;"",M193&lt;&gt;"",O193&gt;M193),CONCATENATE("1 : ",TEXT((O193-M193)/M193,"0.00")),IF(AND(O193&lt;&gt;"",M193&lt;&gt;"",O193&lt;M193),CONCATENATE("-1 : ",TEXT((M193-O193)/M193,"0.00")),"—"))</f>
        <v>—</v>
      </c>
      <c r="Z193" s="30" t="str">
        <f aca="false">IF(AND(P193&lt;&gt;"",M193&lt;&gt;"",P193&gt;M193),CONCATENATE("1 : ",TEXT((P193-M193)/M193,"0.00")),"—")</f>
        <v>—</v>
      </c>
      <c r="AA193" s="31" t="str">
        <f aca="false">IF(AND(C193&lt;&gt;"",E193&lt;&gt;""),E193-C193,"")</f>
        <v/>
      </c>
      <c r="AB193" s="17"/>
      <c r="AC193" s="32"/>
      <c r="AD193" s="33"/>
      <c r="AE193" s="34" t="str">
        <f aca="false">IF(G193&lt;&gt;"",HYPERLINK("https://www.tradingview.com/chart/?symbol="&amp;G193&amp;"&amp;interval=60&amp;from="&amp;(AG193-10*3600)&amp;"&amp;to="&amp;(AG193+50*3600),"📈 1H"),"")</f>
        <v/>
      </c>
      <c r="AF193" s="35" t="str">
        <f aca="false">IF(G193&lt;&gt;"",HYPERLINK("https://www.tradingview.com/chart/?symbol="&amp;G193&amp;"&amp;interval=240&amp;from="&amp;(AG193-10*14400)&amp;"&amp;to="&amp;(AG193+50*14400),"📈 4H"),"")</f>
        <v/>
      </c>
      <c r="AG193" s="36" t="str">
        <f aca="false">IF(C193&lt;&gt;"",INT((C193+IF(D193&lt;&gt;"",D193,0)-DATE(1970,1,1))*86400),"")</f>
        <v/>
      </c>
    </row>
    <row r="194" customFormat="false" ht="19.5" hidden="false" customHeight="true" outlineLevel="0" collapsed="false">
      <c r="A194" s="37" t="n">
        <f aca="false">ROW()-4</f>
        <v>190</v>
      </c>
      <c r="B194" s="38"/>
      <c r="C194" s="39"/>
      <c r="D194" s="40"/>
      <c r="E194" s="39"/>
      <c r="F194" s="40"/>
      <c r="G194" s="41"/>
      <c r="H194" s="42"/>
      <c r="I194" s="43"/>
      <c r="J194" s="44"/>
      <c r="K194" s="39"/>
      <c r="L194" s="42"/>
      <c r="M194" s="44"/>
      <c r="N194" s="45"/>
      <c r="O194" s="44"/>
      <c r="P194" s="46"/>
      <c r="Q194" s="47" t="str">
        <f aca="false">IF(L194="","",IF(M194&lt;&gt;"",M194*L194*100,IF(AND(O194&lt;&gt;"",B194&lt;&gt;""),IFERROR(AVERAGEIF($B$5:$B$1004,B194,$M$5:$M$1004)*L194*100,""),"")))</f>
        <v/>
      </c>
      <c r="R194" s="47" t="str">
        <f aca="false">IF(AND(O194&lt;&gt;"",L194&lt;&gt;""),O194*L194*100,"")</f>
        <v/>
      </c>
      <c r="S194" s="48" t="str">
        <f aca="false">IF(AND(P194&lt;&gt;"",L194&lt;&gt;""),P194*L194*100,"")</f>
        <v/>
      </c>
      <c r="T194" s="49" t="str">
        <f aca="false">IF(AND(Q194&lt;&gt;"",R194&lt;&gt;""),R194-Q194,"")</f>
        <v/>
      </c>
      <c r="U194" s="50" t="str">
        <f aca="false">IF(AND(Q194&lt;&gt;"",Q194&lt;&gt;0,T194&lt;&gt;""),T194/Q194,"")</f>
        <v/>
      </c>
      <c r="V194" s="51" t="str">
        <f aca="false">IF(AND(S194&lt;&gt;"",Q194&lt;&gt;""),S194-Q194,"")</f>
        <v/>
      </c>
      <c r="W194" s="52" t="str">
        <f aca="false">IF(AND(Q194&lt;&gt;"",Q194&lt;&gt;0,V194&lt;&gt;""),V194/Q194,"")</f>
        <v/>
      </c>
      <c r="X194" s="53" t="s">
        <v>37</v>
      </c>
      <c r="Y194" s="54" t="str">
        <f aca="false">IF(AND(O194&lt;&gt;"",M194&lt;&gt;"",O194&gt;M194),CONCATENATE("1 : ",TEXT((O194-M194)/M194,"0.00")),IF(AND(O194&lt;&gt;"",M194&lt;&gt;"",O194&lt;M194),CONCATENATE("-1 : ",TEXT((M194-O194)/M194,"0.00")),"—"))</f>
        <v>—</v>
      </c>
      <c r="Z194" s="55" t="str">
        <f aca="false">IF(AND(P194&lt;&gt;"",M194&lt;&gt;"",P194&gt;M194),CONCATENATE("1 : ",TEXT((P194-M194)/M194,"0.00")),"—")</f>
        <v>—</v>
      </c>
      <c r="AA194" s="56" t="str">
        <f aca="false">IF(AND(C194&lt;&gt;"",E194&lt;&gt;""),E194-C194,"")</f>
        <v/>
      </c>
      <c r="AB194" s="42"/>
      <c r="AC194" s="57"/>
      <c r="AD194" s="58"/>
      <c r="AE194" s="59" t="str">
        <f aca="false">IF(G194&lt;&gt;"",HYPERLINK("https://www.tradingview.com/chart/?symbol="&amp;G194&amp;"&amp;interval=60&amp;from="&amp;(AG194-10*3600)&amp;"&amp;to="&amp;(AG194+50*3600),"📈 1H"),"")</f>
        <v/>
      </c>
      <c r="AF194" s="60" t="str">
        <f aca="false">IF(G194&lt;&gt;"",HYPERLINK("https://www.tradingview.com/chart/?symbol="&amp;G194&amp;"&amp;interval=240&amp;from="&amp;(AG194-10*14400)&amp;"&amp;to="&amp;(AG194+50*14400),"📈 4H"),"")</f>
        <v/>
      </c>
      <c r="AG194" s="36" t="str">
        <f aca="false">IF(C194&lt;&gt;"",INT((C194+IF(D194&lt;&gt;"",D194,0)-DATE(1970,1,1))*86400),"")</f>
        <v/>
      </c>
    </row>
    <row r="195" customFormat="false" ht="19.5" hidden="false" customHeight="true" outlineLevel="0" collapsed="false">
      <c r="A195" s="12" t="n">
        <f aca="false">ROW()-4</f>
        <v>191</v>
      </c>
      <c r="B195" s="13"/>
      <c r="C195" s="14"/>
      <c r="D195" s="15"/>
      <c r="E195" s="14"/>
      <c r="F195" s="15"/>
      <c r="G195" s="16"/>
      <c r="H195" s="17"/>
      <c r="I195" s="18"/>
      <c r="J195" s="19"/>
      <c r="K195" s="14"/>
      <c r="L195" s="17"/>
      <c r="M195" s="19"/>
      <c r="N195" s="20"/>
      <c r="O195" s="19"/>
      <c r="P195" s="21"/>
      <c r="Q195" s="22" t="str">
        <f aca="false">IF(L195="","",IF(M195&lt;&gt;"",M195*L195*100,IF(AND(O195&lt;&gt;"",B195&lt;&gt;""),IFERROR(AVERAGEIF($B$5:$B$1004,B195,$M$5:$M$1004)*L195*100,""),"")))</f>
        <v/>
      </c>
      <c r="R195" s="22" t="str">
        <f aca="false">IF(AND(O195&lt;&gt;"",L195&lt;&gt;""),O195*L195*100,"")</f>
        <v/>
      </c>
      <c r="S195" s="23" t="str">
        <f aca="false">IF(AND(P195&lt;&gt;"",L195&lt;&gt;""),P195*L195*100,"")</f>
        <v/>
      </c>
      <c r="T195" s="24" t="str">
        <f aca="false">IF(AND(Q195&lt;&gt;"",R195&lt;&gt;""),R195-Q195,"")</f>
        <v/>
      </c>
      <c r="U195" s="25" t="str">
        <f aca="false">IF(AND(Q195&lt;&gt;"",Q195&lt;&gt;0,T195&lt;&gt;""),T195/Q195,"")</f>
        <v/>
      </c>
      <c r="V195" s="26" t="str">
        <f aca="false">IF(AND(S195&lt;&gt;"",Q195&lt;&gt;""),S195-Q195,"")</f>
        <v/>
      </c>
      <c r="W195" s="27" t="str">
        <f aca="false">IF(AND(Q195&lt;&gt;"",Q195&lt;&gt;0,V195&lt;&gt;""),V195/Q195,"")</f>
        <v/>
      </c>
      <c r="X195" s="28" t="s">
        <v>37</v>
      </c>
      <c r="Y195" s="29" t="str">
        <f aca="false">IF(AND(O195&lt;&gt;"",M195&lt;&gt;"",O195&gt;M195),CONCATENATE("1 : ",TEXT((O195-M195)/M195,"0.00")),IF(AND(O195&lt;&gt;"",M195&lt;&gt;"",O195&lt;M195),CONCATENATE("-1 : ",TEXT((M195-O195)/M195,"0.00")),"—"))</f>
        <v>—</v>
      </c>
      <c r="Z195" s="30" t="str">
        <f aca="false">IF(AND(P195&lt;&gt;"",M195&lt;&gt;"",P195&gt;M195),CONCATENATE("1 : ",TEXT((P195-M195)/M195,"0.00")),"—")</f>
        <v>—</v>
      </c>
      <c r="AA195" s="31" t="str">
        <f aca="false">IF(AND(C195&lt;&gt;"",E195&lt;&gt;""),E195-C195,"")</f>
        <v/>
      </c>
      <c r="AB195" s="17"/>
      <c r="AC195" s="32"/>
      <c r="AD195" s="33"/>
      <c r="AE195" s="34" t="str">
        <f aca="false">IF(G195&lt;&gt;"",HYPERLINK("https://www.tradingview.com/chart/?symbol="&amp;G195&amp;"&amp;interval=60&amp;from="&amp;(AG195-10*3600)&amp;"&amp;to="&amp;(AG195+50*3600),"📈 1H"),"")</f>
        <v/>
      </c>
      <c r="AF195" s="35" t="str">
        <f aca="false">IF(G195&lt;&gt;"",HYPERLINK("https://www.tradingview.com/chart/?symbol="&amp;G195&amp;"&amp;interval=240&amp;from="&amp;(AG195-10*14400)&amp;"&amp;to="&amp;(AG195+50*14400),"📈 4H"),"")</f>
        <v/>
      </c>
      <c r="AG195" s="36" t="str">
        <f aca="false">IF(C195&lt;&gt;"",INT((C195+IF(D195&lt;&gt;"",D195,0)-DATE(1970,1,1))*86400),"")</f>
        <v/>
      </c>
    </row>
    <row r="196" customFormat="false" ht="19.5" hidden="false" customHeight="true" outlineLevel="0" collapsed="false">
      <c r="A196" s="37" t="n">
        <f aca="false">ROW()-4</f>
        <v>192</v>
      </c>
      <c r="B196" s="38"/>
      <c r="C196" s="39"/>
      <c r="D196" s="40"/>
      <c r="E196" s="39"/>
      <c r="F196" s="40"/>
      <c r="G196" s="41"/>
      <c r="H196" s="42"/>
      <c r="I196" s="43"/>
      <c r="J196" s="44"/>
      <c r="K196" s="39"/>
      <c r="L196" s="42"/>
      <c r="M196" s="44"/>
      <c r="N196" s="45"/>
      <c r="O196" s="44"/>
      <c r="P196" s="46"/>
      <c r="Q196" s="47" t="str">
        <f aca="false">IF(L196="","",IF(M196&lt;&gt;"",M196*L196*100,IF(AND(O196&lt;&gt;"",B196&lt;&gt;""),IFERROR(AVERAGEIF($B$5:$B$1004,B196,$M$5:$M$1004)*L196*100,""),"")))</f>
        <v/>
      </c>
      <c r="R196" s="47" t="str">
        <f aca="false">IF(AND(O196&lt;&gt;"",L196&lt;&gt;""),O196*L196*100,"")</f>
        <v/>
      </c>
      <c r="S196" s="48" t="str">
        <f aca="false">IF(AND(P196&lt;&gt;"",L196&lt;&gt;""),P196*L196*100,"")</f>
        <v/>
      </c>
      <c r="T196" s="49" t="str">
        <f aca="false">IF(AND(Q196&lt;&gt;"",R196&lt;&gt;""),R196-Q196,"")</f>
        <v/>
      </c>
      <c r="U196" s="50" t="str">
        <f aca="false">IF(AND(Q196&lt;&gt;"",Q196&lt;&gt;0,T196&lt;&gt;""),T196/Q196,"")</f>
        <v/>
      </c>
      <c r="V196" s="51" t="str">
        <f aca="false">IF(AND(S196&lt;&gt;"",Q196&lt;&gt;""),S196-Q196,"")</f>
        <v/>
      </c>
      <c r="W196" s="52" t="str">
        <f aca="false">IF(AND(Q196&lt;&gt;"",Q196&lt;&gt;0,V196&lt;&gt;""),V196/Q196,"")</f>
        <v/>
      </c>
      <c r="X196" s="53" t="s">
        <v>37</v>
      </c>
      <c r="Y196" s="54" t="str">
        <f aca="false">IF(AND(O196&lt;&gt;"",M196&lt;&gt;"",O196&gt;M196),CONCATENATE("1 : ",TEXT((O196-M196)/M196,"0.00")),IF(AND(O196&lt;&gt;"",M196&lt;&gt;"",O196&lt;M196),CONCATENATE("-1 : ",TEXT((M196-O196)/M196,"0.00")),"—"))</f>
        <v>—</v>
      </c>
      <c r="Z196" s="55" t="str">
        <f aca="false">IF(AND(P196&lt;&gt;"",M196&lt;&gt;"",P196&gt;M196),CONCATENATE("1 : ",TEXT((P196-M196)/M196,"0.00")),"—")</f>
        <v>—</v>
      </c>
      <c r="AA196" s="56" t="str">
        <f aca="false">IF(AND(C196&lt;&gt;"",E196&lt;&gt;""),E196-C196,"")</f>
        <v/>
      </c>
      <c r="AB196" s="42"/>
      <c r="AC196" s="57"/>
      <c r="AD196" s="58"/>
      <c r="AE196" s="59" t="str">
        <f aca="false">IF(G196&lt;&gt;"",HYPERLINK("https://www.tradingview.com/chart/?symbol="&amp;G196&amp;"&amp;interval=60&amp;from="&amp;(AG196-10*3600)&amp;"&amp;to="&amp;(AG196+50*3600),"📈 1H"),"")</f>
        <v/>
      </c>
      <c r="AF196" s="60" t="str">
        <f aca="false">IF(G196&lt;&gt;"",HYPERLINK("https://www.tradingview.com/chart/?symbol="&amp;G196&amp;"&amp;interval=240&amp;from="&amp;(AG196-10*14400)&amp;"&amp;to="&amp;(AG196+50*14400),"📈 4H"),"")</f>
        <v/>
      </c>
      <c r="AG196" s="36" t="str">
        <f aca="false">IF(C196&lt;&gt;"",INT((C196+IF(D196&lt;&gt;"",D196,0)-DATE(1970,1,1))*86400),"")</f>
        <v/>
      </c>
    </row>
    <row r="197" customFormat="false" ht="19.5" hidden="false" customHeight="true" outlineLevel="0" collapsed="false">
      <c r="A197" s="12" t="n">
        <f aca="false">ROW()-4</f>
        <v>193</v>
      </c>
      <c r="B197" s="13"/>
      <c r="C197" s="14"/>
      <c r="D197" s="15"/>
      <c r="E197" s="14"/>
      <c r="F197" s="15"/>
      <c r="G197" s="16"/>
      <c r="H197" s="17"/>
      <c r="I197" s="18"/>
      <c r="J197" s="19"/>
      <c r="K197" s="14"/>
      <c r="L197" s="17"/>
      <c r="M197" s="19"/>
      <c r="N197" s="20"/>
      <c r="O197" s="19"/>
      <c r="P197" s="21"/>
      <c r="Q197" s="22" t="str">
        <f aca="false">IF(L197="","",IF(M197&lt;&gt;"",M197*L197*100,IF(AND(O197&lt;&gt;"",B197&lt;&gt;""),IFERROR(AVERAGEIF($B$5:$B$1004,B197,$M$5:$M$1004)*L197*100,""),"")))</f>
        <v/>
      </c>
      <c r="R197" s="22" t="str">
        <f aca="false">IF(AND(O197&lt;&gt;"",L197&lt;&gt;""),O197*L197*100,"")</f>
        <v/>
      </c>
      <c r="S197" s="23" t="str">
        <f aca="false">IF(AND(P197&lt;&gt;"",L197&lt;&gt;""),P197*L197*100,"")</f>
        <v/>
      </c>
      <c r="T197" s="24" t="str">
        <f aca="false">IF(AND(Q197&lt;&gt;"",R197&lt;&gt;""),R197-Q197,"")</f>
        <v/>
      </c>
      <c r="U197" s="25" t="str">
        <f aca="false">IF(AND(Q197&lt;&gt;"",Q197&lt;&gt;0,T197&lt;&gt;""),T197/Q197,"")</f>
        <v/>
      </c>
      <c r="V197" s="26" t="str">
        <f aca="false">IF(AND(S197&lt;&gt;"",Q197&lt;&gt;""),S197-Q197,"")</f>
        <v/>
      </c>
      <c r="W197" s="27" t="str">
        <f aca="false">IF(AND(Q197&lt;&gt;"",Q197&lt;&gt;0,V197&lt;&gt;""),V197/Q197,"")</f>
        <v/>
      </c>
      <c r="X197" s="28" t="s">
        <v>37</v>
      </c>
      <c r="Y197" s="29" t="str">
        <f aca="false">IF(AND(O197&lt;&gt;"",M197&lt;&gt;"",O197&gt;M197),CONCATENATE("1 : ",TEXT((O197-M197)/M197,"0.00")),IF(AND(O197&lt;&gt;"",M197&lt;&gt;"",O197&lt;M197),CONCATENATE("-1 : ",TEXT((M197-O197)/M197,"0.00")),"—"))</f>
        <v>—</v>
      </c>
      <c r="Z197" s="30" t="str">
        <f aca="false">IF(AND(P197&lt;&gt;"",M197&lt;&gt;"",P197&gt;M197),CONCATENATE("1 : ",TEXT((P197-M197)/M197,"0.00")),"—")</f>
        <v>—</v>
      </c>
      <c r="AA197" s="31" t="str">
        <f aca="false">IF(AND(C197&lt;&gt;"",E197&lt;&gt;""),E197-C197,"")</f>
        <v/>
      </c>
      <c r="AB197" s="17"/>
      <c r="AC197" s="32"/>
      <c r="AD197" s="33"/>
      <c r="AE197" s="34" t="str">
        <f aca="false">IF(G197&lt;&gt;"",HYPERLINK("https://www.tradingview.com/chart/?symbol="&amp;G197&amp;"&amp;interval=60&amp;from="&amp;(AG197-10*3600)&amp;"&amp;to="&amp;(AG197+50*3600),"📈 1H"),"")</f>
        <v/>
      </c>
      <c r="AF197" s="35" t="str">
        <f aca="false">IF(G197&lt;&gt;"",HYPERLINK("https://www.tradingview.com/chart/?symbol="&amp;G197&amp;"&amp;interval=240&amp;from="&amp;(AG197-10*14400)&amp;"&amp;to="&amp;(AG197+50*14400),"📈 4H"),"")</f>
        <v/>
      </c>
      <c r="AG197" s="36" t="str">
        <f aca="false">IF(C197&lt;&gt;"",INT((C197+IF(D197&lt;&gt;"",D197,0)-DATE(1970,1,1))*86400),"")</f>
        <v/>
      </c>
    </row>
    <row r="198" customFormat="false" ht="19.5" hidden="false" customHeight="true" outlineLevel="0" collapsed="false">
      <c r="A198" s="37" t="n">
        <f aca="false">ROW()-4</f>
        <v>194</v>
      </c>
      <c r="B198" s="38"/>
      <c r="C198" s="39"/>
      <c r="D198" s="40"/>
      <c r="E198" s="39"/>
      <c r="F198" s="40"/>
      <c r="G198" s="41"/>
      <c r="H198" s="42"/>
      <c r="I198" s="43"/>
      <c r="J198" s="44"/>
      <c r="K198" s="39"/>
      <c r="L198" s="42"/>
      <c r="M198" s="44"/>
      <c r="N198" s="45"/>
      <c r="O198" s="44"/>
      <c r="P198" s="46"/>
      <c r="Q198" s="47" t="str">
        <f aca="false">IF(L198="","",IF(M198&lt;&gt;"",M198*L198*100,IF(AND(O198&lt;&gt;"",B198&lt;&gt;""),IFERROR(AVERAGEIF($B$5:$B$1004,B198,$M$5:$M$1004)*L198*100,""),"")))</f>
        <v/>
      </c>
      <c r="R198" s="47" t="str">
        <f aca="false">IF(AND(O198&lt;&gt;"",L198&lt;&gt;""),O198*L198*100,"")</f>
        <v/>
      </c>
      <c r="S198" s="48" t="str">
        <f aca="false">IF(AND(P198&lt;&gt;"",L198&lt;&gt;""),P198*L198*100,"")</f>
        <v/>
      </c>
      <c r="T198" s="49" t="str">
        <f aca="false">IF(AND(Q198&lt;&gt;"",R198&lt;&gt;""),R198-Q198,"")</f>
        <v/>
      </c>
      <c r="U198" s="50" t="str">
        <f aca="false">IF(AND(Q198&lt;&gt;"",Q198&lt;&gt;0,T198&lt;&gt;""),T198/Q198,"")</f>
        <v/>
      </c>
      <c r="V198" s="51" t="str">
        <f aca="false">IF(AND(S198&lt;&gt;"",Q198&lt;&gt;""),S198-Q198,"")</f>
        <v/>
      </c>
      <c r="W198" s="52" t="str">
        <f aca="false">IF(AND(Q198&lt;&gt;"",Q198&lt;&gt;0,V198&lt;&gt;""),V198/Q198,"")</f>
        <v/>
      </c>
      <c r="X198" s="53" t="s">
        <v>37</v>
      </c>
      <c r="Y198" s="54" t="str">
        <f aca="false">IF(AND(O198&lt;&gt;"",M198&lt;&gt;"",O198&gt;M198),CONCATENATE("1 : ",TEXT((O198-M198)/M198,"0.00")),IF(AND(O198&lt;&gt;"",M198&lt;&gt;"",O198&lt;M198),CONCATENATE("-1 : ",TEXT((M198-O198)/M198,"0.00")),"—"))</f>
        <v>—</v>
      </c>
      <c r="Z198" s="55" t="str">
        <f aca="false">IF(AND(P198&lt;&gt;"",M198&lt;&gt;"",P198&gt;M198),CONCATENATE("1 : ",TEXT((P198-M198)/M198,"0.00")),"—")</f>
        <v>—</v>
      </c>
      <c r="AA198" s="56" t="str">
        <f aca="false">IF(AND(C198&lt;&gt;"",E198&lt;&gt;""),E198-C198,"")</f>
        <v/>
      </c>
      <c r="AB198" s="42"/>
      <c r="AC198" s="57"/>
      <c r="AD198" s="58"/>
      <c r="AE198" s="59" t="str">
        <f aca="false">IF(G198&lt;&gt;"",HYPERLINK("https://www.tradingview.com/chart/?symbol="&amp;G198&amp;"&amp;interval=60&amp;from="&amp;(AG198-10*3600)&amp;"&amp;to="&amp;(AG198+50*3600),"📈 1H"),"")</f>
        <v/>
      </c>
      <c r="AF198" s="60" t="str">
        <f aca="false">IF(G198&lt;&gt;"",HYPERLINK("https://www.tradingview.com/chart/?symbol="&amp;G198&amp;"&amp;interval=240&amp;from="&amp;(AG198-10*14400)&amp;"&amp;to="&amp;(AG198+50*14400),"📈 4H"),"")</f>
        <v/>
      </c>
      <c r="AG198" s="36" t="str">
        <f aca="false">IF(C198&lt;&gt;"",INT((C198+IF(D198&lt;&gt;"",D198,0)-DATE(1970,1,1))*86400),"")</f>
        <v/>
      </c>
    </row>
    <row r="199" customFormat="false" ht="19.5" hidden="false" customHeight="true" outlineLevel="0" collapsed="false">
      <c r="A199" s="12" t="n">
        <f aca="false">ROW()-4</f>
        <v>195</v>
      </c>
      <c r="B199" s="13"/>
      <c r="C199" s="14"/>
      <c r="D199" s="15"/>
      <c r="E199" s="14"/>
      <c r="F199" s="15"/>
      <c r="G199" s="16"/>
      <c r="H199" s="17"/>
      <c r="I199" s="18"/>
      <c r="J199" s="19"/>
      <c r="K199" s="14"/>
      <c r="L199" s="17"/>
      <c r="M199" s="19"/>
      <c r="N199" s="20"/>
      <c r="O199" s="19"/>
      <c r="P199" s="21"/>
      <c r="Q199" s="22" t="str">
        <f aca="false">IF(L199="","",IF(M199&lt;&gt;"",M199*L199*100,IF(AND(O199&lt;&gt;"",B199&lt;&gt;""),IFERROR(AVERAGEIF($B$5:$B$1004,B199,$M$5:$M$1004)*L199*100,""),"")))</f>
        <v/>
      </c>
      <c r="R199" s="22" t="str">
        <f aca="false">IF(AND(O199&lt;&gt;"",L199&lt;&gt;""),O199*L199*100,"")</f>
        <v/>
      </c>
      <c r="S199" s="23" t="str">
        <f aca="false">IF(AND(P199&lt;&gt;"",L199&lt;&gt;""),P199*L199*100,"")</f>
        <v/>
      </c>
      <c r="T199" s="24" t="str">
        <f aca="false">IF(AND(Q199&lt;&gt;"",R199&lt;&gt;""),R199-Q199,"")</f>
        <v/>
      </c>
      <c r="U199" s="25" t="str">
        <f aca="false">IF(AND(Q199&lt;&gt;"",Q199&lt;&gt;0,T199&lt;&gt;""),T199/Q199,"")</f>
        <v/>
      </c>
      <c r="V199" s="26" t="str">
        <f aca="false">IF(AND(S199&lt;&gt;"",Q199&lt;&gt;""),S199-Q199,"")</f>
        <v/>
      </c>
      <c r="W199" s="27" t="str">
        <f aca="false">IF(AND(Q199&lt;&gt;"",Q199&lt;&gt;0,V199&lt;&gt;""),V199/Q199,"")</f>
        <v/>
      </c>
      <c r="X199" s="28" t="s">
        <v>37</v>
      </c>
      <c r="Y199" s="29" t="str">
        <f aca="false">IF(AND(O199&lt;&gt;"",M199&lt;&gt;"",O199&gt;M199),CONCATENATE("1 : ",TEXT((O199-M199)/M199,"0.00")),IF(AND(O199&lt;&gt;"",M199&lt;&gt;"",O199&lt;M199),CONCATENATE("-1 : ",TEXT((M199-O199)/M199,"0.00")),"—"))</f>
        <v>—</v>
      </c>
      <c r="Z199" s="30" t="str">
        <f aca="false">IF(AND(P199&lt;&gt;"",M199&lt;&gt;"",P199&gt;M199),CONCATENATE("1 : ",TEXT((P199-M199)/M199,"0.00")),"—")</f>
        <v>—</v>
      </c>
      <c r="AA199" s="31" t="str">
        <f aca="false">IF(AND(C199&lt;&gt;"",E199&lt;&gt;""),E199-C199,"")</f>
        <v/>
      </c>
      <c r="AB199" s="17"/>
      <c r="AC199" s="32"/>
      <c r="AD199" s="33"/>
      <c r="AE199" s="34" t="str">
        <f aca="false">IF(G199&lt;&gt;"",HYPERLINK("https://www.tradingview.com/chart/?symbol="&amp;G199&amp;"&amp;interval=60&amp;from="&amp;(AG199-10*3600)&amp;"&amp;to="&amp;(AG199+50*3600),"📈 1H"),"")</f>
        <v/>
      </c>
      <c r="AF199" s="35" t="str">
        <f aca="false">IF(G199&lt;&gt;"",HYPERLINK("https://www.tradingview.com/chart/?symbol="&amp;G199&amp;"&amp;interval=240&amp;from="&amp;(AG199-10*14400)&amp;"&amp;to="&amp;(AG199+50*14400),"📈 4H"),"")</f>
        <v/>
      </c>
      <c r="AG199" s="36" t="str">
        <f aca="false">IF(C199&lt;&gt;"",INT((C199+IF(D199&lt;&gt;"",D199,0)-DATE(1970,1,1))*86400),"")</f>
        <v/>
      </c>
    </row>
    <row r="200" customFormat="false" ht="19.5" hidden="false" customHeight="true" outlineLevel="0" collapsed="false">
      <c r="A200" s="37" t="n">
        <f aca="false">ROW()-4</f>
        <v>196</v>
      </c>
      <c r="B200" s="38"/>
      <c r="C200" s="39"/>
      <c r="D200" s="40"/>
      <c r="E200" s="39"/>
      <c r="F200" s="40"/>
      <c r="G200" s="41"/>
      <c r="H200" s="42"/>
      <c r="I200" s="43"/>
      <c r="J200" s="44"/>
      <c r="K200" s="39"/>
      <c r="L200" s="42"/>
      <c r="M200" s="44"/>
      <c r="N200" s="45"/>
      <c r="O200" s="44"/>
      <c r="P200" s="46"/>
      <c r="Q200" s="47" t="str">
        <f aca="false">IF(L200="","",IF(M200&lt;&gt;"",M200*L200*100,IF(AND(O200&lt;&gt;"",B200&lt;&gt;""),IFERROR(AVERAGEIF($B$5:$B$1004,B200,$M$5:$M$1004)*L200*100,""),"")))</f>
        <v/>
      </c>
      <c r="R200" s="47" t="str">
        <f aca="false">IF(AND(O200&lt;&gt;"",L200&lt;&gt;""),O200*L200*100,"")</f>
        <v/>
      </c>
      <c r="S200" s="48" t="str">
        <f aca="false">IF(AND(P200&lt;&gt;"",L200&lt;&gt;""),P200*L200*100,"")</f>
        <v/>
      </c>
      <c r="T200" s="49" t="str">
        <f aca="false">IF(AND(Q200&lt;&gt;"",R200&lt;&gt;""),R200-Q200,"")</f>
        <v/>
      </c>
      <c r="U200" s="50" t="str">
        <f aca="false">IF(AND(Q200&lt;&gt;"",Q200&lt;&gt;0,T200&lt;&gt;""),T200/Q200,"")</f>
        <v/>
      </c>
      <c r="V200" s="51" t="str">
        <f aca="false">IF(AND(S200&lt;&gt;"",Q200&lt;&gt;""),S200-Q200,"")</f>
        <v/>
      </c>
      <c r="W200" s="52" t="str">
        <f aca="false">IF(AND(Q200&lt;&gt;"",Q200&lt;&gt;0,V200&lt;&gt;""),V200/Q200,"")</f>
        <v/>
      </c>
      <c r="X200" s="53" t="s">
        <v>37</v>
      </c>
      <c r="Y200" s="54" t="str">
        <f aca="false">IF(AND(O200&lt;&gt;"",M200&lt;&gt;"",O200&gt;M200),CONCATENATE("1 : ",TEXT((O200-M200)/M200,"0.00")),IF(AND(O200&lt;&gt;"",M200&lt;&gt;"",O200&lt;M200),CONCATENATE("-1 : ",TEXT((M200-O200)/M200,"0.00")),"—"))</f>
        <v>—</v>
      </c>
      <c r="Z200" s="55" t="str">
        <f aca="false">IF(AND(P200&lt;&gt;"",M200&lt;&gt;"",P200&gt;M200),CONCATENATE("1 : ",TEXT((P200-M200)/M200,"0.00")),"—")</f>
        <v>—</v>
      </c>
      <c r="AA200" s="56" t="str">
        <f aca="false">IF(AND(C200&lt;&gt;"",E200&lt;&gt;""),E200-C200,"")</f>
        <v/>
      </c>
      <c r="AB200" s="42"/>
      <c r="AC200" s="57"/>
      <c r="AD200" s="58"/>
      <c r="AE200" s="59" t="str">
        <f aca="false">IF(G200&lt;&gt;"",HYPERLINK("https://www.tradingview.com/chart/?symbol="&amp;G200&amp;"&amp;interval=60&amp;from="&amp;(AG200-10*3600)&amp;"&amp;to="&amp;(AG200+50*3600),"📈 1H"),"")</f>
        <v/>
      </c>
      <c r="AF200" s="60" t="str">
        <f aca="false">IF(G200&lt;&gt;"",HYPERLINK("https://www.tradingview.com/chart/?symbol="&amp;G200&amp;"&amp;interval=240&amp;from="&amp;(AG200-10*14400)&amp;"&amp;to="&amp;(AG200+50*14400),"📈 4H"),"")</f>
        <v/>
      </c>
      <c r="AG200" s="36" t="str">
        <f aca="false">IF(C200&lt;&gt;"",INT((C200+IF(D200&lt;&gt;"",D200,0)-DATE(1970,1,1))*86400),"")</f>
        <v/>
      </c>
    </row>
    <row r="201" customFormat="false" ht="19.5" hidden="false" customHeight="true" outlineLevel="0" collapsed="false">
      <c r="A201" s="12" t="n">
        <f aca="false">ROW()-4</f>
        <v>197</v>
      </c>
      <c r="B201" s="13"/>
      <c r="C201" s="14"/>
      <c r="D201" s="15"/>
      <c r="E201" s="14"/>
      <c r="F201" s="15"/>
      <c r="G201" s="16"/>
      <c r="H201" s="17"/>
      <c r="I201" s="18"/>
      <c r="J201" s="19"/>
      <c r="K201" s="14"/>
      <c r="L201" s="17"/>
      <c r="M201" s="19"/>
      <c r="N201" s="20"/>
      <c r="O201" s="19"/>
      <c r="P201" s="21"/>
      <c r="Q201" s="22" t="str">
        <f aca="false">IF(L201="","",IF(M201&lt;&gt;"",M201*L201*100,IF(AND(O201&lt;&gt;"",B201&lt;&gt;""),IFERROR(AVERAGEIF($B$5:$B$1004,B201,$M$5:$M$1004)*L201*100,""),"")))</f>
        <v/>
      </c>
      <c r="R201" s="22" t="str">
        <f aca="false">IF(AND(O201&lt;&gt;"",L201&lt;&gt;""),O201*L201*100,"")</f>
        <v/>
      </c>
      <c r="S201" s="23" t="str">
        <f aca="false">IF(AND(P201&lt;&gt;"",L201&lt;&gt;""),P201*L201*100,"")</f>
        <v/>
      </c>
      <c r="T201" s="24" t="str">
        <f aca="false">IF(AND(Q201&lt;&gt;"",R201&lt;&gt;""),R201-Q201,"")</f>
        <v/>
      </c>
      <c r="U201" s="25" t="str">
        <f aca="false">IF(AND(Q201&lt;&gt;"",Q201&lt;&gt;0,T201&lt;&gt;""),T201/Q201,"")</f>
        <v/>
      </c>
      <c r="V201" s="26" t="str">
        <f aca="false">IF(AND(S201&lt;&gt;"",Q201&lt;&gt;""),S201-Q201,"")</f>
        <v/>
      </c>
      <c r="W201" s="27" t="str">
        <f aca="false">IF(AND(Q201&lt;&gt;"",Q201&lt;&gt;0,V201&lt;&gt;""),V201/Q201,"")</f>
        <v/>
      </c>
      <c r="X201" s="28" t="s">
        <v>37</v>
      </c>
      <c r="Y201" s="29" t="str">
        <f aca="false">IF(AND(O201&lt;&gt;"",M201&lt;&gt;"",O201&gt;M201),CONCATENATE("1 : ",TEXT((O201-M201)/M201,"0.00")),IF(AND(O201&lt;&gt;"",M201&lt;&gt;"",O201&lt;M201),CONCATENATE("-1 : ",TEXT((M201-O201)/M201,"0.00")),"—"))</f>
        <v>—</v>
      </c>
      <c r="Z201" s="30" t="str">
        <f aca="false">IF(AND(P201&lt;&gt;"",M201&lt;&gt;"",P201&gt;M201),CONCATENATE("1 : ",TEXT((P201-M201)/M201,"0.00")),"—")</f>
        <v>—</v>
      </c>
      <c r="AA201" s="31" t="str">
        <f aca="false">IF(AND(C201&lt;&gt;"",E201&lt;&gt;""),E201-C201,"")</f>
        <v/>
      </c>
      <c r="AB201" s="17"/>
      <c r="AC201" s="32"/>
      <c r="AD201" s="33"/>
      <c r="AE201" s="34" t="str">
        <f aca="false">IF(G201&lt;&gt;"",HYPERLINK("https://www.tradingview.com/chart/?symbol="&amp;G201&amp;"&amp;interval=60&amp;from="&amp;(AG201-10*3600)&amp;"&amp;to="&amp;(AG201+50*3600),"📈 1H"),"")</f>
        <v/>
      </c>
      <c r="AF201" s="35" t="str">
        <f aca="false">IF(G201&lt;&gt;"",HYPERLINK("https://www.tradingview.com/chart/?symbol="&amp;G201&amp;"&amp;interval=240&amp;from="&amp;(AG201-10*14400)&amp;"&amp;to="&amp;(AG201+50*14400),"📈 4H"),"")</f>
        <v/>
      </c>
      <c r="AG201" s="36" t="str">
        <f aca="false">IF(C201&lt;&gt;"",INT((C201+IF(D201&lt;&gt;"",D201,0)-DATE(1970,1,1))*86400),"")</f>
        <v/>
      </c>
    </row>
    <row r="202" customFormat="false" ht="19.5" hidden="false" customHeight="true" outlineLevel="0" collapsed="false">
      <c r="A202" s="37" t="n">
        <f aca="false">ROW()-4</f>
        <v>198</v>
      </c>
      <c r="B202" s="38"/>
      <c r="C202" s="39"/>
      <c r="D202" s="40"/>
      <c r="E202" s="39"/>
      <c r="F202" s="40"/>
      <c r="G202" s="41"/>
      <c r="H202" s="42"/>
      <c r="I202" s="43"/>
      <c r="J202" s="44"/>
      <c r="K202" s="39"/>
      <c r="L202" s="42"/>
      <c r="M202" s="44"/>
      <c r="N202" s="45"/>
      <c r="O202" s="44"/>
      <c r="P202" s="46"/>
      <c r="Q202" s="47" t="str">
        <f aca="false">IF(L202="","",IF(M202&lt;&gt;"",M202*L202*100,IF(AND(O202&lt;&gt;"",B202&lt;&gt;""),IFERROR(AVERAGEIF($B$5:$B$1004,B202,$M$5:$M$1004)*L202*100,""),"")))</f>
        <v/>
      </c>
      <c r="R202" s="47" t="str">
        <f aca="false">IF(AND(O202&lt;&gt;"",L202&lt;&gt;""),O202*L202*100,"")</f>
        <v/>
      </c>
      <c r="S202" s="48" t="str">
        <f aca="false">IF(AND(P202&lt;&gt;"",L202&lt;&gt;""),P202*L202*100,"")</f>
        <v/>
      </c>
      <c r="T202" s="49" t="str">
        <f aca="false">IF(AND(Q202&lt;&gt;"",R202&lt;&gt;""),R202-Q202,"")</f>
        <v/>
      </c>
      <c r="U202" s="50" t="str">
        <f aca="false">IF(AND(Q202&lt;&gt;"",Q202&lt;&gt;0,T202&lt;&gt;""),T202/Q202,"")</f>
        <v/>
      </c>
      <c r="V202" s="51" t="str">
        <f aca="false">IF(AND(S202&lt;&gt;"",Q202&lt;&gt;""),S202-Q202,"")</f>
        <v/>
      </c>
      <c r="W202" s="52" t="str">
        <f aca="false">IF(AND(Q202&lt;&gt;"",Q202&lt;&gt;0,V202&lt;&gt;""),V202/Q202,"")</f>
        <v/>
      </c>
      <c r="X202" s="53" t="s">
        <v>37</v>
      </c>
      <c r="Y202" s="54" t="str">
        <f aca="false">IF(AND(O202&lt;&gt;"",M202&lt;&gt;"",O202&gt;M202),CONCATENATE("1 : ",TEXT((O202-M202)/M202,"0.00")),IF(AND(O202&lt;&gt;"",M202&lt;&gt;"",O202&lt;M202),CONCATENATE("-1 : ",TEXT((M202-O202)/M202,"0.00")),"—"))</f>
        <v>—</v>
      </c>
      <c r="Z202" s="55" t="str">
        <f aca="false">IF(AND(P202&lt;&gt;"",M202&lt;&gt;"",P202&gt;M202),CONCATENATE("1 : ",TEXT((P202-M202)/M202,"0.00")),"—")</f>
        <v>—</v>
      </c>
      <c r="AA202" s="56" t="str">
        <f aca="false">IF(AND(C202&lt;&gt;"",E202&lt;&gt;""),E202-C202,"")</f>
        <v/>
      </c>
      <c r="AB202" s="42"/>
      <c r="AC202" s="57"/>
      <c r="AD202" s="58"/>
      <c r="AE202" s="59" t="str">
        <f aca="false">IF(G202&lt;&gt;"",HYPERLINK("https://www.tradingview.com/chart/?symbol="&amp;G202&amp;"&amp;interval=60&amp;from="&amp;(AG202-10*3600)&amp;"&amp;to="&amp;(AG202+50*3600),"📈 1H"),"")</f>
        <v/>
      </c>
      <c r="AF202" s="60" t="str">
        <f aca="false">IF(G202&lt;&gt;"",HYPERLINK("https://www.tradingview.com/chart/?symbol="&amp;G202&amp;"&amp;interval=240&amp;from="&amp;(AG202-10*14400)&amp;"&amp;to="&amp;(AG202+50*14400),"📈 4H"),"")</f>
        <v/>
      </c>
      <c r="AG202" s="36" t="str">
        <f aca="false">IF(C202&lt;&gt;"",INT((C202+IF(D202&lt;&gt;"",D202,0)-DATE(1970,1,1))*86400),"")</f>
        <v/>
      </c>
    </row>
    <row r="203" customFormat="false" ht="19.5" hidden="false" customHeight="true" outlineLevel="0" collapsed="false">
      <c r="A203" s="12" t="n">
        <f aca="false">ROW()-4</f>
        <v>199</v>
      </c>
      <c r="B203" s="13"/>
      <c r="C203" s="14"/>
      <c r="D203" s="15"/>
      <c r="E203" s="14"/>
      <c r="F203" s="15"/>
      <c r="G203" s="16"/>
      <c r="H203" s="17"/>
      <c r="I203" s="18"/>
      <c r="J203" s="19"/>
      <c r="K203" s="14"/>
      <c r="L203" s="17"/>
      <c r="M203" s="19"/>
      <c r="N203" s="20"/>
      <c r="O203" s="19"/>
      <c r="P203" s="21"/>
      <c r="Q203" s="22" t="str">
        <f aca="false">IF(L203="","",IF(M203&lt;&gt;"",M203*L203*100,IF(AND(O203&lt;&gt;"",B203&lt;&gt;""),IFERROR(AVERAGEIF($B$5:$B$1004,B203,$M$5:$M$1004)*L203*100,""),"")))</f>
        <v/>
      </c>
      <c r="R203" s="22" t="str">
        <f aca="false">IF(AND(O203&lt;&gt;"",L203&lt;&gt;""),O203*L203*100,"")</f>
        <v/>
      </c>
      <c r="S203" s="23" t="str">
        <f aca="false">IF(AND(P203&lt;&gt;"",L203&lt;&gt;""),P203*L203*100,"")</f>
        <v/>
      </c>
      <c r="T203" s="24" t="str">
        <f aca="false">IF(AND(Q203&lt;&gt;"",R203&lt;&gt;""),R203-Q203,"")</f>
        <v/>
      </c>
      <c r="U203" s="25" t="str">
        <f aca="false">IF(AND(Q203&lt;&gt;"",Q203&lt;&gt;0,T203&lt;&gt;""),T203/Q203,"")</f>
        <v/>
      </c>
      <c r="V203" s="26" t="str">
        <f aca="false">IF(AND(S203&lt;&gt;"",Q203&lt;&gt;""),S203-Q203,"")</f>
        <v/>
      </c>
      <c r="W203" s="27" t="str">
        <f aca="false">IF(AND(Q203&lt;&gt;"",Q203&lt;&gt;0,V203&lt;&gt;""),V203/Q203,"")</f>
        <v/>
      </c>
      <c r="X203" s="28" t="s">
        <v>37</v>
      </c>
      <c r="Y203" s="29" t="str">
        <f aca="false">IF(AND(O203&lt;&gt;"",M203&lt;&gt;"",O203&gt;M203),CONCATENATE("1 : ",TEXT((O203-M203)/M203,"0.00")),IF(AND(O203&lt;&gt;"",M203&lt;&gt;"",O203&lt;M203),CONCATENATE("-1 : ",TEXT((M203-O203)/M203,"0.00")),"—"))</f>
        <v>—</v>
      </c>
      <c r="Z203" s="30" t="str">
        <f aca="false">IF(AND(P203&lt;&gt;"",M203&lt;&gt;"",P203&gt;M203),CONCATENATE("1 : ",TEXT((P203-M203)/M203,"0.00")),"—")</f>
        <v>—</v>
      </c>
      <c r="AA203" s="31" t="str">
        <f aca="false">IF(AND(C203&lt;&gt;"",E203&lt;&gt;""),E203-C203,"")</f>
        <v/>
      </c>
      <c r="AB203" s="17"/>
      <c r="AC203" s="32"/>
      <c r="AD203" s="33"/>
      <c r="AE203" s="34" t="str">
        <f aca="false">IF(G203&lt;&gt;"",HYPERLINK("https://www.tradingview.com/chart/?symbol="&amp;G203&amp;"&amp;interval=60&amp;from="&amp;(AG203-10*3600)&amp;"&amp;to="&amp;(AG203+50*3600),"📈 1H"),"")</f>
        <v/>
      </c>
      <c r="AF203" s="35" t="str">
        <f aca="false">IF(G203&lt;&gt;"",HYPERLINK("https://www.tradingview.com/chart/?symbol="&amp;G203&amp;"&amp;interval=240&amp;from="&amp;(AG203-10*14400)&amp;"&amp;to="&amp;(AG203+50*14400),"📈 4H"),"")</f>
        <v/>
      </c>
      <c r="AG203" s="36" t="str">
        <f aca="false">IF(C203&lt;&gt;"",INT((C203+IF(D203&lt;&gt;"",D203,0)-DATE(1970,1,1))*86400),"")</f>
        <v/>
      </c>
    </row>
    <row r="204" customFormat="false" ht="19.5" hidden="false" customHeight="true" outlineLevel="0" collapsed="false">
      <c r="A204" s="37" t="n">
        <f aca="false">ROW()-4</f>
        <v>200</v>
      </c>
      <c r="B204" s="38"/>
      <c r="C204" s="39"/>
      <c r="D204" s="40"/>
      <c r="E204" s="39"/>
      <c r="F204" s="40"/>
      <c r="G204" s="41"/>
      <c r="H204" s="42"/>
      <c r="I204" s="43"/>
      <c r="J204" s="44"/>
      <c r="K204" s="39"/>
      <c r="L204" s="42"/>
      <c r="M204" s="44"/>
      <c r="N204" s="45"/>
      <c r="O204" s="44"/>
      <c r="P204" s="46"/>
      <c r="Q204" s="47" t="str">
        <f aca="false">IF(L204="","",IF(M204&lt;&gt;"",M204*L204*100,IF(AND(O204&lt;&gt;"",B204&lt;&gt;""),IFERROR(AVERAGEIF($B$5:$B$1004,B204,$M$5:$M$1004)*L204*100,""),"")))</f>
        <v/>
      </c>
      <c r="R204" s="47" t="str">
        <f aca="false">IF(AND(O204&lt;&gt;"",L204&lt;&gt;""),O204*L204*100,"")</f>
        <v/>
      </c>
      <c r="S204" s="48" t="str">
        <f aca="false">IF(AND(P204&lt;&gt;"",L204&lt;&gt;""),P204*L204*100,"")</f>
        <v/>
      </c>
      <c r="T204" s="49" t="str">
        <f aca="false">IF(AND(Q204&lt;&gt;"",R204&lt;&gt;""),R204-Q204,"")</f>
        <v/>
      </c>
      <c r="U204" s="50" t="str">
        <f aca="false">IF(AND(Q204&lt;&gt;"",Q204&lt;&gt;0,T204&lt;&gt;""),T204/Q204,"")</f>
        <v/>
      </c>
      <c r="V204" s="51" t="str">
        <f aca="false">IF(AND(S204&lt;&gt;"",Q204&lt;&gt;""),S204-Q204,"")</f>
        <v/>
      </c>
      <c r="W204" s="52" t="str">
        <f aca="false">IF(AND(Q204&lt;&gt;"",Q204&lt;&gt;0,V204&lt;&gt;""),V204/Q204,"")</f>
        <v/>
      </c>
      <c r="X204" s="53" t="s">
        <v>37</v>
      </c>
      <c r="Y204" s="54" t="str">
        <f aca="false">IF(AND(O204&lt;&gt;"",M204&lt;&gt;"",O204&gt;M204),CONCATENATE("1 : ",TEXT((O204-M204)/M204,"0.00")),IF(AND(O204&lt;&gt;"",M204&lt;&gt;"",O204&lt;M204),CONCATENATE("-1 : ",TEXT((M204-O204)/M204,"0.00")),"—"))</f>
        <v>—</v>
      </c>
      <c r="Z204" s="55" t="str">
        <f aca="false">IF(AND(P204&lt;&gt;"",M204&lt;&gt;"",P204&gt;M204),CONCATENATE("1 : ",TEXT((P204-M204)/M204,"0.00")),"—")</f>
        <v>—</v>
      </c>
      <c r="AA204" s="56" t="str">
        <f aca="false">IF(AND(C204&lt;&gt;"",E204&lt;&gt;""),E204-C204,"")</f>
        <v/>
      </c>
      <c r="AB204" s="42"/>
      <c r="AC204" s="57"/>
      <c r="AD204" s="58"/>
      <c r="AE204" s="59" t="str">
        <f aca="false">IF(G204&lt;&gt;"",HYPERLINK("https://www.tradingview.com/chart/?symbol="&amp;G204&amp;"&amp;interval=60&amp;from="&amp;(AG204-10*3600)&amp;"&amp;to="&amp;(AG204+50*3600),"📈 1H"),"")</f>
        <v/>
      </c>
      <c r="AF204" s="60" t="str">
        <f aca="false">IF(G204&lt;&gt;"",HYPERLINK("https://www.tradingview.com/chart/?symbol="&amp;G204&amp;"&amp;interval=240&amp;from="&amp;(AG204-10*14400)&amp;"&amp;to="&amp;(AG204+50*14400),"📈 4H"),"")</f>
        <v/>
      </c>
      <c r="AG204" s="36" t="str">
        <f aca="false">IF(C204&lt;&gt;"",INT((C204+IF(D204&lt;&gt;"",D204,0)-DATE(1970,1,1))*86400),"")</f>
        <v/>
      </c>
    </row>
    <row r="205" customFormat="false" ht="19.5" hidden="false" customHeight="true" outlineLevel="0" collapsed="false">
      <c r="A205" s="12" t="n">
        <f aca="false">ROW()-4</f>
        <v>201</v>
      </c>
      <c r="B205" s="13"/>
      <c r="C205" s="14"/>
      <c r="D205" s="15"/>
      <c r="E205" s="14"/>
      <c r="F205" s="15"/>
      <c r="G205" s="16"/>
      <c r="H205" s="17"/>
      <c r="I205" s="18"/>
      <c r="J205" s="19"/>
      <c r="K205" s="14"/>
      <c r="L205" s="17"/>
      <c r="M205" s="19"/>
      <c r="N205" s="20"/>
      <c r="O205" s="19"/>
      <c r="P205" s="21"/>
      <c r="Q205" s="22" t="str">
        <f aca="false">IF(L205="","",IF(M205&lt;&gt;"",M205*L205*100,IF(AND(O205&lt;&gt;"",B205&lt;&gt;""),IFERROR(AVERAGEIF($B$5:$B$1004,B205,$M$5:$M$1004)*L205*100,""),"")))</f>
        <v/>
      </c>
      <c r="R205" s="22" t="str">
        <f aca="false">IF(AND(O205&lt;&gt;"",L205&lt;&gt;""),O205*L205*100,"")</f>
        <v/>
      </c>
      <c r="S205" s="23" t="str">
        <f aca="false">IF(AND(P205&lt;&gt;"",L205&lt;&gt;""),P205*L205*100,"")</f>
        <v/>
      </c>
      <c r="T205" s="24" t="str">
        <f aca="false">IF(AND(Q205&lt;&gt;"",R205&lt;&gt;""),R205-Q205,"")</f>
        <v/>
      </c>
      <c r="U205" s="25" t="str">
        <f aca="false">IF(AND(Q205&lt;&gt;"",Q205&lt;&gt;0,T205&lt;&gt;""),T205/Q205,"")</f>
        <v/>
      </c>
      <c r="V205" s="26" t="str">
        <f aca="false">IF(AND(S205&lt;&gt;"",Q205&lt;&gt;""),S205-Q205,"")</f>
        <v/>
      </c>
      <c r="W205" s="27" t="str">
        <f aca="false">IF(AND(Q205&lt;&gt;"",Q205&lt;&gt;0,V205&lt;&gt;""),V205/Q205,"")</f>
        <v/>
      </c>
      <c r="X205" s="28" t="s">
        <v>37</v>
      </c>
      <c r="Y205" s="29" t="str">
        <f aca="false">IF(AND(O205&lt;&gt;"",M205&lt;&gt;"",O205&gt;M205),CONCATENATE("1 : ",TEXT((O205-M205)/M205,"0.00")),IF(AND(O205&lt;&gt;"",M205&lt;&gt;"",O205&lt;M205),CONCATENATE("-1 : ",TEXT((M205-O205)/M205,"0.00")),"—"))</f>
        <v>—</v>
      </c>
      <c r="Z205" s="30" t="str">
        <f aca="false">IF(AND(P205&lt;&gt;"",M205&lt;&gt;"",P205&gt;M205),CONCATENATE("1 : ",TEXT((P205-M205)/M205,"0.00")),"—")</f>
        <v>—</v>
      </c>
      <c r="AA205" s="31" t="str">
        <f aca="false">IF(AND(C205&lt;&gt;"",E205&lt;&gt;""),E205-C205,"")</f>
        <v/>
      </c>
      <c r="AB205" s="17"/>
      <c r="AC205" s="32"/>
      <c r="AD205" s="33"/>
      <c r="AE205" s="34" t="str">
        <f aca="false">IF(G205&lt;&gt;"",HYPERLINK("https://www.tradingview.com/chart/?symbol="&amp;G205&amp;"&amp;interval=60&amp;from="&amp;(AG205-10*3600)&amp;"&amp;to="&amp;(AG205+50*3600),"📈 1H"),"")</f>
        <v/>
      </c>
      <c r="AF205" s="35" t="str">
        <f aca="false">IF(G205&lt;&gt;"",HYPERLINK("https://www.tradingview.com/chart/?symbol="&amp;G205&amp;"&amp;interval=240&amp;from="&amp;(AG205-10*14400)&amp;"&amp;to="&amp;(AG205+50*14400),"📈 4H"),"")</f>
        <v/>
      </c>
      <c r="AG205" s="36" t="str">
        <f aca="false">IF(C205&lt;&gt;"",INT((C205+IF(D205&lt;&gt;"",D205,0)-DATE(1970,1,1))*86400),"")</f>
        <v/>
      </c>
    </row>
    <row r="206" customFormat="false" ht="19.5" hidden="false" customHeight="true" outlineLevel="0" collapsed="false">
      <c r="A206" s="37" t="n">
        <f aca="false">ROW()-4</f>
        <v>202</v>
      </c>
      <c r="B206" s="38"/>
      <c r="C206" s="39"/>
      <c r="D206" s="40"/>
      <c r="E206" s="39"/>
      <c r="F206" s="40"/>
      <c r="G206" s="41"/>
      <c r="H206" s="42"/>
      <c r="I206" s="43"/>
      <c r="J206" s="44"/>
      <c r="K206" s="39"/>
      <c r="L206" s="42"/>
      <c r="M206" s="44"/>
      <c r="N206" s="45"/>
      <c r="O206" s="44"/>
      <c r="P206" s="46"/>
      <c r="Q206" s="47" t="str">
        <f aca="false">IF(L206="","",IF(M206&lt;&gt;"",M206*L206*100,IF(AND(O206&lt;&gt;"",B206&lt;&gt;""),IFERROR(AVERAGEIF($B$5:$B$1004,B206,$M$5:$M$1004)*L206*100,""),"")))</f>
        <v/>
      </c>
      <c r="R206" s="47" t="str">
        <f aca="false">IF(AND(O206&lt;&gt;"",L206&lt;&gt;""),O206*L206*100,"")</f>
        <v/>
      </c>
      <c r="S206" s="48" t="str">
        <f aca="false">IF(AND(P206&lt;&gt;"",L206&lt;&gt;""),P206*L206*100,"")</f>
        <v/>
      </c>
      <c r="T206" s="49" t="str">
        <f aca="false">IF(AND(Q206&lt;&gt;"",R206&lt;&gt;""),R206-Q206,"")</f>
        <v/>
      </c>
      <c r="U206" s="50" t="str">
        <f aca="false">IF(AND(Q206&lt;&gt;"",Q206&lt;&gt;0,T206&lt;&gt;""),T206/Q206,"")</f>
        <v/>
      </c>
      <c r="V206" s="51" t="str">
        <f aca="false">IF(AND(S206&lt;&gt;"",Q206&lt;&gt;""),S206-Q206,"")</f>
        <v/>
      </c>
      <c r="W206" s="52" t="str">
        <f aca="false">IF(AND(Q206&lt;&gt;"",Q206&lt;&gt;0,V206&lt;&gt;""),V206/Q206,"")</f>
        <v/>
      </c>
      <c r="X206" s="53" t="s">
        <v>37</v>
      </c>
      <c r="Y206" s="54" t="str">
        <f aca="false">IF(AND(O206&lt;&gt;"",M206&lt;&gt;"",O206&gt;M206),CONCATENATE("1 : ",TEXT((O206-M206)/M206,"0.00")),IF(AND(O206&lt;&gt;"",M206&lt;&gt;"",O206&lt;M206),CONCATENATE("-1 : ",TEXT((M206-O206)/M206,"0.00")),"—"))</f>
        <v>—</v>
      </c>
      <c r="Z206" s="55" t="str">
        <f aca="false">IF(AND(P206&lt;&gt;"",M206&lt;&gt;"",P206&gt;M206),CONCATENATE("1 : ",TEXT((P206-M206)/M206,"0.00")),"—")</f>
        <v>—</v>
      </c>
      <c r="AA206" s="56" t="str">
        <f aca="false">IF(AND(C206&lt;&gt;"",E206&lt;&gt;""),E206-C206,"")</f>
        <v/>
      </c>
      <c r="AB206" s="42"/>
      <c r="AC206" s="57"/>
      <c r="AD206" s="58"/>
      <c r="AE206" s="59" t="str">
        <f aca="false">IF(G206&lt;&gt;"",HYPERLINK("https://www.tradingview.com/chart/?symbol="&amp;G206&amp;"&amp;interval=60&amp;from="&amp;(AG206-10*3600)&amp;"&amp;to="&amp;(AG206+50*3600),"📈 1H"),"")</f>
        <v/>
      </c>
      <c r="AF206" s="60" t="str">
        <f aca="false">IF(G206&lt;&gt;"",HYPERLINK("https://www.tradingview.com/chart/?symbol="&amp;G206&amp;"&amp;interval=240&amp;from="&amp;(AG206-10*14400)&amp;"&amp;to="&amp;(AG206+50*14400),"📈 4H"),"")</f>
        <v/>
      </c>
      <c r="AG206" s="36" t="str">
        <f aca="false">IF(C206&lt;&gt;"",INT((C206+IF(D206&lt;&gt;"",D206,0)-DATE(1970,1,1))*86400),"")</f>
        <v/>
      </c>
    </row>
    <row r="207" customFormat="false" ht="19.5" hidden="false" customHeight="true" outlineLevel="0" collapsed="false">
      <c r="A207" s="12" t="n">
        <f aca="false">ROW()-4</f>
        <v>203</v>
      </c>
      <c r="B207" s="13"/>
      <c r="C207" s="14"/>
      <c r="D207" s="15"/>
      <c r="E207" s="14"/>
      <c r="F207" s="15"/>
      <c r="G207" s="16"/>
      <c r="H207" s="17"/>
      <c r="I207" s="18"/>
      <c r="J207" s="19"/>
      <c r="K207" s="14"/>
      <c r="L207" s="17"/>
      <c r="M207" s="19"/>
      <c r="N207" s="20"/>
      <c r="O207" s="19"/>
      <c r="P207" s="21"/>
      <c r="Q207" s="22" t="str">
        <f aca="false">IF(L207="","",IF(M207&lt;&gt;"",M207*L207*100,IF(AND(O207&lt;&gt;"",B207&lt;&gt;""),IFERROR(AVERAGEIF($B$5:$B$1004,B207,$M$5:$M$1004)*L207*100,""),"")))</f>
        <v/>
      </c>
      <c r="R207" s="22" t="str">
        <f aca="false">IF(AND(O207&lt;&gt;"",L207&lt;&gt;""),O207*L207*100,"")</f>
        <v/>
      </c>
      <c r="S207" s="23" t="str">
        <f aca="false">IF(AND(P207&lt;&gt;"",L207&lt;&gt;""),P207*L207*100,"")</f>
        <v/>
      </c>
      <c r="T207" s="24" t="str">
        <f aca="false">IF(AND(Q207&lt;&gt;"",R207&lt;&gt;""),R207-Q207,"")</f>
        <v/>
      </c>
      <c r="U207" s="25" t="str">
        <f aca="false">IF(AND(Q207&lt;&gt;"",Q207&lt;&gt;0,T207&lt;&gt;""),T207/Q207,"")</f>
        <v/>
      </c>
      <c r="V207" s="26" t="str">
        <f aca="false">IF(AND(S207&lt;&gt;"",Q207&lt;&gt;""),S207-Q207,"")</f>
        <v/>
      </c>
      <c r="W207" s="27" t="str">
        <f aca="false">IF(AND(Q207&lt;&gt;"",Q207&lt;&gt;0,V207&lt;&gt;""),V207/Q207,"")</f>
        <v/>
      </c>
      <c r="X207" s="28" t="s">
        <v>37</v>
      </c>
      <c r="Y207" s="29" t="str">
        <f aca="false">IF(AND(O207&lt;&gt;"",M207&lt;&gt;"",O207&gt;M207),CONCATENATE("1 : ",TEXT((O207-M207)/M207,"0.00")),IF(AND(O207&lt;&gt;"",M207&lt;&gt;"",O207&lt;M207),CONCATENATE("-1 : ",TEXT((M207-O207)/M207,"0.00")),"—"))</f>
        <v>—</v>
      </c>
      <c r="Z207" s="30" t="str">
        <f aca="false">IF(AND(P207&lt;&gt;"",M207&lt;&gt;"",P207&gt;M207),CONCATENATE("1 : ",TEXT((P207-M207)/M207,"0.00")),"—")</f>
        <v>—</v>
      </c>
      <c r="AA207" s="31" t="str">
        <f aca="false">IF(AND(C207&lt;&gt;"",E207&lt;&gt;""),E207-C207,"")</f>
        <v/>
      </c>
      <c r="AB207" s="17"/>
      <c r="AC207" s="32"/>
      <c r="AD207" s="33"/>
      <c r="AE207" s="34" t="str">
        <f aca="false">IF(G207&lt;&gt;"",HYPERLINK("https://www.tradingview.com/chart/?symbol="&amp;G207&amp;"&amp;interval=60&amp;from="&amp;(AG207-10*3600)&amp;"&amp;to="&amp;(AG207+50*3600),"📈 1H"),"")</f>
        <v/>
      </c>
      <c r="AF207" s="35" t="str">
        <f aca="false">IF(G207&lt;&gt;"",HYPERLINK("https://www.tradingview.com/chart/?symbol="&amp;G207&amp;"&amp;interval=240&amp;from="&amp;(AG207-10*14400)&amp;"&amp;to="&amp;(AG207+50*14400),"📈 4H"),"")</f>
        <v/>
      </c>
      <c r="AG207" s="36" t="str">
        <f aca="false">IF(C207&lt;&gt;"",INT((C207+IF(D207&lt;&gt;"",D207,0)-DATE(1970,1,1))*86400),"")</f>
        <v/>
      </c>
    </row>
    <row r="208" customFormat="false" ht="19.5" hidden="false" customHeight="true" outlineLevel="0" collapsed="false">
      <c r="A208" s="37" t="n">
        <f aca="false">ROW()-4</f>
        <v>204</v>
      </c>
      <c r="B208" s="38"/>
      <c r="C208" s="39"/>
      <c r="D208" s="40"/>
      <c r="E208" s="39"/>
      <c r="F208" s="40"/>
      <c r="G208" s="41"/>
      <c r="H208" s="42"/>
      <c r="I208" s="43"/>
      <c r="J208" s="44"/>
      <c r="K208" s="39"/>
      <c r="L208" s="42"/>
      <c r="M208" s="44"/>
      <c r="N208" s="45"/>
      <c r="O208" s="44"/>
      <c r="P208" s="46"/>
      <c r="Q208" s="47" t="str">
        <f aca="false">IF(L208="","",IF(M208&lt;&gt;"",M208*L208*100,IF(AND(O208&lt;&gt;"",B208&lt;&gt;""),IFERROR(AVERAGEIF($B$5:$B$1004,B208,$M$5:$M$1004)*L208*100,""),"")))</f>
        <v/>
      </c>
      <c r="R208" s="47" t="str">
        <f aca="false">IF(AND(O208&lt;&gt;"",L208&lt;&gt;""),O208*L208*100,"")</f>
        <v/>
      </c>
      <c r="S208" s="48" t="str">
        <f aca="false">IF(AND(P208&lt;&gt;"",L208&lt;&gt;""),P208*L208*100,"")</f>
        <v/>
      </c>
      <c r="T208" s="49" t="str">
        <f aca="false">IF(AND(Q208&lt;&gt;"",R208&lt;&gt;""),R208-Q208,"")</f>
        <v/>
      </c>
      <c r="U208" s="50" t="str">
        <f aca="false">IF(AND(Q208&lt;&gt;"",Q208&lt;&gt;0,T208&lt;&gt;""),T208/Q208,"")</f>
        <v/>
      </c>
      <c r="V208" s="51" t="str">
        <f aca="false">IF(AND(S208&lt;&gt;"",Q208&lt;&gt;""),S208-Q208,"")</f>
        <v/>
      </c>
      <c r="W208" s="52" t="str">
        <f aca="false">IF(AND(Q208&lt;&gt;"",Q208&lt;&gt;0,V208&lt;&gt;""),V208/Q208,"")</f>
        <v/>
      </c>
      <c r="X208" s="53" t="s">
        <v>37</v>
      </c>
      <c r="Y208" s="54" t="str">
        <f aca="false">IF(AND(O208&lt;&gt;"",M208&lt;&gt;"",O208&gt;M208),CONCATENATE("1 : ",TEXT((O208-M208)/M208,"0.00")),IF(AND(O208&lt;&gt;"",M208&lt;&gt;"",O208&lt;M208),CONCATENATE("-1 : ",TEXT((M208-O208)/M208,"0.00")),"—"))</f>
        <v>—</v>
      </c>
      <c r="Z208" s="55" t="str">
        <f aca="false">IF(AND(P208&lt;&gt;"",M208&lt;&gt;"",P208&gt;M208),CONCATENATE("1 : ",TEXT((P208-M208)/M208,"0.00")),"—")</f>
        <v>—</v>
      </c>
      <c r="AA208" s="56" t="str">
        <f aca="false">IF(AND(C208&lt;&gt;"",E208&lt;&gt;""),E208-C208,"")</f>
        <v/>
      </c>
      <c r="AB208" s="42"/>
      <c r="AC208" s="57"/>
      <c r="AD208" s="58"/>
      <c r="AE208" s="59" t="str">
        <f aca="false">IF(G208&lt;&gt;"",HYPERLINK("https://www.tradingview.com/chart/?symbol="&amp;G208&amp;"&amp;interval=60&amp;from="&amp;(AG208-10*3600)&amp;"&amp;to="&amp;(AG208+50*3600),"📈 1H"),"")</f>
        <v/>
      </c>
      <c r="AF208" s="60" t="str">
        <f aca="false">IF(G208&lt;&gt;"",HYPERLINK("https://www.tradingview.com/chart/?symbol="&amp;G208&amp;"&amp;interval=240&amp;from="&amp;(AG208-10*14400)&amp;"&amp;to="&amp;(AG208+50*14400),"📈 4H"),"")</f>
        <v/>
      </c>
      <c r="AG208" s="36" t="str">
        <f aca="false">IF(C208&lt;&gt;"",INT((C208+IF(D208&lt;&gt;"",D208,0)-DATE(1970,1,1))*86400),"")</f>
        <v/>
      </c>
    </row>
    <row r="209" customFormat="false" ht="19.5" hidden="false" customHeight="true" outlineLevel="0" collapsed="false">
      <c r="A209" s="12" t="n">
        <f aca="false">ROW()-4</f>
        <v>205</v>
      </c>
      <c r="B209" s="13"/>
      <c r="C209" s="14"/>
      <c r="D209" s="15"/>
      <c r="E209" s="14"/>
      <c r="F209" s="15"/>
      <c r="G209" s="16"/>
      <c r="H209" s="17"/>
      <c r="I209" s="18"/>
      <c r="J209" s="19"/>
      <c r="K209" s="14"/>
      <c r="L209" s="17"/>
      <c r="M209" s="19"/>
      <c r="N209" s="20"/>
      <c r="O209" s="19"/>
      <c r="P209" s="21"/>
      <c r="Q209" s="22" t="str">
        <f aca="false">IF(L209="","",IF(M209&lt;&gt;"",M209*L209*100,IF(AND(O209&lt;&gt;"",B209&lt;&gt;""),IFERROR(AVERAGEIF($B$5:$B$1004,B209,$M$5:$M$1004)*L209*100,""),"")))</f>
        <v/>
      </c>
      <c r="R209" s="22" t="str">
        <f aca="false">IF(AND(O209&lt;&gt;"",L209&lt;&gt;""),O209*L209*100,"")</f>
        <v/>
      </c>
      <c r="S209" s="23" t="str">
        <f aca="false">IF(AND(P209&lt;&gt;"",L209&lt;&gt;""),P209*L209*100,"")</f>
        <v/>
      </c>
      <c r="T209" s="24" t="str">
        <f aca="false">IF(AND(Q209&lt;&gt;"",R209&lt;&gt;""),R209-Q209,"")</f>
        <v/>
      </c>
      <c r="U209" s="25" t="str">
        <f aca="false">IF(AND(Q209&lt;&gt;"",Q209&lt;&gt;0,T209&lt;&gt;""),T209/Q209,"")</f>
        <v/>
      </c>
      <c r="V209" s="26" t="str">
        <f aca="false">IF(AND(S209&lt;&gt;"",Q209&lt;&gt;""),S209-Q209,"")</f>
        <v/>
      </c>
      <c r="W209" s="27" t="str">
        <f aca="false">IF(AND(Q209&lt;&gt;"",Q209&lt;&gt;0,V209&lt;&gt;""),V209/Q209,"")</f>
        <v/>
      </c>
      <c r="X209" s="28" t="s">
        <v>37</v>
      </c>
      <c r="Y209" s="29" t="str">
        <f aca="false">IF(AND(O209&lt;&gt;"",M209&lt;&gt;"",O209&gt;M209),CONCATENATE("1 : ",TEXT((O209-M209)/M209,"0.00")),IF(AND(O209&lt;&gt;"",M209&lt;&gt;"",O209&lt;M209),CONCATENATE("-1 : ",TEXT((M209-O209)/M209,"0.00")),"—"))</f>
        <v>—</v>
      </c>
      <c r="Z209" s="30" t="str">
        <f aca="false">IF(AND(P209&lt;&gt;"",M209&lt;&gt;"",P209&gt;M209),CONCATENATE("1 : ",TEXT((P209-M209)/M209,"0.00")),"—")</f>
        <v>—</v>
      </c>
      <c r="AA209" s="31" t="str">
        <f aca="false">IF(AND(C209&lt;&gt;"",E209&lt;&gt;""),E209-C209,"")</f>
        <v/>
      </c>
      <c r="AB209" s="17"/>
      <c r="AC209" s="32"/>
      <c r="AD209" s="33"/>
      <c r="AE209" s="34" t="str">
        <f aca="false">IF(G209&lt;&gt;"",HYPERLINK("https://www.tradingview.com/chart/?symbol="&amp;G209&amp;"&amp;interval=60&amp;from="&amp;(AG209-10*3600)&amp;"&amp;to="&amp;(AG209+50*3600),"📈 1H"),"")</f>
        <v/>
      </c>
      <c r="AF209" s="35" t="str">
        <f aca="false">IF(G209&lt;&gt;"",HYPERLINK("https://www.tradingview.com/chart/?symbol="&amp;G209&amp;"&amp;interval=240&amp;from="&amp;(AG209-10*14400)&amp;"&amp;to="&amp;(AG209+50*14400),"📈 4H"),"")</f>
        <v/>
      </c>
      <c r="AG209" s="36" t="str">
        <f aca="false">IF(C209&lt;&gt;"",INT((C209+IF(D209&lt;&gt;"",D209,0)-DATE(1970,1,1))*86400),"")</f>
        <v/>
      </c>
    </row>
    <row r="210" customFormat="false" ht="19.5" hidden="false" customHeight="true" outlineLevel="0" collapsed="false">
      <c r="A210" s="37" t="n">
        <f aca="false">ROW()-4</f>
        <v>206</v>
      </c>
      <c r="B210" s="38"/>
      <c r="C210" s="39"/>
      <c r="D210" s="40"/>
      <c r="E210" s="39"/>
      <c r="F210" s="40"/>
      <c r="G210" s="41"/>
      <c r="H210" s="42"/>
      <c r="I210" s="43"/>
      <c r="J210" s="44"/>
      <c r="K210" s="39"/>
      <c r="L210" s="42"/>
      <c r="M210" s="44"/>
      <c r="N210" s="45"/>
      <c r="O210" s="44"/>
      <c r="P210" s="46"/>
      <c r="Q210" s="47" t="str">
        <f aca="false">IF(L210="","",IF(M210&lt;&gt;"",M210*L210*100,IF(AND(O210&lt;&gt;"",B210&lt;&gt;""),IFERROR(AVERAGEIF($B$5:$B$1004,B210,$M$5:$M$1004)*L210*100,""),"")))</f>
        <v/>
      </c>
      <c r="R210" s="47" t="str">
        <f aca="false">IF(AND(O210&lt;&gt;"",L210&lt;&gt;""),O210*L210*100,"")</f>
        <v/>
      </c>
      <c r="S210" s="48" t="str">
        <f aca="false">IF(AND(P210&lt;&gt;"",L210&lt;&gt;""),P210*L210*100,"")</f>
        <v/>
      </c>
      <c r="T210" s="49" t="str">
        <f aca="false">IF(AND(Q210&lt;&gt;"",R210&lt;&gt;""),R210-Q210,"")</f>
        <v/>
      </c>
      <c r="U210" s="50" t="str">
        <f aca="false">IF(AND(Q210&lt;&gt;"",Q210&lt;&gt;0,T210&lt;&gt;""),T210/Q210,"")</f>
        <v/>
      </c>
      <c r="V210" s="51" t="str">
        <f aca="false">IF(AND(S210&lt;&gt;"",Q210&lt;&gt;""),S210-Q210,"")</f>
        <v/>
      </c>
      <c r="W210" s="52" t="str">
        <f aca="false">IF(AND(Q210&lt;&gt;"",Q210&lt;&gt;0,V210&lt;&gt;""),V210/Q210,"")</f>
        <v/>
      </c>
      <c r="X210" s="53" t="s">
        <v>37</v>
      </c>
      <c r="Y210" s="54" t="str">
        <f aca="false">IF(AND(O210&lt;&gt;"",M210&lt;&gt;"",O210&gt;M210),CONCATENATE("1 : ",TEXT((O210-M210)/M210,"0.00")),IF(AND(O210&lt;&gt;"",M210&lt;&gt;"",O210&lt;M210),CONCATENATE("-1 : ",TEXT((M210-O210)/M210,"0.00")),"—"))</f>
        <v>—</v>
      </c>
      <c r="Z210" s="55" t="str">
        <f aca="false">IF(AND(P210&lt;&gt;"",M210&lt;&gt;"",P210&gt;M210),CONCATENATE("1 : ",TEXT((P210-M210)/M210,"0.00")),"—")</f>
        <v>—</v>
      </c>
      <c r="AA210" s="56" t="str">
        <f aca="false">IF(AND(C210&lt;&gt;"",E210&lt;&gt;""),E210-C210,"")</f>
        <v/>
      </c>
      <c r="AB210" s="42"/>
      <c r="AC210" s="57"/>
      <c r="AD210" s="58"/>
      <c r="AE210" s="59" t="str">
        <f aca="false">IF(G210&lt;&gt;"",HYPERLINK("https://www.tradingview.com/chart/?symbol="&amp;G210&amp;"&amp;interval=60&amp;from="&amp;(AG210-10*3600)&amp;"&amp;to="&amp;(AG210+50*3600),"📈 1H"),"")</f>
        <v/>
      </c>
      <c r="AF210" s="60" t="str">
        <f aca="false">IF(G210&lt;&gt;"",HYPERLINK("https://www.tradingview.com/chart/?symbol="&amp;G210&amp;"&amp;interval=240&amp;from="&amp;(AG210-10*14400)&amp;"&amp;to="&amp;(AG210+50*14400),"📈 4H"),"")</f>
        <v/>
      </c>
      <c r="AG210" s="36" t="str">
        <f aca="false">IF(C210&lt;&gt;"",INT((C210+IF(D210&lt;&gt;"",D210,0)-DATE(1970,1,1))*86400),"")</f>
        <v/>
      </c>
    </row>
    <row r="211" customFormat="false" ht="19.5" hidden="false" customHeight="true" outlineLevel="0" collapsed="false">
      <c r="A211" s="12" t="n">
        <f aca="false">ROW()-4</f>
        <v>207</v>
      </c>
      <c r="B211" s="13"/>
      <c r="C211" s="14"/>
      <c r="D211" s="15"/>
      <c r="E211" s="14"/>
      <c r="F211" s="15"/>
      <c r="G211" s="16"/>
      <c r="H211" s="17"/>
      <c r="I211" s="18"/>
      <c r="J211" s="19"/>
      <c r="K211" s="14"/>
      <c r="L211" s="17"/>
      <c r="M211" s="19"/>
      <c r="N211" s="20"/>
      <c r="O211" s="19"/>
      <c r="P211" s="21"/>
      <c r="Q211" s="22" t="str">
        <f aca="false">IF(L211="","",IF(M211&lt;&gt;"",M211*L211*100,IF(AND(O211&lt;&gt;"",B211&lt;&gt;""),IFERROR(AVERAGEIF($B$5:$B$1004,B211,$M$5:$M$1004)*L211*100,""),"")))</f>
        <v/>
      </c>
      <c r="R211" s="22" t="str">
        <f aca="false">IF(AND(O211&lt;&gt;"",L211&lt;&gt;""),O211*L211*100,"")</f>
        <v/>
      </c>
      <c r="S211" s="23" t="str">
        <f aca="false">IF(AND(P211&lt;&gt;"",L211&lt;&gt;""),P211*L211*100,"")</f>
        <v/>
      </c>
      <c r="T211" s="24" t="str">
        <f aca="false">IF(AND(Q211&lt;&gt;"",R211&lt;&gt;""),R211-Q211,"")</f>
        <v/>
      </c>
      <c r="U211" s="25" t="str">
        <f aca="false">IF(AND(Q211&lt;&gt;"",Q211&lt;&gt;0,T211&lt;&gt;""),T211/Q211,"")</f>
        <v/>
      </c>
      <c r="V211" s="26" t="str">
        <f aca="false">IF(AND(S211&lt;&gt;"",Q211&lt;&gt;""),S211-Q211,"")</f>
        <v/>
      </c>
      <c r="W211" s="27" t="str">
        <f aca="false">IF(AND(Q211&lt;&gt;"",Q211&lt;&gt;0,V211&lt;&gt;""),V211/Q211,"")</f>
        <v/>
      </c>
      <c r="X211" s="28" t="s">
        <v>37</v>
      </c>
      <c r="Y211" s="29" t="str">
        <f aca="false">IF(AND(O211&lt;&gt;"",M211&lt;&gt;"",O211&gt;M211),CONCATENATE("1 : ",TEXT((O211-M211)/M211,"0.00")),IF(AND(O211&lt;&gt;"",M211&lt;&gt;"",O211&lt;M211),CONCATENATE("-1 : ",TEXT((M211-O211)/M211,"0.00")),"—"))</f>
        <v>—</v>
      </c>
      <c r="Z211" s="30" t="str">
        <f aca="false">IF(AND(P211&lt;&gt;"",M211&lt;&gt;"",P211&gt;M211),CONCATENATE("1 : ",TEXT((P211-M211)/M211,"0.00")),"—")</f>
        <v>—</v>
      </c>
      <c r="AA211" s="31" t="str">
        <f aca="false">IF(AND(C211&lt;&gt;"",E211&lt;&gt;""),E211-C211,"")</f>
        <v/>
      </c>
      <c r="AB211" s="17"/>
      <c r="AC211" s="32"/>
      <c r="AD211" s="33"/>
      <c r="AE211" s="34" t="str">
        <f aca="false">IF(G211&lt;&gt;"",HYPERLINK("https://www.tradingview.com/chart/?symbol="&amp;G211&amp;"&amp;interval=60&amp;from="&amp;(AG211-10*3600)&amp;"&amp;to="&amp;(AG211+50*3600),"📈 1H"),"")</f>
        <v/>
      </c>
      <c r="AF211" s="35" t="str">
        <f aca="false">IF(G211&lt;&gt;"",HYPERLINK("https://www.tradingview.com/chart/?symbol="&amp;G211&amp;"&amp;interval=240&amp;from="&amp;(AG211-10*14400)&amp;"&amp;to="&amp;(AG211+50*14400),"📈 4H"),"")</f>
        <v/>
      </c>
      <c r="AG211" s="36" t="str">
        <f aca="false">IF(C211&lt;&gt;"",INT((C211+IF(D211&lt;&gt;"",D211,0)-DATE(1970,1,1))*86400),"")</f>
        <v/>
      </c>
    </row>
    <row r="212" customFormat="false" ht="19.5" hidden="false" customHeight="true" outlineLevel="0" collapsed="false">
      <c r="A212" s="37" t="n">
        <f aca="false">ROW()-4</f>
        <v>208</v>
      </c>
      <c r="B212" s="38"/>
      <c r="C212" s="39"/>
      <c r="D212" s="40"/>
      <c r="E212" s="39"/>
      <c r="F212" s="40"/>
      <c r="G212" s="41"/>
      <c r="H212" s="42"/>
      <c r="I212" s="43"/>
      <c r="J212" s="44"/>
      <c r="K212" s="39"/>
      <c r="L212" s="42"/>
      <c r="M212" s="44"/>
      <c r="N212" s="45"/>
      <c r="O212" s="44"/>
      <c r="P212" s="46"/>
      <c r="Q212" s="47" t="str">
        <f aca="false">IF(L212="","",IF(M212&lt;&gt;"",M212*L212*100,IF(AND(O212&lt;&gt;"",B212&lt;&gt;""),IFERROR(AVERAGEIF($B$5:$B$1004,B212,$M$5:$M$1004)*L212*100,""),"")))</f>
        <v/>
      </c>
      <c r="R212" s="47" t="str">
        <f aca="false">IF(AND(O212&lt;&gt;"",L212&lt;&gt;""),O212*L212*100,"")</f>
        <v/>
      </c>
      <c r="S212" s="48" t="str">
        <f aca="false">IF(AND(P212&lt;&gt;"",L212&lt;&gt;""),P212*L212*100,"")</f>
        <v/>
      </c>
      <c r="T212" s="49" t="str">
        <f aca="false">IF(AND(Q212&lt;&gt;"",R212&lt;&gt;""),R212-Q212,"")</f>
        <v/>
      </c>
      <c r="U212" s="50" t="str">
        <f aca="false">IF(AND(Q212&lt;&gt;"",Q212&lt;&gt;0,T212&lt;&gt;""),T212/Q212,"")</f>
        <v/>
      </c>
      <c r="V212" s="51" t="str">
        <f aca="false">IF(AND(S212&lt;&gt;"",Q212&lt;&gt;""),S212-Q212,"")</f>
        <v/>
      </c>
      <c r="W212" s="52" t="str">
        <f aca="false">IF(AND(Q212&lt;&gt;"",Q212&lt;&gt;0,V212&lt;&gt;""),V212/Q212,"")</f>
        <v/>
      </c>
      <c r="X212" s="53" t="s">
        <v>37</v>
      </c>
      <c r="Y212" s="54" t="str">
        <f aca="false">IF(AND(O212&lt;&gt;"",M212&lt;&gt;"",O212&gt;M212),CONCATENATE("1 : ",TEXT((O212-M212)/M212,"0.00")),IF(AND(O212&lt;&gt;"",M212&lt;&gt;"",O212&lt;M212),CONCATENATE("-1 : ",TEXT((M212-O212)/M212,"0.00")),"—"))</f>
        <v>—</v>
      </c>
      <c r="Z212" s="55" t="str">
        <f aca="false">IF(AND(P212&lt;&gt;"",M212&lt;&gt;"",P212&gt;M212),CONCATENATE("1 : ",TEXT((P212-M212)/M212,"0.00")),"—")</f>
        <v>—</v>
      </c>
      <c r="AA212" s="56" t="str">
        <f aca="false">IF(AND(C212&lt;&gt;"",E212&lt;&gt;""),E212-C212,"")</f>
        <v/>
      </c>
      <c r="AB212" s="42"/>
      <c r="AC212" s="57"/>
      <c r="AD212" s="58"/>
      <c r="AE212" s="59" t="str">
        <f aca="false">IF(G212&lt;&gt;"",HYPERLINK("https://www.tradingview.com/chart/?symbol="&amp;G212&amp;"&amp;interval=60&amp;from="&amp;(AG212-10*3600)&amp;"&amp;to="&amp;(AG212+50*3600),"📈 1H"),"")</f>
        <v/>
      </c>
      <c r="AF212" s="60" t="str">
        <f aca="false">IF(G212&lt;&gt;"",HYPERLINK("https://www.tradingview.com/chart/?symbol="&amp;G212&amp;"&amp;interval=240&amp;from="&amp;(AG212-10*14400)&amp;"&amp;to="&amp;(AG212+50*14400),"📈 4H"),"")</f>
        <v/>
      </c>
      <c r="AG212" s="36" t="str">
        <f aca="false">IF(C212&lt;&gt;"",INT((C212+IF(D212&lt;&gt;"",D212,0)-DATE(1970,1,1))*86400),"")</f>
        <v/>
      </c>
    </row>
    <row r="213" customFormat="false" ht="19.5" hidden="false" customHeight="true" outlineLevel="0" collapsed="false">
      <c r="A213" s="12" t="n">
        <f aca="false">ROW()-4</f>
        <v>209</v>
      </c>
      <c r="B213" s="13"/>
      <c r="C213" s="14"/>
      <c r="D213" s="15"/>
      <c r="E213" s="14"/>
      <c r="F213" s="15"/>
      <c r="G213" s="16"/>
      <c r="H213" s="17"/>
      <c r="I213" s="18"/>
      <c r="J213" s="19"/>
      <c r="K213" s="14"/>
      <c r="L213" s="17"/>
      <c r="M213" s="19"/>
      <c r="N213" s="20"/>
      <c r="O213" s="19"/>
      <c r="P213" s="21"/>
      <c r="Q213" s="22" t="str">
        <f aca="false">IF(L213="","",IF(M213&lt;&gt;"",M213*L213*100,IF(AND(O213&lt;&gt;"",B213&lt;&gt;""),IFERROR(AVERAGEIF($B$5:$B$1004,B213,$M$5:$M$1004)*L213*100,""),"")))</f>
        <v/>
      </c>
      <c r="R213" s="22" t="str">
        <f aca="false">IF(AND(O213&lt;&gt;"",L213&lt;&gt;""),O213*L213*100,"")</f>
        <v/>
      </c>
      <c r="S213" s="23" t="str">
        <f aca="false">IF(AND(P213&lt;&gt;"",L213&lt;&gt;""),P213*L213*100,"")</f>
        <v/>
      </c>
      <c r="T213" s="24" t="str">
        <f aca="false">IF(AND(Q213&lt;&gt;"",R213&lt;&gt;""),R213-Q213,"")</f>
        <v/>
      </c>
      <c r="U213" s="25" t="str">
        <f aca="false">IF(AND(Q213&lt;&gt;"",Q213&lt;&gt;0,T213&lt;&gt;""),T213/Q213,"")</f>
        <v/>
      </c>
      <c r="V213" s="26" t="str">
        <f aca="false">IF(AND(S213&lt;&gt;"",Q213&lt;&gt;""),S213-Q213,"")</f>
        <v/>
      </c>
      <c r="W213" s="27" t="str">
        <f aca="false">IF(AND(Q213&lt;&gt;"",Q213&lt;&gt;0,V213&lt;&gt;""),V213/Q213,"")</f>
        <v/>
      </c>
      <c r="X213" s="28" t="s">
        <v>37</v>
      </c>
      <c r="Y213" s="29" t="str">
        <f aca="false">IF(AND(O213&lt;&gt;"",M213&lt;&gt;"",O213&gt;M213),CONCATENATE("1 : ",TEXT((O213-M213)/M213,"0.00")),IF(AND(O213&lt;&gt;"",M213&lt;&gt;"",O213&lt;M213),CONCATENATE("-1 : ",TEXT((M213-O213)/M213,"0.00")),"—"))</f>
        <v>—</v>
      </c>
      <c r="Z213" s="30" t="str">
        <f aca="false">IF(AND(P213&lt;&gt;"",M213&lt;&gt;"",P213&gt;M213),CONCATENATE("1 : ",TEXT((P213-M213)/M213,"0.00")),"—")</f>
        <v>—</v>
      </c>
      <c r="AA213" s="31" t="str">
        <f aca="false">IF(AND(C213&lt;&gt;"",E213&lt;&gt;""),E213-C213,"")</f>
        <v/>
      </c>
      <c r="AB213" s="17"/>
      <c r="AC213" s="32"/>
      <c r="AD213" s="33"/>
      <c r="AE213" s="34" t="str">
        <f aca="false">IF(G213&lt;&gt;"",HYPERLINK("https://www.tradingview.com/chart/?symbol="&amp;G213&amp;"&amp;interval=60&amp;from="&amp;(AG213-10*3600)&amp;"&amp;to="&amp;(AG213+50*3600),"📈 1H"),"")</f>
        <v/>
      </c>
      <c r="AF213" s="35" t="str">
        <f aca="false">IF(G213&lt;&gt;"",HYPERLINK("https://www.tradingview.com/chart/?symbol="&amp;G213&amp;"&amp;interval=240&amp;from="&amp;(AG213-10*14400)&amp;"&amp;to="&amp;(AG213+50*14400),"📈 4H"),"")</f>
        <v/>
      </c>
      <c r="AG213" s="36" t="str">
        <f aca="false">IF(C213&lt;&gt;"",INT((C213+IF(D213&lt;&gt;"",D213,0)-DATE(1970,1,1))*86400),"")</f>
        <v/>
      </c>
    </row>
    <row r="214" customFormat="false" ht="19.5" hidden="false" customHeight="true" outlineLevel="0" collapsed="false">
      <c r="A214" s="37" t="n">
        <f aca="false">ROW()-4</f>
        <v>210</v>
      </c>
      <c r="B214" s="38"/>
      <c r="C214" s="39"/>
      <c r="D214" s="40"/>
      <c r="E214" s="39"/>
      <c r="F214" s="40"/>
      <c r="G214" s="41"/>
      <c r="H214" s="42"/>
      <c r="I214" s="43"/>
      <c r="J214" s="44"/>
      <c r="K214" s="39"/>
      <c r="L214" s="42"/>
      <c r="M214" s="44"/>
      <c r="N214" s="45"/>
      <c r="O214" s="44"/>
      <c r="P214" s="46"/>
      <c r="Q214" s="47" t="str">
        <f aca="false">IF(L214="","",IF(M214&lt;&gt;"",M214*L214*100,IF(AND(O214&lt;&gt;"",B214&lt;&gt;""),IFERROR(AVERAGEIF($B$5:$B$1004,B214,$M$5:$M$1004)*L214*100,""),"")))</f>
        <v/>
      </c>
      <c r="R214" s="47" t="str">
        <f aca="false">IF(AND(O214&lt;&gt;"",L214&lt;&gt;""),O214*L214*100,"")</f>
        <v/>
      </c>
      <c r="S214" s="48" t="str">
        <f aca="false">IF(AND(P214&lt;&gt;"",L214&lt;&gt;""),P214*L214*100,"")</f>
        <v/>
      </c>
      <c r="T214" s="49" t="str">
        <f aca="false">IF(AND(Q214&lt;&gt;"",R214&lt;&gt;""),R214-Q214,"")</f>
        <v/>
      </c>
      <c r="U214" s="50" t="str">
        <f aca="false">IF(AND(Q214&lt;&gt;"",Q214&lt;&gt;0,T214&lt;&gt;""),T214/Q214,"")</f>
        <v/>
      </c>
      <c r="V214" s="51" t="str">
        <f aca="false">IF(AND(S214&lt;&gt;"",Q214&lt;&gt;""),S214-Q214,"")</f>
        <v/>
      </c>
      <c r="W214" s="52" t="str">
        <f aca="false">IF(AND(Q214&lt;&gt;"",Q214&lt;&gt;0,V214&lt;&gt;""),V214/Q214,"")</f>
        <v/>
      </c>
      <c r="X214" s="53" t="s">
        <v>37</v>
      </c>
      <c r="Y214" s="54" t="str">
        <f aca="false">IF(AND(O214&lt;&gt;"",M214&lt;&gt;"",O214&gt;M214),CONCATENATE("1 : ",TEXT((O214-M214)/M214,"0.00")),IF(AND(O214&lt;&gt;"",M214&lt;&gt;"",O214&lt;M214),CONCATENATE("-1 : ",TEXT((M214-O214)/M214,"0.00")),"—"))</f>
        <v>—</v>
      </c>
      <c r="Z214" s="55" t="str">
        <f aca="false">IF(AND(P214&lt;&gt;"",M214&lt;&gt;"",P214&gt;M214),CONCATENATE("1 : ",TEXT((P214-M214)/M214,"0.00")),"—")</f>
        <v>—</v>
      </c>
      <c r="AA214" s="56" t="str">
        <f aca="false">IF(AND(C214&lt;&gt;"",E214&lt;&gt;""),E214-C214,"")</f>
        <v/>
      </c>
      <c r="AB214" s="42"/>
      <c r="AC214" s="57"/>
      <c r="AD214" s="58"/>
      <c r="AE214" s="59" t="str">
        <f aca="false">IF(G214&lt;&gt;"",HYPERLINK("https://www.tradingview.com/chart/?symbol="&amp;G214&amp;"&amp;interval=60&amp;from="&amp;(AG214-10*3600)&amp;"&amp;to="&amp;(AG214+50*3600),"📈 1H"),"")</f>
        <v/>
      </c>
      <c r="AF214" s="60" t="str">
        <f aca="false">IF(G214&lt;&gt;"",HYPERLINK("https://www.tradingview.com/chart/?symbol="&amp;G214&amp;"&amp;interval=240&amp;from="&amp;(AG214-10*14400)&amp;"&amp;to="&amp;(AG214+50*14400),"📈 4H"),"")</f>
        <v/>
      </c>
      <c r="AG214" s="36" t="str">
        <f aca="false">IF(C214&lt;&gt;"",INT((C214+IF(D214&lt;&gt;"",D214,0)-DATE(1970,1,1))*86400),"")</f>
        <v/>
      </c>
    </row>
    <row r="215" customFormat="false" ht="19.5" hidden="false" customHeight="true" outlineLevel="0" collapsed="false">
      <c r="A215" s="12" t="n">
        <f aca="false">ROW()-4</f>
        <v>211</v>
      </c>
      <c r="B215" s="13"/>
      <c r="C215" s="14"/>
      <c r="D215" s="15"/>
      <c r="E215" s="14"/>
      <c r="F215" s="15"/>
      <c r="G215" s="16"/>
      <c r="H215" s="17"/>
      <c r="I215" s="18"/>
      <c r="J215" s="19"/>
      <c r="K215" s="14"/>
      <c r="L215" s="17"/>
      <c r="M215" s="19"/>
      <c r="N215" s="20"/>
      <c r="O215" s="19"/>
      <c r="P215" s="21"/>
      <c r="Q215" s="22" t="str">
        <f aca="false">IF(L215="","",IF(M215&lt;&gt;"",M215*L215*100,IF(AND(O215&lt;&gt;"",B215&lt;&gt;""),IFERROR(AVERAGEIF($B$5:$B$1004,B215,$M$5:$M$1004)*L215*100,""),"")))</f>
        <v/>
      </c>
      <c r="R215" s="22" t="str">
        <f aca="false">IF(AND(O215&lt;&gt;"",L215&lt;&gt;""),O215*L215*100,"")</f>
        <v/>
      </c>
      <c r="S215" s="23" t="str">
        <f aca="false">IF(AND(P215&lt;&gt;"",L215&lt;&gt;""),P215*L215*100,"")</f>
        <v/>
      </c>
      <c r="T215" s="24" t="str">
        <f aca="false">IF(AND(Q215&lt;&gt;"",R215&lt;&gt;""),R215-Q215,"")</f>
        <v/>
      </c>
      <c r="U215" s="25" t="str">
        <f aca="false">IF(AND(Q215&lt;&gt;"",Q215&lt;&gt;0,T215&lt;&gt;""),T215/Q215,"")</f>
        <v/>
      </c>
      <c r="V215" s="26" t="str">
        <f aca="false">IF(AND(S215&lt;&gt;"",Q215&lt;&gt;""),S215-Q215,"")</f>
        <v/>
      </c>
      <c r="W215" s="27" t="str">
        <f aca="false">IF(AND(Q215&lt;&gt;"",Q215&lt;&gt;0,V215&lt;&gt;""),V215/Q215,"")</f>
        <v/>
      </c>
      <c r="X215" s="28" t="s">
        <v>37</v>
      </c>
      <c r="Y215" s="29" t="str">
        <f aca="false">IF(AND(O215&lt;&gt;"",M215&lt;&gt;"",O215&gt;M215),CONCATENATE("1 : ",TEXT((O215-M215)/M215,"0.00")),IF(AND(O215&lt;&gt;"",M215&lt;&gt;"",O215&lt;M215),CONCATENATE("-1 : ",TEXT((M215-O215)/M215,"0.00")),"—"))</f>
        <v>—</v>
      </c>
      <c r="Z215" s="30" t="str">
        <f aca="false">IF(AND(P215&lt;&gt;"",M215&lt;&gt;"",P215&gt;M215),CONCATENATE("1 : ",TEXT((P215-M215)/M215,"0.00")),"—")</f>
        <v>—</v>
      </c>
      <c r="AA215" s="31" t="str">
        <f aca="false">IF(AND(C215&lt;&gt;"",E215&lt;&gt;""),E215-C215,"")</f>
        <v/>
      </c>
      <c r="AB215" s="17"/>
      <c r="AC215" s="32"/>
      <c r="AD215" s="33"/>
      <c r="AE215" s="34" t="str">
        <f aca="false">IF(G215&lt;&gt;"",HYPERLINK("https://www.tradingview.com/chart/?symbol="&amp;G215&amp;"&amp;interval=60&amp;from="&amp;(AG215-10*3600)&amp;"&amp;to="&amp;(AG215+50*3600),"📈 1H"),"")</f>
        <v/>
      </c>
      <c r="AF215" s="35" t="str">
        <f aca="false">IF(G215&lt;&gt;"",HYPERLINK("https://www.tradingview.com/chart/?symbol="&amp;G215&amp;"&amp;interval=240&amp;from="&amp;(AG215-10*14400)&amp;"&amp;to="&amp;(AG215+50*14400),"📈 4H"),"")</f>
        <v/>
      </c>
      <c r="AG215" s="36" t="str">
        <f aca="false">IF(C215&lt;&gt;"",INT((C215+IF(D215&lt;&gt;"",D215,0)-DATE(1970,1,1))*86400),"")</f>
        <v/>
      </c>
    </row>
    <row r="216" customFormat="false" ht="19.5" hidden="false" customHeight="true" outlineLevel="0" collapsed="false">
      <c r="A216" s="37" t="n">
        <f aca="false">ROW()-4</f>
        <v>212</v>
      </c>
      <c r="B216" s="38"/>
      <c r="C216" s="39"/>
      <c r="D216" s="40"/>
      <c r="E216" s="39"/>
      <c r="F216" s="40"/>
      <c r="G216" s="41"/>
      <c r="H216" s="42"/>
      <c r="I216" s="43"/>
      <c r="J216" s="44"/>
      <c r="K216" s="39"/>
      <c r="L216" s="42"/>
      <c r="M216" s="44"/>
      <c r="N216" s="45"/>
      <c r="O216" s="44"/>
      <c r="P216" s="46"/>
      <c r="Q216" s="47" t="str">
        <f aca="false">IF(L216="","",IF(M216&lt;&gt;"",M216*L216*100,IF(AND(O216&lt;&gt;"",B216&lt;&gt;""),IFERROR(AVERAGEIF($B$5:$B$1004,B216,$M$5:$M$1004)*L216*100,""),"")))</f>
        <v/>
      </c>
      <c r="R216" s="47" t="str">
        <f aca="false">IF(AND(O216&lt;&gt;"",L216&lt;&gt;""),O216*L216*100,"")</f>
        <v/>
      </c>
      <c r="S216" s="48" t="str">
        <f aca="false">IF(AND(P216&lt;&gt;"",L216&lt;&gt;""),P216*L216*100,"")</f>
        <v/>
      </c>
      <c r="T216" s="49" t="str">
        <f aca="false">IF(AND(Q216&lt;&gt;"",R216&lt;&gt;""),R216-Q216,"")</f>
        <v/>
      </c>
      <c r="U216" s="50" t="str">
        <f aca="false">IF(AND(Q216&lt;&gt;"",Q216&lt;&gt;0,T216&lt;&gt;""),T216/Q216,"")</f>
        <v/>
      </c>
      <c r="V216" s="51" t="str">
        <f aca="false">IF(AND(S216&lt;&gt;"",Q216&lt;&gt;""),S216-Q216,"")</f>
        <v/>
      </c>
      <c r="W216" s="52" t="str">
        <f aca="false">IF(AND(Q216&lt;&gt;"",Q216&lt;&gt;0,V216&lt;&gt;""),V216/Q216,"")</f>
        <v/>
      </c>
      <c r="X216" s="53" t="s">
        <v>37</v>
      </c>
      <c r="Y216" s="54" t="str">
        <f aca="false">IF(AND(O216&lt;&gt;"",M216&lt;&gt;"",O216&gt;M216),CONCATENATE("1 : ",TEXT((O216-M216)/M216,"0.00")),IF(AND(O216&lt;&gt;"",M216&lt;&gt;"",O216&lt;M216),CONCATENATE("-1 : ",TEXT((M216-O216)/M216,"0.00")),"—"))</f>
        <v>—</v>
      </c>
      <c r="Z216" s="55" t="str">
        <f aca="false">IF(AND(P216&lt;&gt;"",M216&lt;&gt;"",P216&gt;M216),CONCATENATE("1 : ",TEXT((P216-M216)/M216,"0.00")),"—")</f>
        <v>—</v>
      </c>
      <c r="AA216" s="56" t="str">
        <f aca="false">IF(AND(C216&lt;&gt;"",E216&lt;&gt;""),E216-C216,"")</f>
        <v/>
      </c>
      <c r="AB216" s="42"/>
      <c r="AC216" s="57"/>
      <c r="AD216" s="58"/>
      <c r="AE216" s="59" t="str">
        <f aca="false">IF(G216&lt;&gt;"",HYPERLINK("https://www.tradingview.com/chart/?symbol="&amp;G216&amp;"&amp;interval=60&amp;from="&amp;(AG216-10*3600)&amp;"&amp;to="&amp;(AG216+50*3600),"📈 1H"),"")</f>
        <v/>
      </c>
      <c r="AF216" s="60" t="str">
        <f aca="false">IF(G216&lt;&gt;"",HYPERLINK("https://www.tradingview.com/chart/?symbol="&amp;G216&amp;"&amp;interval=240&amp;from="&amp;(AG216-10*14400)&amp;"&amp;to="&amp;(AG216+50*14400),"📈 4H"),"")</f>
        <v/>
      </c>
      <c r="AG216" s="36" t="str">
        <f aca="false">IF(C216&lt;&gt;"",INT((C216+IF(D216&lt;&gt;"",D216,0)-DATE(1970,1,1))*86400),"")</f>
        <v/>
      </c>
    </row>
    <row r="217" customFormat="false" ht="19.5" hidden="false" customHeight="true" outlineLevel="0" collapsed="false">
      <c r="A217" s="12" t="n">
        <f aca="false">ROW()-4</f>
        <v>213</v>
      </c>
      <c r="B217" s="13"/>
      <c r="C217" s="14"/>
      <c r="D217" s="15"/>
      <c r="E217" s="14"/>
      <c r="F217" s="15"/>
      <c r="G217" s="16"/>
      <c r="H217" s="17"/>
      <c r="I217" s="18"/>
      <c r="J217" s="19"/>
      <c r="K217" s="14"/>
      <c r="L217" s="17"/>
      <c r="M217" s="19"/>
      <c r="N217" s="20"/>
      <c r="O217" s="19"/>
      <c r="P217" s="21"/>
      <c r="Q217" s="22" t="str">
        <f aca="false">IF(L217="","",IF(M217&lt;&gt;"",M217*L217*100,IF(AND(O217&lt;&gt;"",B217&lt;&gt;""),IFERROR(AVERAGEIF($B$5:$B$1004,B217,$M$5:$M$1004)*L217*100,""),"")))</f>
        <v/>
      </c>
      <c r="R217" s="22" t="str">
        <f aca="false">IF(AND(O217&lt;&gt;"",L217&lt;&gt;""),O217*L217*100,"")</f>
        <v/>
      </c>
      <c r="S217" s="23" t="str">
        <f aca="false">IF(AND(P217&lt;&gt;"",L217&lt;&gt;""),P217*L217*100,"")</f>
        <v/>
      </c>
      <c r="T217" s="24" t="str">
        <f aca="false">IF(AND(Q217&lt;&gt;"",R217&lt;&gt;""),R217-Q217,"")</f>
        <v/>
      </c>
      <c r="U217" s="25" t="str">
        <f aca="false">IF(AND(Q217&lt;&gt;"",Q217&lt;&gt;0,T217&lt;&gt;""),T217/Q217,"")</f>
        <v/>
      </c>
      <c r="V217" s="26" t="str">
        <f aca="false">IF(AND(S217&lt;&gt;"",Q217&lt;&gt;""),S217-Q217,"")</f>
        <v/>
      </c>
      <c r="W217" s="27" t="str">
        <f aca="false">IF(AND(Q217&lt;&gt;"",Q217&lt;&gt;0,V217&lt;&gt;""),V217/Q217,"")</f>
        <v/>
      </c>
      <c r="X217" s="28" t="s">
        <v>37</v>
      </c>
      <c r="Y217" s="29" t="str">
        <f aca="false">IF(AND(O217&lt;&gt;"",M217&lt;&gt;"",O217&gt;M217),CONCATENATE("1 : ",TEXT((O217-M217)/M217,"0.00")),IF(AND(O217&lt;&gt;"",M217&lt;&gt;"",O217&lt;M217),CONCATENATE("-1 : ",TEXT((M217-O217)/M217,"0.00")),"—"))</f>
        <v>—</v>
      </c>
      <c r="Z217" s="30" t="str">
        <f aca="false">IF(AND(P217&lt;&gt;"",M217&lt;&gt;"",P217&gt;M217),CONCATENATE("1 : ",TEXT((P217-M217)/M217,"0.00")),"—")</f>
        <v>—</v>
      </c>
      <c r="AA217" s="31" t="str">
        <f aca="false">IF(AND(C217&lt;&gt;"",E217&lt;&gt;""),E217-C217,"")</f>
        <v/>
      </c>
      <c r="AB217" s="17"/>
      <c r="AC217" s="32"/>
      <c r="AD217" s="33"/>
      <c r="AE217" s="34" t="str">
        <f aca="false">IF(G217&lt;&gt;"",HYPERLINK("https://www.tradingview.com/chart/?symbol="&amp;G217&amp;"&amp;interval=60&amp;from="&amp;(AG217-10*3600)&amp;"&amp;to="&amp;(AG217+50*3600),"📈 1H"),"")</f>
        <v/>
      </c>
      <c r="AF217" s="35" t="str">
        <f aca="false">IF(G217&lt;&gt;"",HYPERLINK("https://www.tradingview.com/chart/?symbol="&amp;G217&amp;"&amp;interval=240&amp;from="&amp;(AG217-10*14400)&amp;"&amp;to="&amp;(AG217+50*14400),"📈 4H"),"")</f>
        <v/>
      </c>
      <c r="AG217" s="36" t="str">
        <f aca="false">IF(C217&lt;&gt;"",INT((C217+IF(D217&lt;&gt;"",D217,0)-DATE(1970,1,1))*86400),"")</f>
        <v/>
      </c>
    </row>
    <row r="218" customFormat="false" ht="19.5" hidden="false" customHeight="true" outlineLevel="0" collapsed="false">
      <c r="A218" s="37" t="n">
        <f aca="false">ROW()-4</f>
        <v>214</v>
      </c>
      <c r="B218" s="38"/>
      <c r="C218" s="39"/>
      <c r="D218" s="40"/>
      <c r="E218" s="39"/>
      <c r="F218" s="40"/>
      <c r="G218" s="41"/>
      <c r="H218" s="42"/>
      <c r="I218" s="43"/>
      <c r="J218" s="44"/>
      <c r="K218" s="39"/>
      <c r="L218" s="42"/>
      <c r="M218" s="44"/>
      <c r="N218" s="45"/>
      <c r="O218" s="44"/>
      <c r="P218" s="46"/>
      <c r="Q218" s="47" t="str">
        <f aca="false">IF(L218="","",IF(M218&lt;&gt;"",M218*L218*100,IF(AND(O218&lt;&gt;"",B218&lt;&gt;""),IFERROR(AVERAGEIF($B$5:$B$1004,B218,$M$5:$M$1004)*L218*100,""),"")))</f>
        <v/>
      </c>
      <c r="R218" s="47" t="str">
        <f aca="false">IF(AND(O218&lt;&gt;"",L218&lt;&gt;""),O218*L218*100,"")</f>
        <v/>
      </c>
      <c r="S218" s="48" t="str">
        <f aca="false">IF(AND(P218&lt;&gt;"",L218&lt;&gt;""),P218*L218*100,"")</f>
        <v/>
      </c>
      <c r="T218" s="49" t="str">
        <f aca="false">IF(AND(Q218&lt;&gt;"",R218&lt;&gt;""),R218-Q218,"")</f>
        <v/>
      </c>
      <c r="U218" s="50" t="str">
        <f aca="false">IF(AND(Q218&lt;&gt;"",Q218&lt;&gt;0,T218&lt;&gt;""),T218/Q218,"")</f>
        <v/>
      </c>
      <c r="V218" s="51" t="str">
        <f aca="false">IF(AND(S218&lt;&gt;"",Q218&lt;&gt;""),S218-Q218,"")</f>
        <v/>
      </c>
      <c r="W218" s="52" t="str">
        <f aca="false">IF(AND(Q218&lt;&gt;"",Q218&lt;&gt;0,V218&lt;&gt;""),V218/Q218,"")</f>
        <v/>
      </c>
      <c r="X218" s="53" t="s">
        <v>37</v>
      </c>
      <c r="Y218" s="54" t="str">
        <f aca="false">IF(AND(O218&lt;&gt;"",M218&lt;&gt;"",O218&gt;M218),CONCATENATE("1 : ",TEXT((O218-M218)/M218,"0.00")),IF(AND(O218&lt;&gt;"",M218&lt;&gt;"",O218&lt;M218),CONCATENATE("-1 : ",TEXT((M218-O218)/M218,"0.00")),"—"))</f>
        <v>—</v>
      </c>
      <c r="Z218" s="55" t="str">
        <f aca="false">IF(AND(P218&lt;&gt;"",M218&lt;&gt;"",P218&gt;M218),CONCATENATE("1 : ",TEXT((P218-M218)/M218,"0.00")),"—")</f>
        <v>—</v>
      </c>
      <c r="AA218" s="56" t="str">
        <f aca="false">IF(AND(C218&lt;&gt;"",E218&lt;&gt;""),E218-C218,"")</f>
        <v/>
      </c>
      <c r="AB218" s="42"/>
      <c r="AC218" s="57"/>
      <c r="AD218" s="58"/>
      <c r="AE218" s="59" t="str">
        <f aca="false">IF(G218&lt;&gt;"",HYPERLINK("https://www.tradingview.com/chart/?symbol="&amp;G218&amp;"&amp;interval=60&amp;from="&amp;(AG218-10*3600)&amp;"&amp;to="&amp;(AG218+50*3600),"📈 1H"),"")</f>
        <v/>
      </c>
      <c r="AF218" s="60" t="str">
        <f aca="false">IF(G218&lt;&gt;"",HYPERLINK("https://www.tradingview.com/chart/?symbol="&amp;G218&amp;"&amp;interval=240&amp;from="&amp;(AG218-10*14400)&amp;"&amp;to="&amp;(AG218+50*14400),"📈 4H"),"")</f>
        <v/>
      </c>
      <c r="AG218" s="36" t="str">
        <f aca="false">IF(C218&lt;&gt;"",INT((C218+IF(D218&lt;&gt;"",D218,0)-DATE(1970,1,1))*86400),"")</f>
        <v/>
      </c>
    </row>
    <row r="219" customFormat="false" ht="19.5" hidden="false" customHeight="true" outlineLevel="0" collapsed="false">
      <c r="A219" s="12" t="n">
        <f aca="false">ROW()-4</f>
        <v>215</v>
      </c>
      <c r="B219" s="13"/>
      <c r="C219" s="14"/>
      <c r="D219" s="15"/>
      <c r="E219" s="14"/>
      <c r="F219" s="15"/>
      <c r="G219" s="16"/>
      <c r="H219" s="17"/>
      <c r="I219" s="18"/>
      <c r="J219" s="19"/>
      <c r="K219" s="14"/>
      <c r="L219" s="17"/>
      <c r="M219" s="19"/>
      <c r="N219" s="20"/>
      <c r="O219" s="19"/>
      <c r="P219" s="21"/>
      <c r="Q219" s="22" t="str">
        <f aca="false">IF(L219="","",IF(M219&lt;&gt;"",M219*L219*100,IF(AND(O219&lt;&gt;"",B219&lt;&gt;""),IFERROR(AVERAGEIF($B$5:$B$1004,B219,$M$5:$M$1004)*L219*100,""),"")))</f>
        <v/>
      </c>
      <c r="R219" s="22" t="str">
        <f aca="false">IF(AND(O219&lt;&gt;"",L219&lt;&gt;""),O219*L219*100,"")</f>
        <v/>
      </c>
      <c r="S219" s="23" t="str">
        <f aca="false">IF(AND(P219&lt;&gt;"",L219&lt;&gt;""),P219*L219*100,"")</f>
        <v/>
      </c>
      <c r="T219" s="24" t="str">
        <f aca="false">IF(AND(Q219&lt;&gt;"",R219&lt;&gt;""),R219-Q219,"")</f>
        <v/>
      </c>
      <c r="U219" s="25" t="str">
        <f aca="false">IF(AND(Q219&lt;&gt;"",Q219&lt;&gt;0,T219&lt;&gt;""),T219/Q219,"")</f>
        <v/>
      </c>
      <c r="V219" s="26" t="str">
        <f aca="false">IF(AND(S219&lt;&gt;"",Q219&lt;&gt;""),S219-Q219,"")</f>
        <v/>
      </c>
      <c r="W219" s="27" t="str">
        <f aca="false">IF(AND(Q219&lt;&gt;"",Q219&lt;&gt;0,V219&lt;&gt;""),V219/Q219,"")</f>
        <v/>
      </c>
      <c r="X219" s="28" t="s">
        <v>37</v>
      </c>
      <c r="Y219" s="29" t="str">
        <f aca="false">IF(AND(O219&lt;&gt;"",M219&lt;&gt;"",O219&gt;M219),CONCATENATE("1 : ",TEXT((O219-M219)/M219,"0.00")),IF(AND(O219&lt;&gt;"",M219&lt;&gt;"",O219&lt;M219),CONCATENATE("-1 : ",TEXT((M219-O219)/M219,"0.00")),"—"))</f>
        <v>—</v>
      </c>
      <c r="Z219" s="30" t="str">
        <f aca="false">IF(AND(P219&lt;&gt;"",M219&lt;&gt;"",P219&gt;M219),CONCATENATE("1 : ",TEXT((P219-M219)/M219,"0.00")),"—")</f>
        <v>—</v>
      </c>
      <c r="AA219" s="31" t="str">
        <f aca="false">IF(AND(C219&lt;&gt;"",E219&lt;&gt;""),E219-C219,"")</f>
        <v/>
      </c>
      <c r="AB219" s="17"/>
      <c r="AC219" s="32"/>
      <c r="AD219" s="33"/>
      <c r="AE219" s="34" t="str">
        <f aca="false">IF(G219&lt;&gt;"",HYPERLINK("https://www.tradingview.com/chart/?symbol="&amp;G219&amp;"&amp;interval=60&amp;from="&amp;(AG219-10*3600)&amp;"&amp;to="&amp;(AG219+50*3600),"📈 1H"),"")</f>
        <v/>
      </c>
      <c r="AF219" s="35" t="str">
        <f aca="false">IF(G219&lt;&gt;"",HYPERLINK("https://www.tradingview.com/chart/?symbol="&amp;G219&amp;"&amp;interval=240&amp;from="&amp;(AG219-10*14400)&amp;"&amp;to="&amp;(AG219+50*14400),"📈 4H"),"")</f>
        <v/>
      </c>
      <c r="AG219" s="36" t="str">
        <f aca="false">IF(C219&lt;&gt;"",INT((C219+IF(D219&lt;&gt;"",D219,0)-DATE(1970,1,1))*86400),"")</f>
        <v/>
      </c>
    </row>
    <row r="220" customFormat="false" ht="19.5" hidden="false" customHeight="true" outlineLevel="0" collapsed="false">
      <c r="A220" s="37" t="n">
        <f aca="false">ROW()-4</f>
        <v>216</v>
      </c>
      <c r="B220" s="38"/>
      <c r="C220" s="39"/>
      <c r="D220" s="40"/>
      <c r="E220" s="39"/>
      <c r="F220" s="40"/>
      <c r="G220" s="41"/>
      <c r="H220" s="42"/>
      <c r="I220" s="43"/>
      <c r="J220" s="44"/>
      <c r="K220" s="39"/>
      <c r="L220" s="42"/>
      <c r="M220" s="44"/>
      <c r="N220" s="45"/>
      <c r="O220" s="44"/>
      <c r="P220" s="46"/>
      <c r="Q220" s="47" t="str">
        <f aca="false">IF(L220="","",IF(M220&lt;&gt;"",M220*L220*100,IF(AND(O220&lt;&gt;"",B220&lt;&gt;""),IFERROR(AVERAGEIF($B$5:$B$1004,B220,$M$5:$M$1004)*L220*100,""),"")))</f>
        <v/>
      </c>
      <c r="R220" s="47" t="str">
        <f aca="false">IF(AND(O220&lt;&gt;"",L220&lt;&gt;""),O220*L220*100,"")</f>
        <v/>
      </c>
      <c r="S220" s="48" t="str">
        <f aca="false">IF(AND(P220&lt;&gt;"",L220&lt;&gt;""),P220*L220*100,"")</f>
        <v/>
      </c>
      <c r="T220" s="49" t="str">
        <f aca="false">IF(AND(Q220&lt;&gt;"",R220&lt;&gt;""),R220-Q220,"")</f>
        <v/>
      </c>
      <c r="U220" s="50" t="str">
        <f aca="false">IF(AND(Q220&lt;&gt;"",Q220&lt;&gt;0,T220&lt;&gt;""),T220/Q220,"")</f>
        <v/>
      </c>
      <c r="V220" s="51" t="str">
        <f aca="false">IF(AND(S220&lt;&gt;"",Q220&lt;&gt;""),S220-Q220,"")</f>
        <v/>
      </c>
      <c r="W220" s="52" t="str">
        <f aca="false">IF(AND(Q220&lt;&gt;"",Q220&lt;&gt;0,V220&lt;&gt;""),V220/Q220,"")</f>
        <v/>
      </c>
      <c r="X220" s="53" t="s">
        <v>37</v>
      </c>
      <c r="Y220" s="54" t="str">
        <f aca="false">IF(AND(O220&lt;&gt;"",M220&lt;&gt;"",O220&gt;M220),CONCATENATE("1 : ",TEXT((O220-M220)/M220,"0.00")),IF(AND(O220&lt;&gt;"",M220&lt;&gt;"",O220&lt;M220),CONCATENATE("-1 : ",TEXT((M220-O220)/M220,"0.00")),"—"))</f>
        <v>—</v>
      </c>
      <c r="Z220" s="55" t="str">
        <f aca="false">IF(AND(P220&lt;&gt;"",M220&lt;&gt;"",P220&gt;M220),CONCATENATE("1 : ",TEXT((P220-M220)/M220,"0.00")),"—")</f>
        <v>—</v>
      </c>
      <c r="AA220" s="56" t="str">
        <f aca="false">IF(AND(C220&lt;&gt;"",E220&lt;&gt;""),E220-C220,"")</f>
        <v/>
      </c>
      <c r="AB220" s="42"/>
      <c r="AC220" s="57"/>
      <c r="AD220" s="58"/>
      <c r="AE220" s="59" t="str">
        <f aca="false">IF(G220&lt;&gt;"",HYPERLINK("https://www.tradingview.com/chart/?symbol="&amp;G220&amp;"&amp;interval=60&amp;from="&amp;(AG220-10*3600)&amp;"&amp;to="&amp;(AG220+50*3600),"📈 1H"),"")</f>
        <v/>
      </c>
      <c r="AF220" s="60" t="str">
        <f aca="false">IF(G220&lt;&gt;"",HYPERLINK("https://www.tradingview.com/chart/?symbol="&amp;G220&amp;"&amp;interval=240&amp;from="&amp;(AG220-10*14400)&amp;"&amp;to="&amp;(AG220+50*14400),"📈 4H"),"")</f>
        <v/>
      </c>
      <c r="AG220" s="36" t="str">
        <f aca="false">IF(C220&lt;&gt;"",INT((C220+IF(D220&lt;&gt;"",D220,0)-DATE(1970,1,1))*86400),"")</f>
        <v/>
      </c>
    </row>
    <row r="221" customFormat="false" ht="19.5" hidden="false" customHeight="true" outlineLevel="0" collapsed="false">
      <c r="A221" s="12" t="n">
        <f aca="false">ROW()-4</f>
        <v>217</v>
      </c>
      <c r="B221" s="13"/>
      <c r="C221" s="14"/>
      <c r="D221" s="15"/>
      <c r="E221" s="14"/>
      <c r="F221" s="15"/>
      <c r="G221" s="16"/>
      <c r="H221" s="17"/>
      <c r="I221" s="18"/>
      <c r="J221" s="19"/>
      <c r="K221" s="14"/>
      <c r="L221" s="17"/>
      <c r="M221" s="19"/>
      <c r="N221" s="20"/>
      <c r="O221" s="19"/>
      <c r="P221" s="21"/>
      <c r="Q221" s="22" t="str">
        <f aca="false">IF(L221="","",IF(M221&lt;&gt;"",M221*L221*100,IF(AND(O221&lt;&gt;"",B221&lt;&gt;""),IFERROR(AVERAGEIF($B$5:$B$1004,B221,$M$5:$M$1004)*L221*100,""),"")))</f>
        <v/>
      </c>
      <c r="R221" s="22" t="str">
        <f aca="false">IF(AND(O221&lt;&gt;"",L221&lt;&gt;""),O221*L221*100,"")</f>
        <v/>
      </c>
      <c r="S221" s="23" t="str">
        <f aca="false">IF(AND(P221&lt;&gt;"",L221&lt;&gt;""),P221*L221*100,"")</f>
        <v/>
      </c>
      <c r="T221" s="24" t="str">
        <f aca="false">IF(AND(Q221&lt;&gt;"",R221&lt;&gt;""),R221-Q221,"")</f>
        <v/>
      </c>
      <c r="U221" s="25" t="str">
        <f aca="false">IF(AND(Q221&lt;&gt;"",Q221&lt;&gt;0,T221&lt;&gt;""),T221/Q221,"")</f>
        <v/>
      </c>
      <c r="V221" s="26" t="str">
        <f aca="false">IF(AND(S221&lt;&gt;"",Q221&lt;&gt;""),S221-Q221,"")</f>
        <v/>
      </c>
      <c r="W221" s="27" t="str">
        <f aca="false">IF(AND(Q221&lt;&gt;"",Q221&lt;&gt;0,V221&lt;&gt;""),V221/Q221,"")</f>
        <v/>
      </c>
      <c r="X221" s="28" t="s">
        <v>37</v>
      </c>
      <c r="Y221" s="29" t="str">
        <f aca="false">IF(AND(O221&lt;&gt;"",M221&lt;&gt;"",O221&gt;M221),CONCATENATE("1 : ",TEXT((O221-M221)/M221,"0.00")),IF(AND(O221&lt;&gt;"",M221&lt;&gt;"",O221&lt;M221),CONCATENATE("-1 : ",TEXT((M221-O221)/M221,"0.00")),"—"))</f>
        <v>—</v>
      </c>
      <c r="Z221" s="30" t="str">
        <f aca="false">IF(AND(P221&lt;&gt;"",M221&lt;&gt;"",P221&gt;M221),CONCATENATE("1 : ",TEXT((P221-M221)/M221,"0.00")),"—")</f>
        <v>—</v>
      </c>
      <c r="AA221" s="31" t="str">
        <f aca="false">IF(AND(C221&lt;&gt;"",E221&lt;&gt;""),E221-C221,"")</f>
        <v/>
      </c>
      <c r="AB221" s="17"/>
      <c r="AC221" s="32"/>
      <c r="AD221" s="33"/>
      <c r="AE221" s="34" t="str">
        <f aca="false">IF(G221&lt;&gt;"",HYPERLINK("https://www.tradingview.com/chart/?symbol="&amp;G221&amp;"&amp;interval=60&amp;from="&amp;(AG221-10*3600)&amp;"&amp;to="&amp;(AG221+50*3600),"📈 1H"),"")</f>
        <v/>
      </c>
      <c r="AF221" s="35" t="str">
        <f aca="false">IF(G221&lt;&gt;"",HYPERLINK("https://www.tradingview.com/chart/?symbol="&amp;G221&amp;"&amp;interval=240&amp;from="&amp;(AG221-10*14400)&amp;"&amp;to="&amp;(AG221+50*14400),"📈 4H"),"")</f>
        <v/>
      </c>
      <c r="AG221" s="36" t="str">
        <f aca="false">IF(C221&lt;&gt;"",INT((C221+IF(D221&lt;&gt;"",D221,0)-DATE(1970,1,1))*86400),"")</f>
        <v/>
      </c>
    </row>
    <row r="222" customFormat="false" ht="19.5" hidden="false" customHeight="true" outlineLevel="0" collapsed="false">
      <c r="A222" s="37" t="n">
        <f aca="false">ROW()-4</f>
        <v>218</v>
      </c>
      <c r="B222" s="38"/>
      <c r="C222" s="39"/>
      <c r="D222" s="40"/>
      <c r="E222" s="39"/>
      <c r="F222" s="40"/>
      <c r="G222" s="41"/>
      <c r="H222" s="42"/>
      <c r="I222" s="43"/>
      <c r="J222" s="44"/>
      <c r="K222" s="39"/>
      <c r="L222" s="42"/>
      <c r="M222" s="44"/>
      <c r="N222" s="45"/>
      <c r="O222" s="44"/>
      <c r="P222" s="46"/>
      <c r="Q222" s="47" t="str">
        <f aca="false">IF(L222="","",IF(M222&lt;&gt;"",M222*L222*100,IF(AND(O222&lt;&gt;"",B222&lt;&gt;""),IFERROR(AVERAGEIF($B$5:$B$1004,B222,$M$5:$M$1004)*L222*100,""),"")))</f>
        <v/>
      </c>
      <c r="R222" s="47" t="str">
        <f aca="false">IF(AND(O222&lt;&gt;"",L222&lt;&gt;""),O222*L222*100,"")</f>
        <v/>
      </c>
      <c r="S222" s="48" t="str">
        <f aca="false">IF(AND(P222&lt;&gt;"",L222&lt;&gt;""),P222*L222*100,"")</f>
        <v/>
      </c>
      <c r="T222" s="49" t="str">
        <f aca="false">IF(AND(Q222&lt;&gt;"",R222&lt;&gt;""),R222-Q222,"")</f>
        <v/>
      </c>
      <c r="U222" s="50" t="str">
        <f aca="false">IF(AND(Q222&lt;&gt;"",Q222&lt;&gt;0,T222&lt;&gt;""),T222/Q222,"")</f>
        <v/>
      </c>
      <c r="V222" s="51" t="str">
        <f aca="false">IF(AND(S222&lt;&gt;"",Q222&lt;&gt;""),S222-Q222,"")</f>
        <v/>
      </c>
      <c r="W222" s="52" t="str">
        <f aca="false">IF(AND(Q222&lt;&gt;"",Q222&lt;&gt;0,V222&lt;&gt;""),V222/Q222,"")</f>
        <v/>
      </c>
      <c r="X222" s="53" t="s">
        <v>37</v>
      </c>
      <c r="Y222" s="54" t="str">
        <f aca="false">IF(AND(O222&lt;&gt;"",M222&lt;&gt;"",O222&gt;M222),CONCATENATE("1 : ",TEXT((O222-M222)/M222,"0.00")),IF(AND(O222&lt;&gt;"",M222&lt;&gt;"",O222&lt;M222),CONCATENATE("-1 : ",TEXT((M222-O222)/M222,"0.00")),"—"))</f>
        <v>—</v>
      </c>
      <c r="Z222" s="55" t="str">
        <f aca="false">IF(AND(P222&lt;&gt;"",M222&lt;&gt;"",P222&gt;M222),CONCATENATE("1 : ",TEXT((P222-M222)/M222,"0.00")),"—")</f>
        <v>—</v>
      </c>
      <c r="AA222" s="56" t="str">
        <f aca="false">IF(AND(C222&lt;&gt;"",E222&lt;&gt;""),E222-C222,"")</f>
        <v/>
      </c>
      <c r="AB222" s="42"/>
      <c r="AC222" s="57"/>
      <c r="AD222" s="58"/>
      <c r="AE222" s="59" t="str">
        <f aca="false">IF(G222&lt;&gt;"",HYPERLINK("https://www.tradingview.com/chart/?symbol="&amp;G222&amp;"&amp;interval=60&amp;from="&amp;(AG222-10*3600)&amp;"&amp;to="&amp;(AG222+50*3600),"📈 1H"),"")</f>
        <v/>
      </c>
      <c r="AF222" s="60" t="str">
        <f aca="false">IF(G222&lt;&gt;"",HYPERLINK("https://www.tradingview.com/chart/?symbol="&amp;G222&amp;"&amp;interval=240&amp;from="&amp;(AG222-10*14400)&amp;"&amp;to="&amp;(AG222+50*14400),"📈 4H"),"")</f>
        <v/>
      </c>
      <c r="AG222" s="36" t="str">
        <f aca="false">IF(C222&lt;&gt;"",INT((C222+IF(D222&lt;&gt;"",D222,0)-DATE(1970,1,1))*86400),"")</f>
        <v/>
      </c>
    </row>
    <row r="223" customFormat="false" ht="19.5" hidden="false" customHeight="true" outlineLevel="0" collapsed="false">
      <c r="A223" s="12" t="n">
        <f aca="false">ROW()-4</f>
        <v>219</v>
      </c>
      <c r="B223" s="13"/>
      <c r="C223" s="14"/>
      <c r="D223" s="15"/>
      <c r="E223" s="14"/>
      <c r="F223" s="15"/>
      <c r="G223" s="16"/>
      <c r="H223" s="17"/>
      <c r="I223" s="18"/>
      <c r="J223" s="19"/>
      <c r="K223" s="14"/>
      <c r="L223" s="17"/>
      <c r="M223" s="19"/>
      <c r="N223" s="20"/>
      <c r="O223" s="19"/>
      <c r="P223" s="21"/>
      <c r="Q223" s="22" t="str">
        <f aca="false">IF(L223="","",IF(M223&lt;&gt;"",M223*L223*100,IF(AND(O223&lt;&gt;"",B223&lt;&gt;""),IFERROR(AVERAGEIF($B$5:$B$1004,B223,$M$5:$M$1004)*L223*100,""),"")))</f>
        <v/>
      </c>
      <c r="R223" s="22" t="str">
        <f aca="false">IF(AND(O223&lt;&gt;"",L223&lt;&gt;""),O223*L223*100,"")</f>
        <v/>
      </c>
      <c r="S223" s="23" t="str">
        <f aca="false">IF(AND(P223&lt;&gt;"",L223&lt;&gt;""),P223*L223*100,"")</f>
        <v/>
      </c>
      <c r="T223" s="24" t="str">
        <f aca="false">IF(AND(Q223&lt;&gt;"",R223&lt;&gt;""),R223-Q223,"")</f>
        <v/>
      </c>
      <c r="U223" s="25" t="str">
        <f aca="false">IF(AND(Q223&lt;&gt;"",Q223&lt;&gt;0,T223&lt;&gt;""),T223/Q223,"")</f>
        <v/>
      </c>
      <c r="V223" s="26" t="str">
        <f aca="false">IF(AND(S223&lt;&gt;"",Q223&lt;&gt;""),S223-Q223,"")</f>
        <v/>
      </c>
      <c r="W223" s="27" t="str">
        <f aca="false">IF(AND(Q223&lt;&gt;"",Q223&lt;&gt;0,V223&lt;&gt;""),V223/Q223,"")</f>
        <v/>
      </c>
      <c r="X223" s="28" t="s">
        <v>37</v>
      </c>
      <c r="Y223" s="29" t="str">
        <f aca="false">IF(AND(O223&lt;&gt;"",M223&lt;&gt;"",O223&gt;M223),CONCATENATE("1 : ",TEXT((O223-M223)/M223,"0.00")),IF(AND(O223&lt;&gt;"",M223&lt;&gt;"",O223&lt;M223),CONCATENATE("-1 : ",TEXT((M223-O223)/M223,"0.00")),"—"))</f>
        <v>—</v>
      </c>
      <c r="Z223" s="30" t="str">
        <f aca="false">IF(AND(P223&lt;&gt;"",M223&lt;&gt;"",P223&gt;M223),CONCATENATE("1 : ",TEXT((P223-M223)/M223,"0.00")),"—")</f>
        <v>—</v>
      </c>
      <c r="AA223" s="31" t="str">
        <f aca="false">IF(AND(C223&lt;&gt;"",E223&lt;&gt;""),E223-C223,"")</f>
        <v/>
      </c>
      <c r="AB223" s="17"/>
      <c r="AC223" s="32"/>
      <c r="AD223" s="33"/>
      <c r="AE223" s="34" t="str">
        <f aca="false">IF(G223&lt;&gt;"",HYPERLINK("https://www.tradingview.com/chart/?symbol="&amp;G223&amp;"&amp;interval=60&amp;from="&amp;(AG223-10*3600)&amp;"&amp;to="&amp;(AG223+50*3600),"📈 1H"),"")</f>
        <v/>
      </c>
      <c r="AF223" s="35" t="str">
        <f aca="false">IF(G223&lt;&gt;"",HYPERLINK("https://www.tradingview.com/chart/?symbol="&amp;G223&amp;"&amp;interval=240&amp;from="&amp;(AG223-10*14400)&amp;"&amp;to="&amp;(AG223+50*14400),"📈 4H"),"")</f>
        <v/>
      </c>
      <c r="AG223" s="36" t="str">
        <f aca="false">IF(C223&lt;&gt;"",INT((C223+IF(D223&lt;&gt;"",D223,0)-DATE(1970,1,1))*86400),"")</f>
        <v/>
      </c>
    </row>
    <row r="224" customFormat="false" ht="19.5" hidden="false" customHeight="true" outlineLevel="0" collapsed="false">
      <c r="A224" s="37" t="n">
        <f aca="false">ROW()-4</f>
        <v>220</v>
      </c>
      <c r="B224" s="38"/>
      <c r="C224" s="39"/>
      <c r="D224" s="40"/>
      <c r="E224" s="39"/>
      <c r="F224" s="40"/>
      <c r="G224" s="41"/>
      <c r="H224" s="42"/>
      <c r="I224" s="43"/>
      <c r="J224" s="44"/>
      <c r="K224" s="39"/>
      <c r="L224" s="42"/>
      <c r="M224" s="44"/>
      <c r="N224" s="45"/>
      <c r="O224" s="44"/>
      <c r="P224" s="46"/>
      <c r="Q224" s="47" t="str">
        <f aca="false">IF(L224="","",IF(M224&lt;&gt;"",M224*L224*100,IF(AND(O224&lt;&gt;"",B224&lt;&gt;""),IFERROR(AVERAGEIF($B$5:$B$1004,B224,$M$5:$M$1004)*L224*100,""),"")))</f>
        <v/>
      </c>
      <c r="R224" s="47" t="str">
        <f aca="false">IF(AND(O224&lt;&gt;"",L224&lt;&gt;""),O224*L224*100,"")</f>
        <v/>
      </c>
      <c r="S224" s="48" t="str">
        <f aca="false">IF(AND(P224&lt;&gt;"",L224&lt;&gt;""),P224*L224*100,"")</f>
        <v/>
      </c>
      <c r="T224" s="49" t="str">
        <f aca="false">IF(AND(Q224&lt;&gt;"",R224&lt;&gt;""),R224-Q224,"")</f>
        <v/>
      </c>
      <c r="U224" s="50" t="str">
        <f aca="false">IF(AND(Q224&lt;&gt;"",Q224&lt;&gt;0,T224&lt;&gt;""),T224/Q224,"")</f>
        <v/>
      </c>
      <c r="V224" s="51" t="str">
        <f aca="false">IF(AND(S224&lt;&gt;"",Q224&lt;&gt;""),S224-Q224,"")</f>
        <v/>
      </c>
      <c r="W224" s="52" t="str">
        <f aca="false">IF(AND(Q224&lt;&gt;"",Q224&lt;&gt;0,V224&lt;&gt;""),V224/Q224,"")</f>
        <v/>
      </c>
      <c r="X224" s="53" t="s">
        <v>37</v>
      </c>
      <c r="Y224" s="54" t="str">
        <f aca="false">IF(AND(O224&lt;&gt;"",M224&lt;&gt;"",O224&gt;M224),CONCATENATE("1 : ",TEXT((O224-M224)/M224,"0.00")),IF(AND(O224&lt;&gt;"",M224&lt;&gt;"",O224&lt;M224),CONCATENATE("-1 : ",TEXT((M224-O224)/M224,"0.00")),"—"))</f>
        <v>—</v>
      </c>
      <c r="Z224" s="55" t="str">
        <f aca="false">IF(AND(P224&lt;&gt;"",M224&lt;&gt;"",P224&gt;M224),CONCATENATE("1 : ",TEXT((P224-M224)/M224,"0.00")),"—")</f>
        <v>—</v>
      </c>
      <c r="AA224" s="56" t="str">
        <f aca="false">IF(AND(C224&lt;&gt;"",E224&lt;&gt;""),E224-C224,"")</f>
        <v/>
      </c>
      <c r="AB224" s="42"/>
      <c r="AC224" s="57"/>
      <c r="AD224" s="58"/>
      <c r="AE224" s="59" t="str">
        <f aca="false">IF(G224&lt;&gt;"",HYPERLINK("https://www.tradingview.com/chart/?symbol="&amp;G224&amp;"&amp;interval=60&amp;from="&amp;(AG224-10*3600)&amp;"&amp;to="&amp;(AG224+50*3600),"📈 1H"),"")</f>
        <v/>
      </c>
      <c r="AF224" s="60" t="str">
        <f aca="false">IF(G224&lt;&gt;"",HYPERLINK("https://www.tradingview.com/chart/?symbol="&amp;G224&amp;"&amp;interval=240&amp;from="&amp;(AG224-10*14400)&amp;"&amp;to="&amp;(AG224+50*14400),"📈 4H"),"")</f>
        <v/>
      </c>
      <c r="AG224" s="36" t="str">
        <f aca="false">IF(C224&lt;&gt;"",INT((C224+IF(D224&lt;&gt;"",D224,0)-DATE(1970,1,1))*86400),"")</f>
        <v/>
      </c>
    </row>
    <row r="225" customFormat="false" ht="19.5" hidden="false" customHeight="true" outlineLevel="0" collapsed="false">
      <c r="A225" s="12" t="n">
        <f aca="false">ROW()-4</f>
        <v>221</v>
      </c>
      <c r="B225" s="13"/>
      <c r="C225" s="14"/>
      <c r="D225" s="15"/>
      <c r="E225" s="14"/>
      <c r="F225" s="15"/>
      <c r="G225" s="16"/>
      <c r="H225" s="17"/>
      <c r="I225" s="18"/>
      <c r="J225" s="19"/>
      <c r="K225" s="14"/>
      <c r="L225" s="17"/>
      <c r="M225" s="19"/>
      <c r="N225" s="20"/>
      <c r="O225" s="19"/>
      <c r="P225" s="21"/>
      <c r="Q225" s="22" t="str">
        <f aca="false">IF(L225="","",IF(M225&lt;&gt;"",M225*L225*100,IF(AND(O225&lt;&gt;"",B225&lt;&gt;""),IFERROR(AVERAGEIF($B$5:$B$1004,B225,$M$5:$M$1004)*L225*100,""),"")))</f>
        <v/>
      </c>
      <c r="R225" s="22" t="str">
        <f aca="false">IF(AND(O225&lt;&gt;"",L225&lt;&gt;""),O225*L225*100,"")</f>
        <v/>
      </c>
      <c r="S225" s="23" t="str">
        <f aca="false">IF(AND(P225&lt;&gt;"",L225&lt;&gt;""),P225*L225*100,"")</f>
        <v/>
      </c>
      <c r="T225" s="24" t="str">
        <f aca="false">IF(AND(Q225&lt;&gt;"",R225&lt;&gt;""),R225-Q225,"")</f>
        <v/>
      </c>
      <c r="U225" s="25" t="str">
        <f aca="false">IF(AND(Q225&lt;&gt;"",Q225&lt;&gt;0,T225&lt;&gt;""),T225/Q225,"")</f>
        <v/>
      </c>
      <c r="V225" s="26" t="str">
        <f aca="false">IF(AND(S225&lt;&gt;"",Q225&lt;&gt;""),S225-Q225,"")</f>
        <v/>
      </c>
      <c r="W225" s="27" t="str">
        <f aca="false">IF(AND(Q225&lt;&gt;"",Q225&lt;&gt;0,V225&lt;&gt;""),V225/Q225,"")</f>
        <v/>
      </c>
      <c r="X225" s="28" t="s">
        <v>37</v>
      </c>
      <c r="Y225" s="29" t="str">
        <f aca="false">IF(AND(O225&lt;&gt;"",M225&lt;&gt;"",O225&gt;M225),CONCATENATE("1 : ",TEXT((O225-M225)/M225,"0.00")),IF(AND(O225&lt;&gt;"",M225&lt;&gt;"",O225&lt;M225),CONCATENATE("-1 : ",TEXT((M225-O225)/M225,"0.00")),"—"))</f>
        <v>—</v>
      </c>
      <c r="Z225" s="30" t="str">
        <f aca="false">IF(AND(P225&lt;&gt;"",M225&lt;&gt;"",P225&gt;M225),CONCATENATE("1 : ",TEXT((P225-M225)/M225,"0.00")),"—")</f>
        <v>—</v>
      </c>
      <c r="AA225" s="31" t="str">
        <f aca="false">IF(AND(C225&lt;&gt;"",E225&lt;&gt;""),E225-C225,"")</f>
        <v/>
      </c>
      <c r="AB225" s="17"/>
      <c r="AC225" s="32"/>
      <c r="AD225" s="33"/>
      <c r="AE225" s="34" t="str">
        <f aca="false">IF(G225&lt;&gt;"",HYPERLINK("https://www.tradingview.com/chart/?symbol="&amp;G225&amp;"&amp;interval=60&amp;from="&amp;(AG225-10*3600)&amp;"&amp;to="&amp;(AG225+50*3600),"📈 1H"),"")</f>
        <v/>
      </c>
      <c r="AF225" s="35" t="str">
        <f aca="false">IF(G225&lt;&gt;"",HYPERLINK("https://www.tradingview.com/chart/?symbol="&amp;G225&amp;"&amp;interval=240&amp;from="&amp;(AG225-10*14400)&amp;"&amp;to="&amp;(AG225+50*14400),"📈 4H"),"")</f>
        <v/>
      </c>
      <c r="AG225" s="36" t="str">
        <f aca="false">IF(C225&lt;&gt;"",INT((C225+IF(D225&lt;&gt;"",D225,0)-DATE(1970,1,1))*86400),"")</f>
        <v/>
      </c>
    </row>
    <row r="226" customFormat="false" ht="19.5" hidden="false" customHeight="true" outlineLevel="0" collapsed="false">
      <c r="A226" s="37" t="n">
        <f aca="false">ROW()-4</f>
        <v>222</v>
      </c>
      <c r="B226" s="38"/>
      <c r="C226" s="39"/>
      <c r="D226" s="40"/>
      <c r="E226" s="39"/>
      <c r="F226" s="40"/>
      <c r="G226" s="41"/>
      <c r="H226" s="42"/>
      <c r="I226" s="43"/>
      <c r="J226" s="44"/>
      <c r="K226" s="39"/>
      <c r="L226" s="42"/>
      <c r="M226" s="44"/>
      <c r="N226" s="45"/>
      <c r="O226" s="44"/>
      <c r="P226" s="46"/>
      <c r="Q226" s="47" t="str">
        <f aca="false">IF(L226="","",IF(M226&lt;&gt;"",M226*L226*100,IF(AND(O226&lt;&gt;"",B226&lt;&gt;""),IFERROR(AVERAGEIF($B$5:$B$1004,B226,$M$5:$M$1004)*L226*100,""),"")))</f>
        <v/>
      </c>
      <c r="R226" s="47" t="str">
        <f aca="false">IF(AND(O226&lt;&gt;"",L226&lt;&gt;""),O226*L226*100,"")</f>
        <v/>
      </c>
      <c r="S226" s="48" t="str">
        <f aca="false">IF(AND(P226&lt;&gt;"",L226&lt;&gt;""),P226*L226*100,"")</f>
        <v/>
      </c>
      <c r="T226" s="49" t="str">
        <f aca="false">IF(AND(Q226&lt;&gt;"",R226&lt;&gt;""),R226-Q226,"")</f>
        <v/>
      </c>
      <c r="U226" s="50" t="str">
        <f aca="false">IF(AND(Q226&lt;&gt;"",Q226&lt;&gt;0,T226&lt;&gt;""),T226/Q226,"")</f>
        <v/>
      </c>
      <c r="V226" s="51" t="str">
        <f aca="false">IF(AND(S226&lt;&gt;"",Q226&lt;&gt;""),S226-Q226,"")</f>
        <v/>
      </c>
      <c r="W226" s="52" t="str">
        <f aca="false">IF(AND(Q226&lt;&gt;"",Q226&lt;&gt;0,V226&lt;&gt;""),V226/Q226,"")</f>
        <v/>
      </c>
      <c r="X226" s="53" t="s">
        <v>37</v>
      </c>
      <c r="Y226" s="54" t="str">
        <f aca="false">IF(AND(O226&lt;&gt;"",M226&lt;&gt;"",O226&gt;M226),CONCATENATE("1 : ",TEXT((O226-M226)/M226,"0.00")),IF(AND(O226&lt;&gt;"",M226&lt;&gt;"",O226&lt;M226),CONCATENATE("-1 : ",TEXT((M226-O226)/M226,"0.00")),"—"))</f>
        <v>—</v>
      </c>
      <c r="Z226" s="55" t="str">
        <f aca="false">IF(AND(P226&lt;&gt;"",M226&lt;&gt;"",P226&gt;M226),CONCATENATE("1 : ",TEXT((P226-M226)/M226,"0.00")),"—")</f>
        <v>—</v>
      </c>
      <c r="AA226" s="56" t="str">
        <f aca="false">IF(AND(C226&lt;&gt;"",E226&lt;&gt;""),E226-C226,"")</f>
        <v/>
      </c>
      <c r="AB226" s="42"/>
      <c r="AC226" s="57"/>
      <c r="AD226" s="58"/>
      <c r="AE226" s="59" t="str">
        <f aca="false">IF(G226&lt;&gt;"",HYPERLINK("https://www.tradingview.com/chart/?symbol="&amp;G226&amp;"&amp;interval=60&amp;from="&amp;(AG226-10*3600)&amp;"&amp;to="&amp;(AG226+50*3600),"📈 1H"),"")</f>
        <v/>
      </c>
      <c r="AF226" s="60" t="str">
        <f aca="false">IF(G226&lt;&gt;"",HYPERLINK("https://www.tradingview.com/chart/?symbol="&amp;G226&amp;"&amp;interval=240&amp;from="&amp;(AG226-10*14400)&amp;"&amp;to="&amp;(AG226+50*14400),"📈 4H"),"")</f>
        <v/>
      </c>
      <c r="AG226" s="36" t="str">
        <f aca="false">IF(C226&lt;&gt;"",INT((C226+IF(D226&lt;&gt;"",D226,0)-DATE(1970,1,1))*86400),"")</f>
        <v/>
      </c>
    </row>
    <row r="227" customFormat="false" ht="19.5" hidden="false" customHeight="true" outlineLevel="0" collapsed="false">
      <c r="A227" s="12" t="n">
        <f aca="false">ROW()-4</f>
        <v>223</v>
      </c>
      <c r="B227" s="13"/>
      <c r="C227" s="14"/>
      <c r="D227" s="15"/>
      <c r="E227" s="14"/>
      <c r="F227" s="15"/>
      <c r="G227" s="16"/>
      <c r="H227" s="17"/>
      <c r="I227" s="18"/>
      <c r="J227" s="19"/>
      <c r="K227" s="14"/>
      <c r="L227" s="17"/>
      <c r="M227" s="19"/>
      <c r="N227" s="20"/>
      <c r="O227" s="19"/>
      <c r="P227" s="21"/>
      <c r="Q227" s="22" t="str">
        <f aca="false">IF(L227="","",IF(M227&lt;&gt;"",M227*L227*100,IF(AND(O227&lt;&gt;"",B227&lt;&gt;""),IFERROR(AVERAGEIF($B$5:$B$1004,B227,$M$5:$M$1004)*L227*100,""),"")))</f>
        <v/>
      </c>
      <c r="R227" s="22" t="str">
        <f aca="false">IF(AND(O227&lt;&gt;"",L227&lt;&gt;""),O227*L227*100,"")</f>
        <v/>
      </c>
      <c r="S227" s="23" t="str">
        <f aca="false">IF(AND(P227&lt;&gt;"",L227&lt;&gt;""),P227*L227*100,"")</f>
        <v/>
      </c>
      <c r="T227" s="24" t="str">
        <f aca="false">IF(AND(Q227&lt;&gt;"",R227&lt;&gt;""),R227-Q227,"")</f>
        <v/>
      </c>
      <c r="U227" s="25" t="str">
        <f aca="false">IF(AND(Q227&lt;&gt;"",Q227&lt;&gt;0,T227&lt;&gt;""),T227/Q227,"")</f>
        <v/>
      </c>
      <c r="V227" s="26" t="str">
        <f aca="false">IF(AND(S227&lt;&gt;"",Q227&lt;&gt;""),S227-Q227,"")</f>
        <v/>
      </c>
      <c r="W227" s="27" t="str">
        <f aca="false">IF(AND(Q227&lt;&gt;"",Q227&lt;&gt;0,V227&lt;&gt;""),V227/Q227,"")</f>
        <v/>
      </c>
      <c r="X227" s="28" t="s">
        <v>37</v>
      </c>
      <c r="Y227" s="29" t="str">
        <f aca="false">IF(AND(O227&lt;&gt;"",M227&lt;&gt;"",O227&gt;M227),CONCATENATE("1 : ",TEXT((O227-M227)/M227,"0.00")),IF(AND(O227&lt;&gt;"",M227&lt;&gt;"",O227&lt;M227),CONCATENATE("-1 : ",TEXT((M227-O227)/M227,"0.00")),"—"))</f>
        <v>—</v>
      </c>
      <c r="Z227" s="30" t="str">
        <f aca="false">IF(AND(P227&lt;&gt;"",M227&lt;&gt;"",P227&gt;M227),CONCATENATE("1 : ",TEXT((P227-M227)/M227,"0.00")),"—")</f>
        <v>—</v>
      </c>
      <c r="AA227" s="31" t="str">
        <f aca="false">IF(AND(C227&lt;&gt;"",E227&lt;&gt;""),E227-C227,"")</f>
        <v/>
      </c>
      <c r="AB227" s="17"/>
      <c r="AC227" s="32"/>
      <c r="AD227" s="33"/>
      <c r="AE227" s="34" t="str">
        <f aca="false">IF(G227&lt;&gt;"",HYPERLINK("https://www.tradingview.com/chart/?symbol="&amp;G227&amp;"&amp;interval=60&amp;from="&amp;(AG227-10*3600)&amp;"&amp;to="&amp;(AG227+50*3600),"📈 1H"),"")</f>
        <v/>
      </c>
      <c r="AF227" s="35" t="str">
        <f aca="false">IF(G227&lt;&gt;"",HYPERLINK("https://www.tradingview.com/chart/?symbol="&amp;G227&amp;"&amp;interval=240&amp;from="&amp;(AG227-10*14400)&amp;"&amp;to="&amp;(AG227+50*14400),"📈 4H"),"")</f>
        <v/>
      </c>
      <c r="AG227" s="36" t="str">
        <f aca="false">IF(C227&lt;&gt;"",INT((C227+IF(D227&lt;&gt;"",D227,0)-DATE(1970,1,1))*86400),"")</f>
        <v/>
      </c>
    </row>
    <row r="228" customFormat="false" ht="19.5" hidden="false" customHeight="true" outlineLevel="0" collapsed="false">
      <c r="A228" s="37" t="n">
        <f aca="false">ROW()-4</f>
        <v>224</v>
      </c>
      <c r="B228" s="38"/>
      <c r="C228" s="39"/>
      <c r="D228" s="40"/>
      <c r="E228" s="39"/>
      <c r="F228" s="40"/>
      <c r="G228" s="41"/>
      <c r="H228" s="42"/>
      <c r="I228" s="43"/>
      <c r="J228" s="44"/>
      <c r="K228" s="39"/>
      <c r="L228" s="42"/>
      <c r="M228" s="44"/>
      <c r="N228" s="45"/>
      <c r="O228" s="44"/>
      <c r="P228" s="46"/>
      <c r="Q228" s="47" t="str">
        <f aca="false">IF(L228="","",IF(M228&lt;&gt;"",M228*L228*100,IF(AND(O228&lt;&gt;"",B228&lt;&gt;""),IFERROR(AVERAGEIF($B$5:$B$1004,B228,$M$5:$M$1004)*L228*100,""),"")))</f>
        <v/>
      </c>
      <c r="R228" s="47" t="str">
        <f aca="false">IF(AND(O228&lt;&gt;"",L228&lt;&gt;""),O228*L228*100,"")</f>
        <v/>
      </c>
      <c r="S228" s="48" t="str">
        <f aca="false">IF(AND(P228&lt;&gt;"",L228&lt;&gt;""),P228*L228*100,"")</f>
        <v/>
      </c>
      <c r="T228" s="49" t="str">
        <f aca="false">IF(AND(Q228&lt;&gt;"",R228&lt;&gt;""),R228-Q228,"")</f>
        <v/>
      </c>
      <c r="U228" s="50" t="str">
        <f aca="false">IF(AND(Q228&lt;&gt;"",Q228&lt;&gt;0,T228&lt;&gt;""),T228/Q228,"")</f>
        <v/>
      </c>
      <c r="V228" s="51" t="str">
        <f aca="false">IF(AND(S228&lt;&gt;"",Q228&lt;&gt;""),S228-Q228,"")</f>
        <v/>
      </c>
      <c r="W228" s="52" t="str">
        <f aca="false">IF(AND(Q228&lt;&gt;"",Q228&lt;&gt;0,V228&lt;&gt;""),V228/Q228,"")</f>
        <v/>
      </c>
      <c r="X228" s="53" t="s">
        <v>37</v>
      </c>
      <c r="Y228" s="54" t="str">
        <f aca="false">IF(AND(O228&lt;&gt;"",M228&lt;&gt;"",O228&gt;M228),CONCATENATE("1 : ",TEXT((O228-M228)/M228,"0.00")),IF(AND(O228&lt;&gt;"",M228&lt;&gt;"",O228&lt;M228),CONCATENATE("-1 : ",TEXT((M228-O228)/M228,"0.00")),"—"))</f>
        <v>—</v>
      </c>
      <c r="Z228" s="55" t="str">
        <f aca="false">IF(AND(P228&lt;&gt;"",M228&lt;&gt;"",P228&gt;M228),CONCATENATE("1 : ",TEXT((P228-M228)/M228,"0.00")),"—")</f>
        <v>—</v>
      </c>
      <c r="AA228" s="56" t="str">
        <f aca="false">IF(AND(C228&lt;&gt;"",E228&lt;&gt;""),E228-C228,"")</f>
        <v/>
      </c>
      <c r="AB228" s="42"/>
      <c r="AC228" s="57"/>
      <c r="AD228" s="58"/>
      <c r="AE228" s="59" t="str">
        <f aca="false">IF(G228&lt;&gt;"",HYPERLINK("https://www.tradingview.com/chart/?symbol="&amp;G228&amp;"&amp;interval=60&amp;from="&amp;(AG228-10*3600)&amp;"&amp;to="&amp;(AG228+50*3600),"📈 1H"),"")</f>
        <v/>
      </c>
      <c r="AF228" s="60" t="str">
        <f aca="false">IF(G228&lt;&gt;"",HYPERLINK("https://www.tradingview.com/chart/?symbol="&amp;G228&amp;"&amp;interval=240&amp;from="&amp;(AG228-10*14400)&amp;"&amp;to="&amp;(AG228+50*14400),"📈 4H"),"")</f>
        <v/>
      </c>
      <c r="AG228" s="36" t="str">
        <f aca="false">IF(C228&lt;&gt;"",INT((C228+IF(D228&lt;&gt;"",D228,0)-DATE(1970,1,1))*86400),"")</f>
        <v/>
      </c>
    </row>
    <row r="229" customFormat="false" ht="19.5" hidden="false" customHeight="true" outlineLevel="0" collapsed="false">
      <c r="A229" s="12" t="n">
        <f aca="false">ROW()-4</f>
        <v>225</v>
      </c>
      <c r="B229" s="13"/>
      <c r="C229" s="14"/>
      <c r="D229" s="15"/>
      <c r="E229" s="14"/>
      <c r="F229" s="15"/>
      <c r="G229" s="16"/>
      <c r="H229" s="17"/>
      <c r="I229" s="18"/>
      <c r="J229" s="19"/>
      <c r="K229" s="14"/>
      <c r="L229" s="17"/>
      <c r="M229" s="19"/>
      <c r="N229" s="20"/>
      <c r="O229" s="19"/>
      <c r="P229" s="21"/>
      <c r="Q229" s="22" t="str">
        <f aca="false">IF(L229="","",IF(M229&lt;&gt;"",M229*L229*100,IF(AND(O229&lt;&gt;"",B229&lt;&gt;""),IFERROR(AVERAGEIF($B$5:$B$1004,B229,$M$5:$M$1004)*L229*100,""),"")))</f>
        <v/>
      </c>
      <c r="R229" s="22" t="str">
        <f aca="false">IF(AND(O229&lt;&gt;"",L229&lt;&gt;""),O229*L229*100,"")</f>
        <v/>
      </c>
      <c r="S229" s="23" t="str">
        <f aca="false">IF(AND(P229&lt;&gt;"",L229&lt;&gt;""),P229*L229*100,"")</f>
        <v/>
      </c>
      <c r="T229" s="24" t="str">
        <f aca="false">IF(AND(Q229&lt;&gt;"",R229&lt;&gt;""),R229-Q229,"")</f>
        <v/>
      </c>
      <c r="U229" s="25" t="str">
        <f aca="false">IF(AND(Q229&lt;&gt;"",Q229&lt;&gt;0,T229&lt;&gt;""),T229/Q229,"")</f>
        <v/>
      </c>
      <c r="V229" s="26" t="str">
        <f aca="false">IF(AND(S229&lt;&gt;"",Q229&lt;&gt;""),S229-Q229,"")</f>
        <v/>
      </c>
      <c r="W229" s="27" t="str">
        <f aca="false">IF(AND(Q229&lt;&gt;"",Q229&lt;&gt;0,V229&lt;&gt;""),V229/Q229,"")</f>
        <v/>
      </c>
      <c r="X229" s="28" t="s">
        <v>37</v>
      </c>
      <c r="Y229" s="29" t="str">
        <f aca="false">IF(AND(O229&lt;&gt;"",M229&lt;&gt;"",O229&gt;M229),CONCATENATE("1 : ",TEXT((O229-M229)/M229,"0.00")),IF(AND(O229&lt;&gt;"",M229&lt;&gt;"",O229&lt;M229),CONCATENATE("-1 : ",TEXT((M229-O229)/M229,"0.00")),"—"))</f>
        <v>—</v>
      </c>
      <c r="Z229" s="30" t="str">
        <f aca="false">IF(AND(P229&lt;&gt;"",M229&lt;&gt;"",P229&gt;M229),CONCATENATE("1 : ",TEXT((P229-M229)/M229,"0.00")),"—")</f>
        <v>—</v>
      </c>
      <c r="AA229" s="31" t="str">
        <f aca="false">IF(AND(C229&lt;&gt;"",E229&lt;&gt;""),E229-C229,"")</f>
        <v/>
      </c>
      <c r="AB229" s="17"/>
      <c r="AC229" s="32"/>
      <c r="AD229" s="33"/>
      <c r="AE229" s="34" t="str">
        <f aca="false">IF(G229&lt;&gt;"",HYPERLINK("https://www.tradingview.com/chart/?symbol="&amp;G229&amp;"&amp;interval=60&amp;from="&amp;(AG229-10*3600)&amp;"&amp;to="&amp;(AG229+50*3600),"📈 1H"),"")</f>
        <v/>
      </c>
      <c r="AF229" s="35" t="str">
        <f aca="false">IF(G229&lt;&gt;"",HYPERLINK("https://www.tradingview.com/chart/?symbol="&amp;G229&amp;"&amp;interval=240&amp;from="&amp;(AG229-10*14400)&amp;"&amp;to="&amp;(AG229+50*14400),"📈 4H"),"")</f>
        <v/>
      </c>
      <c r="AG229" s="36" t="str">
        <f aca="false">IF(C229&lt;&gt;"",INT((C229+IF(D229&lt;&gt;"",D229,0)-DATE(1970,1,1))*86400),"")</f>
        <v/>
      </c>
    </row>
    <row r="230" customFormat="false" ht="19.5" hidden="false" customHeight="true" outlineLevel="0" collapsed="false">
      <c r="A230" s="37" t="n">
        <f aca="false">ROW()-4</f>
        <v>226</v>
      </c>
      <c r="B230" s="38"/>
      <c r="C230" s="39"/>
      <c r="D230" s="40"/>
      <c r="E230" s="39"/>
      <c r="F230" s="40"/>
      <c r="G230" s="41"/>
      <c r="H230" s="42"/>
      <c r="I230" s="43"/>
      <c r="J230" s="44"/>
      <c r="K230" s="39"/>
      <c r="L230" s="42"/>
      <c r="M230" s="44"/>
      <c r="N230" s="45"/>
      <c r="O230" s="44"/>
      <c r="P230" s="46"/>
      <c r="Q230" s="47" t="str">
        <f aca="false">IF(L230="","",IF(M230&lt;&gt;"",M230*L230*100,IF(AND(O230&lt;&gt;"",B230&lt;&gt;""),IFERROR(AVERAGEIF($B$5:$B$1004,B230,$M$5:$M$1004)*L230*100,""),"")))</f>
        <v/>
      </c>
      <c r="R230" s="47" t="str">
        <f aca="false">IF(AND(O230&lt;&gt;"",L230&lt;&gt;""),O230*L230*100,"")</f>
        <v/>
      </c>
      <c r="S230" s="48" t="str">
        <f aca="false">IF(AND(P230&lt;&gt;"",L230&lt;&gt;""),P230*L230*100,"")</f>
        <v/>
      </c>
      <c r="T230" s="49" t="str">
        <f aca="false">IF(AND(Q230&lt;&gt;"",R230&lt;&gt;""),R230-Q230,"")</f>
        <v/>
      </c>
      <c r="U230" s="50" t="str">
        <f aca="false">IF(AND(Q230&lt;&gt;"",Q230&lt;&gt;0,T230&lt;&gt;""),T230/Q230,"")</f>
        <v/>
      </c>
      <c r="V230" s="51" t="str">
        <f aca="false">IF(AND(S230&lt;&gt;"",Q230&lt;&gt;""),S230-Q230,"")</f>
        <v/>
      </c>
      <c r="W230" s="52" t="str">
        <f aca="false">IF(AND(Q230&lt;&gt;"",Q230&lt;&gt;0,V230&lt;&gt;""),V230/Q230,"")</f>
        <v/>
      </c>
      <c r="X230" s="53" t="s">
        <v>37</v>
      </c>
      <c r="Y230" s="54" t="str">
        <f aca="false">IF(AND(O230&lt;&gt;"",M230&lt;&gt;"",O230&gt;M230),CONCATENATE("1 : ",TEXT((O230-M230)/M230,"0.00")),IF(AND(O230&lt;&gt;"",M230&lt;&gt;"",O230&lt;M230),CONCATENATE("-1 : ",TEXT((M230-O230)/M230,"0.00")),"—"))</f>
        <v>—</v>
      </c>
      <c r="Z230" s="55" t="str">
        <f aca="false">IF(AND(P230&lt;&gt;"",M230&lt;&gt;"",P230&gt;M230),CONCATENATE("1 : ",TEXT((P230-M230)/M230,"0.00")),"—")</f>
        <v>—</v>
      </c>
      <c r="AA230" s="56" t="str">
        <f aca="false">IF(AND(C230&lt;&gt;"",E230&lt;&gt;""),E230-C230,"")</f>
        <v/>
      </c>
      <c r="AB230" s="42"/>
      <c r="AC230" s="57"/>
      <c r="AD230" s="58"/>
      <c r="AE230" s="59" t="str">
        <f aca="false">IF(G230&lt;&gt;"",HYPERLINK("https://www.tradingview.com/chart/?symbol="&amp;G230&amp;"&amp;interval=60&amp;from="&amp;(AG230-10*3600)&amp;"&amp;to="&amp;(AG230+50*3600),"📈 1H"),"")</f>
        <v/>
      </c>
      <c r="AF230" s="60" t="str">
        <f aca="false">IF(G230&lt;&gt;"",HYPERLINK("https://www.tradingview.com/chart/?symbol="&amp;G230&amp;"&amp;interval=240&amp;from="&amp;(AG230-10*14400)&amp;"&amp;to="&amp;(AG230+50*14400),"📈 4H"),"")</f>
        <v/>
      </c>
      <c r="AG230" s="36" t="str">
        <f aca="false">IF(C230&lt;&gt;"",INT((C230+IF(D230&lt;&gt;"",D230,0)-DATE(1970,1,1))*86400),"")</f>
        <v/>
      </c>
    </row>
    <row r="231" customFormat="false" ht="19.5" hidden="false" customHeight="true" outlineLevel="0" collapsed="false">
      <c r="A231" s="12" t="n">
        <f aca="false">ROW()-4</f>
        <v>227</v>
      </c>
      <c r="B231" s="13"/>
      <c r="C231" s="14"/>
      <c r="D231" s="15"/>
      <c r="E231" s="14"/>
      <c r="F231" s="15"/>
      <c r="G231" s="16"/>
      <c r="H231" s="17"/>
      <c r="I231" s="18"/>
      <c r="J231" s="19"/>
      <c r="K231" s="14"/>
      <c r="L231" s="17"/>
      <c r="M231" s="19"/>
      <c r="N231" s="20"/>
      <c r="O231" s="19"/>
      <c r="P231" s="21"/>
      <c r="Q231" s="22" t="str">
        <f aca="false">IF(L231="","",IF(M231&lt;&gt;"",M231*L231*100,IF(AND(O231&lt;&gt;"",B231&lt;&gt;""),IFERROR(AVERAGEIF($B$5:$B$1004,B231,$M$5:$M$1004)*L231*100,""),"")))</f>
        <v/>
      </c>
      <c r="R231" s="22" t="str">
        <f aca="false">IF(AND(O231&lt;&gt;"",L231&lt;&gt;""),O231*L231*100,"")</f>
        <v/>
      </c>
      <c r="S231" s="23" t="str">
        <f aca="false">IF(AND(P231&lt;&gt;"",L231&lt;&gt;""),P231*L231*100,"")</f>
        <v/>
      </c>
      <c r="T231" s="24" t="str">
        <f aca="false">IF(AND(Q231&lt;&gt;"",R231&lt;&gt;""),R231-Q231,"")</f>
        <v/>
      </c>
      <c r="U231" s="25" t="str">
        <f aca="false">IF(AND(Q231&lt;&gt;"",Q231&lt;&gt;0,T231&lt;&gt;""),T231/Q231,"")</f>
        <v/>
      </c>
      <c r="V231" s="26" t="str">
        <f aca="false">IF(AND(S231&lt;&gt;"",Q231&lt;&gt;""),S231-Q231,"")</f>
        <v/>
      </c>
      <c r="W231" s="27" t="str">
        <f aca="false">IF(AND(Q231&lt;&gt;"",Q231&lt;&gt;0,V231&lt;&gt;""),V231/Q231,"")</f>
        <v/>
      </c>
      <c r="X231" s="28" t="s">
        <v>37</v>
      </c>
      <c r="Y231" s="29" t="str">
        <f aca="false">IF(AND(O231&lt;&gt;"",M231&lt;&gt;"",O231&gt;M231),CONCATENATE("1 : ",TEXT((O231-M231)/M231,"0.00")),IF(AND(O231&lt;&gt;"",M231&lt;&gt;"",O231&lt;M231),CONCATENATE("-1 : ",TEXT((M231-O231)/M231,"0.00")),"—"))</f>
        <v>—</v>
      </c>
      <c r="Z231" s="30" t="str">
        <f aca="false">IF(AND(P231&lt;&gt;"",M231&lt;&gt;"",P231&gt;M231),CONCATENATE("1 : ",TEXT((P231-M231)/M231,"0.00")),"—")</f>
        <v>—</v>
      </c>
      <c r="AA231" s="31" t="str">
        <f aca="false">IF(AND(C231&lt;&gt;"",E231&lt;&gt;""),E231-C231,"")</f>
        <v/>
      </c>
      <c r="AB231" s="17"/>
      <c r="AC231" s="32"/>
      <c r="AD231" s="33"/>
      <c r="AE231" s="34" t="str">
        <f aca="false">IF(G231&lt;&gt;"",HYPERLINK("https://www.tradingview.com/chart/?symbol="&amp;G231&amp;"&amp;interval=60&amp;from="&amp;(AG231-10*3600)&amp;"&amp;to="&amp;(AG231+50*3600),"📈 1H"),"")</f>
        <v/>
      </c>
      <c r="AF231" s="35" t="str">
        <f aca="false">IF(G231&lt;&gt;"",HYPERLINK("https://www.tradingview.com/chart/?symbol="&amp;G231&amp;"&amp;interval=240&amp;from="&amp;(AG231-10*14400)&amp;"&amp;to="&amp;(AG231+50*14400),"📈 4H"),"")</f>
        <v/>
      </c>
      <c r="AG231" s="36" t="str">
        <f aca="false">IF(C231&lt;&gt;"",INT((C231+IF(D231&lt;&gt;"",D231,0)-DATE(1970,1,1))*86400),"")</f>
        <v/>
      </c>
    </row>
    <row r="232" customFormat="false" ht="19.5" hidden="false" customHeight="true" outlineLevel="0" collapsed="false">
      <c r="A232" s="37" t="n">
        <f aca="false">ROW()-4</f>
        <v>228</v>
      </c>
      <c r="B232" s="38"/>
      <c r="C232" s="39"/>
      <c r="D232" s="40"/>
      <c r="E232" s="39"/>
      <c r="F232" s="40"/>
      <c r="G232" s="41"/>
      <c r="H232" s="42"/>
      <c r="I232" s="43"/>
      <c r="J232" s="44"/>
      <c r="K232" s="39"/>
      <c r="L232" s="42"/>
      <c r="M232" s="44"/>
      <c r="N232" s="45"/>
      <c r="O232" s="44"/>
      <c r="P232" s="46"/>
      <c r="Q232" s="47" t="str">
        <f aca="false">IF(L232="","",IF(M232&lt;&gt;"",M232*L232*100,IF(AND(O232&lt;&gt;"",B232&lt;&gt;""),IFERROR(AVERAGEIF($B$5:$B$1004,B232,$M$5:$M$1004)*L232*100,""),"")))</f>
        <v/>
      </c>
      <c r="R232" s="47" t="str">
        <f aca="false">IF(AND(O232&lt;&gt;"",L232&lt;&gt;""),O232*L232*100,"")</f>
        <v/>
      </c>
      <c r="S232" s="48" t="str">
        <f aca="false">IF(AND(P232&lt;&gt;"",L232&lt;&gt;""),P232*L232*100,"")</f>
        <v/>
      </c>
      <c r="T232" s="49" t="str">
        <f aca="false">IF(AND(Q232&lt;&gt;"",R232&lt;&gt;""),R232-Q232,"")</f>
        <v/>
      </c>
      <c r="U232" s="50" t="str">
        <f aca="false">IF(AND(Q232&lt;&gt;"",Q232&lt;&gt;0,T232&lt;&gt;""),T232/Q232,"")</f>
        <v/>
      </c>
      <c r="V232" s="51" t="str">
        <f aca="false">IF(AND(S232&lt;&gt;"",Q232&lt;&gt;""),S232-Q232,"")</f>
        <v/>
      </c>
      <c r="W232" s="52" t="str">
        <f aca="false">IF(AND(Q232&lt;&gt;"",Q232&lt;&gt;0,V232&lt;&gt;""),V232/Q232,"")</f>
        <v/>
      </c>
      <c r="X232" s="53" t="s">
        <v>37</v>
      </c>
      <c r="Y232" s="54" t="str">
        <f aca="false">IF(AND(O232&lt;&gt;"",M232&lt;&gt;"",O232&gt;M232),CONCATENATE("1 : ",TEXT((O232-M232)/M232,"0.00")),IF(AND(O232&lt;&gt;"",M232&lt;&gt;"",O232&lt;M232),CONCATENATE("-1 : ",TEXT((M232-O232)/M232,"0.00")),"—"))</f>
        <v>—</v>
      </c>
      <c r="Z232" s="55" t="str">
        <f aca="false">IF(AND(P232&lt;&gt;"",M232&lt;&gt;"",P232&gt;M232),CONCATENATE("1 : ",TEXT((P232-M232)/M232,"0.00")),"—")</f>
        <v>—</v>
      </c>
      <c r="AA232" s="56" t="str">
        <f aca="false">IF(AND(C232&lt;&gt;"",E232&lt;&gt;""),E232-C232,"")</f>
        <v/>
      </c>
      <c r="AB232" s="42"/>
      <c r="AC232" s="57"/>
      <c r="AD232" s="58"/>
      <c r="AE232" s="59" t="str">
        <f aca="false">IF(G232&lt;&gt;"",HYPERLINK("https://www.tradingview.com/chart/?symbol="&amp;G232&amp;"&amp;interval=60&amp;from="&amp;(AG232-10*3600)&amp;"&amp;to="&amp;(AG232+50*3600),"📈 1H"),"")</f>
        <v/>
      </c>
      <c r="AF232" s="60" t="str">
        <f aca="false">IF(G232&lt;&gt;"",HYPERLINK("https://www.tradingview.com/chart/?symbol="&amp;G232&amp;"&amp;interval=240&amp;from="&amp;(AG232-10*14400)&amp;"&amp;to="&amp;(AG232+50*14400),"📈 4H"),"")</f>
        <v/>
      </c>
      <c r="AG232" s="36" t="str">
        <f aca="false">IF(C232&lt;&gt;"",INT((C232+IF(D232&lt;&gt;"",D232,0)-DATE(1970,1,1))*86400),"")</f>
        <v/>
      </c>
    </row>
    <row r="233" customFormat="false" ht="19.5" hidden="false" customHeight="true" outlineLevel="0" collapsed="false">
      <c r="A233" s="12" t="n">
        <f aca="false">ROW()-4</f>
        <v>229</v>
      </c>
      <c r="B233" s="13"/>
      <c r="C233" s="14"/>
      <c r="D233" s="15"/>
      <c r="E233" s="14"/>
      <c r="F233" s="15"/>
      <c r="G233" s="16"/>
      <c r="H233" s="17"/>
      <c r="I233" s="18"/>
      <c r="J233" s="19"/>
      <c r="K233" s="14"/>
      <c r="L233" s="17"/>
      <c r="M233" s="19"/>
      <c r="N233" s="20"/>
      <c r="O233" s="19"/>
      <c r="P233" s="21"/>
      <c r="Q233" s="22" t="str">
        <f aca="false">IF(L233="","",IF(M233&lt;&gt;"",M233*L233*100,IF(AND(O233&lt;&gt;"",B233&lt;&gt;""),IFERROR(AVERAGEIF($B$5:$B$1004,B233,$M$5:$M$1004)*L233*100,""),"")))</f>
        <v/>
      </c>
      <c r="R233" s="22" t="str">
        <f aca="false">IF(AND(O233&lt;&gt;"",L233&lt;&gt;""),O233*L233*100,"")</f>
        <v/>
      </c>
      <c r="S233" s="23" t="str">
        <f aca="false">IF(AND(P233&lt;&gt;"",L233&lt;&gt;""),P233*L233*100,"")</f>
        <v/>
      </c>
      <c r="T233" s="24" t="str">
        <f aca="false">IF(AND(Q233&lt;&gt;"",R233&lt;&gt;""),R233-Q233,"")</f>
        <v/>
      </c>
      <c r="U233" s="25" t="str">
        <f aca="false">IF(AND(Q233&lt;&gt;"",Q233&lt;&gt;0,T233&lt;&gt;""),T233/Q233,"")</f>
        <v/>
      </c>
      <c r="V233" s="26" t="str">
        <f aca="false">IF(AND(S233&lt;&gt;"",Q233&lt;&gt;""),S233-Q233,"")</f>
        <v/>
      </c>
      <c r="W233" s="27" t="str">
        <f aca="false">IF(AND(Q233&lt;&gt;"",Q233&lt;&gt;0,V233&lt;&gt;""),V233/Q233,"")</f>
        <v/>
      </c>
      <c r="X233" s="28" t="s">
        <v>37</v>
      </c>
      <c r="Y233" s="29" t="str">
        <f aca="false">IF(AND(O233&lt;&gt;"",M233&lt;&gt;"",O233&gt;M233),CONCATENATE("1 : ",TEXT((O233-M233)/M233,"0.00")),IF(AND(O233&lt;&gt;"",M233&lt;&gt;"",O233&lt;M233),CONCATENATE("-1 : ",TEXT((M233-O233)/M233,"0.00")),"—"))</f>
        <v>—</v>
      </c>
      <c r="Z233" s="30" t="str">
        <f aca="false">IF(AND(P233&lt;&gt;"",M233&lt;&gt;"",P233&gt;M233),CONCATENATE("1 : ",TEXT((P233-M233)/M233,"0.00")),"—")</f>
        <v>—</v>
      </c>
      <c r="AA233" s="31" t="str">
        <f aca="false">IF(AND(C233&lt;&gt;"",E233&lt;&gt;""),E233-C233,"")</f>
        <v/>
      </c>
      <c r="AB233" s="17"/>
      <c r="AC233" s="32"/>
      <c r="AD233" s="33"/>
      <c r="AE233" s="34" t="str">
        <f aca="false">IF(G233&lt;&gt;"",HYPERLINK("https://www.tradingview.com/chart/?symbol="&amp;G233&amp;"&amp;interval=60&amp;from="&amp;(AG233-10*3600)&amp;"&amp;to="&amp;(AG233+50*3600),"📈 1H"),"")</f>
        <v/>
      </c>
      <c r="AF233" s="35" t="str">
        <f aca="false">IF(G233&lt;&gt;"",HYPERLINK("https://www.tradingview.com/chart/?symbol="&amp;G233&amp;"&amp;interval=240&amp;from="&amp;(AG233-10*14400)&amp;"&amp;to="&amp;(AG233+50*14400),"📈 4H"),"")</f>
        <v/>
      </c>
      <c r="AG233" s="36" t="str">
        <f aca="false">IF(C233&lt;&gt;"",INT((C233+IF(D233&lt;&gt;"",D233,0)-DATE(1970,1,1))*86400),"")</f>
        <v/>
      </c>
    </row>
    <row r="234" customFormat="false" ht="19.5" hidden="false" customHeight="true" outlineLevel="0" collapsed="false">
      <c r="A234" s="37" t="n">
        <f aca="false">ROW()-4</f>
        <v>230</v>
      </c>
      <c r="B234" s="38"/>
      <c r="C234" s="39"/>
      <c r="D234" s="40"/>
      <c r="E234" s="39"/>
      <c r="F234" s="40"/>
      <c r="G234" s="41"/>
      <c r="H234" s="42"/>
      <c r="I234" s="43"/>
      <c r="J234" s="44"/>
      <c r="K234" s="39"/>
      <c r="L234" s="42"/>
      <c r="M234" s="44"/>
      <c r="N234" s="45"/>
      <c r="O234" s="44"/>
      <c r="P234" s="46"/>
      <c r="Q234" s="47" t="str">
        <f aca="false">IF(L234="","",IF(M234&lt;&gt;"",M234*L234*100,IF(AND(O234&lt;&gt;"",B234&lt;&gt;""),IFERROR(AVERAGEIF($B$5:$B$1004,B234,$M$5:$M$1004)*L234*100,""),"")))</f>
        <v/>
      </c>
      <c r="R234" s="47" t="str">
        <f aca="false">IF(AND(O234&lt;&gt;"",L234&lt;&gt;""),O234*L234*100,"")</f>
        <v/>
      </c>
      <c r="S234" s="48" t="str">
        <f aca="false">IF(AND(P234&lt;&gt;"",L234&lt;&gt;""),P234*L234*100,"")</f>
        <v/>
      </c>
      <c r="T234" s="49" t="str">
        <f aca="false">IF(AND(Q234&lt;&gt;"",R234&lt;&gt;""),R234-Q234,"")</f>
        <v/>
      </c>
      <c r="U234" s="50" t="str">
        <f aca="false">IF(AND(Q234&lt;&gt;"",Q234&lt;&gt;0,T234&lt;&gt;""),T234/Q234,"")</f>
        <v/>
      </c>
      <c r="V234" s="51" t="str">
        <f aca="false">IF(AND(S234&lt;&gt;"",Q234&lt;&gt;""),S234-Q234,"")</f>
        <v/>
      </c>
      <c r="W234" s="52" t="str">
        <f aca="false">IF(AND(Q234&lt;&gt;"",Q234&lt;&gt;0,V234&lt;&gt;""),V234/Q234,"")</f>
        <v/>
      </c>
      <c r="X234" s="53" t="s">
        <v>37</v>
      </c>
      <c r="Y234" s="54" t="str">
        <f aca="false">IF(AND(O234&lt;&gt;"",M234&lt;&gt;"",O234&gt;M234),CONCATENATE("1 : ",TEXT((O234-M234)/M234,"0.00")),IF(AND(O234&lt;&gt;"",M234&lt;&gt;"",O234&lt;M234),CONCATENATE("-1 : ",TEXT((M234-O234)/M234,"0.00")),"—"))</f>
        <v>—</v>
      </c>
      <c r="Z234" s="55" t="str">
        <f aca="false">IF(AND(P234&lt;&gt;"",M234&lt;&gt;"",P234&gt;M234),CONCATENATE("1 : ",TEXT((P234-M234)/M234,"0.00")),"—")</f>
        <v>—</v>
      </c>
      <c r="AA234" s="56" t="str">
        <f aca="false">IF(AND(C234&lt;&gt;"",E234&lt;&gt;""),E234-C234,"")</f>
        <v/>
      </c>
      <c r="AB234" s="42"/>
      <c r="AC234" s="57"/>
      <c r="AD234" s="58"/>
      <c r="AE234" s="59" t="str">
        <f aca="false">IF(G234&lt;&gt;"",HYPERLINK("https://www.tradingview.com/chart/?symbol="&amp;G234&amp;"&amp;interval=60&amp;from="&amp;(AG234-10*3600)&amp;"&amp;to="&amp;(AG234+50*3600),"📈 1H"),"")</f>
        <v/>
      </c>
      <c r="AF234" s="60" t="str">
        <f aca="false">IF(G234&lt;&gt;"",HYPERLINK("https://www.tradingview.com/chart/?symbol="&amp;G234&amp;"&amp;interval=240&amp;from="&amp;(AG234-10*14400)&amp;"&amp;to="&amp;(AG234+50*14400),"📈 4H"),"")</f>
        <v/>
      </c>
      <c r="AG234" s="36" t="str">
        <f aca="false">IF(C234&lt;&gt;"",INT((C234+IF(D234&lt;&gt;"",D234,0)-DATE(1970,1,1))*86400),"")</f>
        <v/>
      </c>
    </row>
    <row r="235" customFormat="false" ht="19.5" hidden="false" customHeight="true" outlineLevel="0" collapsed="false">
      <c r="A235" s="12" t="n">
        <f aca="false">ROW()-4</f>
        <v>231</v>
      </c>
      <c r="B235" s="13"/>
      <c r="C235" s="14"/>
      <c r="D235" s="15"/>
      <c r="E235" s="14"/>
      <c r="F235" s="15"/>
      <c r="G235" s="16"/>
      <c r="H235" s="17"/>
      <c r="I235" s="18"/>
      <c r="J235" s="19"/>
      <c r="K235" s="14"/>
      <c r="L235" s="17"/>
      <c r="M235" s="19"/>
      <c r="N235" s="20"/>
      <c r="O235" s="19"/>
      <c r="P235" s="21"/>
      <c r="Q235" s="22" t="str">
        <f aca="false">IF(L235="","",IF(M235&lt;&gt;"",M235*L235*100,IF(AND(O235&lt;&gt;"",B235&lt;&gt;""),IFERROR(AVERAGEIF($B$5:$B$1004,B235,$M$5:$M$1004)*L235*100,""),"")))</f>
        <v/>
      </c>
      <c r="R235" s="22" t="str">
        <f aca="false">IF(AND(O235&lt;&gt;"",L235&lt;&gt;""),O235*L235*100,"")</f>
        <v/>
      </c>
      <c r="S235" s="23" t="str">
        <f aca="false">IF(AND(P235&lt;&gt;"",L235&lt;&gt;""),P235*L235*100,"")</f>
        <v/>
      </c>
      <c r="T235" s="24" t="str">
        <f aca="false">IF(AND(Q235&lt;&gt;"",R235&lt;&gt;""),R235-Q235,"")</f>
        <v/>
      </c>
      <c r="U235" s="25" t="str">
        <f aca="false">IF(AND(Q235&lt;&gt;"",Q235&lt;&gt;0,T235&lt;&gt;""),T235/Q235,"")</f>
        <v/>
      </c>
      <c r="V235" s="26" t="str">
        <f aca="false">IF(AND(S235&lt;&gt;"",Q235&lt;&gt;""),S235-Q235,"")</f>
        <v/>
      </c>
      <c r="W235" s="27" t="str">
        <f aca="false">IF(AND(Q235&lt;&gt;"",Q235&lt;&gt;0,V235&lt;&gt;""),V235/Q235,"")</f>
        <v/>
      </c>
      <c r="X235" s="28" t="s">
        <v>37</v>
      </c>
      <c r="Y235" s="29" t="str">
        <f aca="false">IF(AND(O235&lt;&gt;"",M235&lt;&gt;"",O235&gt;M235),CONCATENATE("1 : ",TEXT((O235-M235)/M235,"0.00")),IF(AND(O235&lt;&gt;"",M235&lt;&gt;"",O235&lt;M235),CONCATENATE("-1 : ",TEXT((M235-O235)/M235,"0.00")),"—"))</f>
        <v>—</v>
      </c>
      <c r="Z235" s="30" t="str">
        <f aca="false">IF(AND(P235&lt;&gt;"",M235&lt;&gt;"",P235&gt;M235),CONCATENATE("1 : ",TEXT((P235-M235)/M235,"0.00")),"—")</f>
        <v>—</v>
      </c>
      <c r="AA235" s="31" t="str">
        <f aca="false">IF(AND(C235&lt;&gt;"",E235&lt;&gt;""),E235-C235,"")</f>
        <v/>
      </c>
      <c r="AB235" s="17"/>
      <c r="AC235" s="32"/>
      <c r="AD235" s="33"/>
      <c r="AE235" s="34" t="str">
        <f aca="false">IF(G235&lt;&gt;"",HYPERLINK("https://www.tradingview.com/chart/?symbol="&amp;G235&amp;"&amp;interval=60&amp;from="&amp;(AG235-10*3600)&amp;"&amp;to="&amp;(AG235+50*3600),"📈 1H"),"")</f>
        <v/>
      </c>
      <c r="AF235" s="35" t="str">
        <f aca="false">IF(G235&lt;&gt;"",HYPERLINK("https://www.tradingview.com/chart/?symbol="&amp;G235&amp;"&amp;interval=240&amp;from="&amp;(AG235-10*14400)&amp;"&amp;to="&amp;(AG235+50*14400),"📈 4H"),"")</f>
        <v/>
      </c>
      <c r="AG235" s="36" t="str">
        <f aca="false">IF(C235&lt;&gt;"",INT((C235+IF(D235&lt;&gt;"",D235,0)-DATE(1970,1,1))*86400),"")</f>
        <v/>
      </c>
    </row>
    <row r="236" customFormat="false" ht="19.5" hidden="false" customHeight="true" outlineLevel="0" collapsed="false">
      <c r="A236" s="37" t="n">
        <f aca="false">ROW()-4</f>
        <v>232</v>
      </c>
      <c r="B236" s="38"/>
      <c r="C236" s="39"/>
      <c r="D236" s="40"/>
      <c r="E236" s="39"/>
      <c r="F236" s="40"/>
      <c r="G236" s="41"/>
      <c r="H236" s="42"/>
      <c r="I236" s="43"/>
      <c r="J236" s="44"/>
      <c r="K236" s="39"/>
      <c r="L236" s="42"/>
      <c r="M236" s="44"/>
      <c r="N236" s="45"/>
      <c r="O236" s="44"/>
      <c r="P236" s="46"/>
      <c r="Q236" s="47" t="str">
        <f aca="false">IF(L236="","",IF(M236&lt;&gt;"",M236*L236*100,IF(AND(O236&lt;&gt;"",B236&lt;&gt;""),IFERROR(AVERAGEIF($B$5:$B$1004,B236,$M$5:$M$1004)*L236*100,""),"")))</f>
        <v/>
      </c>
      <c r="R236" s="47" t="str">
        <f aca="false">IF(AND(O236&lt;&gt;"",L236&lt;&gt;""),O236*L236*100,"")</f>
        <v/>
      </c>
      <c r="S236" s="48" t="str">
        <f aca="false">IF(AND(P236&lt;&gt;"",L236&lt;&gt;""),P236*L236*100,"")</f>
        <v/>
      </c>
      <c r="T236" s="49" t="str">
        <f aca="false">IF(AND(Q236&lt;&gt;"",R236&lt;&gt;""),R236-Q236,"")</f>
        <v/>
      </c>
      <c r="U236" s="50" t="str">
        <f aca="false">IF(AND(Q236&lt;&gt;"",Q236&lt;&gt;0,T236&lt;&gt;""),T236/Q236,"")</f>
        <v/>
      </c>
      <c r="V236" s="51" t="str">
        <f aca="false">IF(AND(S236&lt;&gt;"",Q236&lt;&gt;""),S236-Q236,"")</f>
        <v/>
      </c>
      <c r="W236" s="52" t="str">
        <f aca="false">IF(AND(Q236&lt;&gt;"",Q236&lt;&gt;0,V236&lt;&gt;""),V236/Q236,"")</f>
        <v/>
      </c>
      <c r="X236" s="53" t="s">
        <v>37</v>
      </c>
      <c r="Y236" s="54" t="str">
        <f aca="false">IF(AND(O236&lt;&gt;"",M236&lt;&gt;"",O236&gt;M236),CONCATENATE("1 : ",TEXT((O236-M236)/M236,"0.00")),IF(AND(O236&lt;&gt;"",M236&lt;&gt;"",O236&lt;M236),CONCATENATE("-1 : ",TEXT((M236-O236)/M236,"0.00")),"—"))</f>
        <v>—</v>
      </c>
      <c r="Z236" s="55" t="str">
        <f aca="false">IF(AND(P236&lt;&gt;"",M236&lt;&gt;"",P236&gt;M236),CONCATENATE("1 : ",TEXT((P236-M236)/M236,"0.00")),"—")</f>
        <v>—</v>
      </c>
      <c r="AA236" s="56" t="str">
        <f aca="false">IF(AND(C236&lt;&gt;"",E236&lt;&gt;""),E236-C236,"")</f>
        <v/>
      </c>
      <c r="AB236" s="42"/>
      <c r="AC236" s="57"/>
      <c r="AD236" s="58"/>
      <c r="AE236" s="59" t="str">
        <f aca="false">IF(G236&lt;&gt;"",HYPERLINK("https://www.tradingview.com/chart/?symbol="&amp;G236&amp;"&amp;interval=60&amp;from="&amp;(AG236-10*3600)&amp;"&amp;to="&amp;(AG236+50*3600),"📈 1H"),"")</f>
        <v/>
      </c>
      <c r="AF236" s="60" t="str">
        <f aca="false">IF(G236&lt;&gt;"",HYPERLINK("https://www.tradingview.com/chart/?symbol="&amp;G236&amp;"&amp;interval=240&amp;from="&amp;(AG236-10*14400)&amp;"&amp;to="&amp;(AG236+50*14400),"📈 4H"),"")</f>
        <v/>
      </c>
      <c r="AG236" s="36" t="str">
        <f aca="false">IF(C236&lt;&gt;"",INT((C236+IF(D236&lt;&gt;"",D236,0)-DATE(1970,1,1))*86400),"")</f>
        <v/>
      </c>
    </row>
    <row r="237" customFormat="false" ht="19.5" hidden="false" customHeight="true" outlineLevel="0" collapsed="false">
      <c r="A237" s="12" t="n">
        <f aca="false">ROW()-4</f>
        <v>233</v>
      </c>
      <c r="B237" s="13"/>
      <c r="C237" s="14"/>
      <c r="D237" s="15"/>
      <c r="E237" s="14"/>
      <c r="F237" s="15"/>
      <c r="G237" s="16"/>
      <c r="H237" s="17"/>
      <c r="I237" s="18"/>
      <c r="J237" s="19"/>
      <c r="K237" s="14"/>
      <c r="L237" s="17"/>
      <c r="M237" s="19"/>
      <c r="N237" s="20"/>
      <c r="O237" s="19"/>
      <c r="P237" s="21"/>
      <c r="Q237" s="22" t="str">
        <f aca="false">IF(L237="","",IF(M237&lt;&gt;"",M237*L237*100,IF(AND(O237&lt;&gt;"",B237&lt;&gt;""),IFERROR(AVERAGEIF($B$5:$B$1004,B237,$M$5:$M$1004)*L237*100,""),"")))</f>
        <v/>
      </c>
      <c r="R237" s="22" t="str">
        <f aca="false">IF(AND(O237&lt;&gt;"",L237&lt;&gt;""),O237*L237*100,"")</f>
        <v/>
      </c>
      <c r="S237" s="23" t="str">
        <f aca="false">IF(AND(P237&lt;&gt;"",L237&lt;&gt;""),P237*L237*100,"")</f>
        <v/>
      </c>
      <c r="T237" s="24" t="str">
        <f aca="false">IF(AND(Q237&lt;&gt;"",R237&lt;&gt;""),R237-Q237,"")</f>
        <v/>
      </c>
      <c r="U237" s="25" t="str">
        <f aca="false">IF(AND(Q237&lt;&gt;"",Q237&lt;&gt;0,T237&lt;&gt;""),T237/Q237,"")</f>
        <v/>
      </c>
      <c r="V237" s="26" t="str">
        <f aca="false">IF(AND(S237&lt;&gt;"",Q237&lt;&gt;""),S237-Q237,"")</f>
        <v/>
      </c>
      <c r="W237" s="27" t="str">
        <f aca="false">IF(AND(Q237&lt;&gt;"",Q237&lt;&gt;0,V237&lt;&gt;""),V237/Q237,"")</f>
        <v/>
      </c>
      <c r="X237" s="28" t="s">
        <v>37</v>
      </c>
      <c r="Y237" s="29" t="str">
        <f aca="false">IF(AND(O237&lt;&gt;"",M237&lt;&gt;"",O237&gt;M237),CONCATENATE("1 : ",TEXT((O237-M237)/M237,"0.00")),IF(AND(O237&lt;&gt;"",M237&lt;&gt;"",O237&lt;M237),CONCATENATE("-1 : ",TEXT((M237-O237)/M237,"0.00")),"—"))</f>
        <v>—</v>
      </c>
      <c r="Z237" s="30" t="str">
        <f aca="false">IF(AND(P237&lt;&gt;"",M237&lt;&gt;"",P237&gt;M237),CONCATENATE("1 : ",TEXT((P237-M237)/M237,"0.00")),"—")</f>
        <v>—</v>
      </c>
      <c r="AA237" s="31" t="str">
        <f aca="false">IF(AND(C237&lt;&gt;"",E237&lt;&gt;""),E237-C237,"")</f>
        <v/>
      </c>
      <c r="AB237" s="17"/>
      <c r="AC237" s="32"/>
      <c r="AD237" s="33"/>
      <c r="AE237" s="34" t="str">
        <f aca="false">IF(G237&lt;&gt;"",HYPERLINK("https://www.tradingview.com/chart/?symbol="&amp;G237&amp;"&amp;interval=60&amp;from="&amp;(AG237-10*3600)&amp;"&amp;to="&amp;(AG237+50*3600),"📈 1H"),"")</f>
        <v/>
      </c>
      <c r="AF237" s="35" t="str">
        <f aca="false">IF(G237&lt;&gt;"",HYPERLINK("https://www.tradingview.com/chart/?symbol="&amp;G237&amp;"&amp;interval=240&amp;from="&amp;(AG237-10*14400)&amp;"&amp;to="&amp;(AG237+50*14400),"📈 4H"),"")</f>
        <v/>
      </c>
      <c r="AG237" s="36" t="str">
        <f aca="false">IF(C237&lt;&gt;"",INT((C237+IF(D237&lt;&gt;"",D237,0)-DATE(1970,1,1))*86400),"")</f>
        <v/>
      </c>
    </row>
    <row r="238" customFormat="false" ht="19.5" hidden="false" customHeight="true" outlineLevel="0" collapsed="false">
      <c r="A238" s="37" t="n">
        <f aca="false">ROW()-4</f>
        <v>234</v>
      </c>
      <c r="B238" s="38"/>
      <c r="C238" s="39"/>
      <c r="D238" s="40"/>
      <c r="E238" s="39"/>
      <c r="F238" s="40"/>
      <c r="G238" s="41"/>
      <c r="H238" s="42"/>
      <c r="I238" s="43"/>
      <c r="J238" s="44"/>
      <c r="K238" s="39"/>
      <c r="L238" s="42"/>
      <c r="M238" s="44"/>
      <c r="N238" s="45"/>
      <c r="O238" s="44"/>
      <c r="P238" s="46"/>
      <c r="Q238" s="47" t="str">
        <f aca="false">IF(L238="","",IF(M238&lt;&gt;"",M238*L238*100,IF(AND(O238&lt;&gt;"",B238&lt;&gt;""),IFERROR(AVERAGEIF($B$5:$B$1004,B238,$M$5:$M$1004)*L238*100,""),"")))</f>
        <v/>
      </c>
      <c r="R238" s="47" t="str">
        <f aca="false">IF(AND(O238&lt;&gt;"",L238&lt;&gt;""),O238*L238*100,"")</f>
        <v/>
      </c>
      <c r="S238" s="48" t="str">
        <f aca="false">IF(AND(P238&lt;&gt;"",L238&lt;&gt;""),P238*L238*100,"")</f>
        <v/>
      </c>
      <c r="T238" s="49" t="str">
        <f aca="false">IF(AND(Q238&lt;&gt;"",R238&lt;&gt;""),R238-Q238,"")</f>
        <v/>
      </c>
      <c r="U238" s="50" t="str">
        <f aca="false">IF(AND(Q238&lt;&gt;"",Q238&lt;&gt;0,T238&lt;&gt;""),T238/Q238,"")</f>
        <v/>
      </c>
      <c r="V238" s="51" t="str">
        <f aca="false">IF(AND(S238&lt;&gt;"",Q238&lt;&gt;""),S238-Q238,"")</f>
        <v/>
      </c>
      <c r="W238" s="52" t="str">
        <f aca="false">IF(AND(Q238&lt;&gt;"",Q238&lt;&gt;0,V238&lt;&gt;""),V238/Q238,"")</f>
        <v/>
      </c>
      <c r="X238" s="53" t="s">
        <v>37</v>
      </c>
      <c r="Y238" s="54" t="str">
        <f aca="false">IF(AND(O238&lt;&gt;"",M238&lt;&gt;"",O238&gt;M238),CONCATENATE("1 : ",TEXT((O238-M238)/M238,"0.00")),IF(AND(O238&lt;&gt;"",M238&lt;&gt;"",O238&lt;M238),CONCATENATE("-1 : ",TEXT((M238-O238)/M238,"0.00")),"—"))</f>
        <v>—</v>
      </c>
      <c r="Z238" s="55" t="str">
        <f aca="false">IF(AND(P238&lt;&gt;"",M238&lt;&gt;"",P238&gt;M238),CONCATENATE("1 : ",TEXT((P238-M238)/M238,"0.00")),"—")</f>
        <v>—</v>
      </c>
      <c r="AA238" s="56" t="str">
        <f aca="false">IF(AND(C238&lt;&gt;"",E238&lt;&gt;""),E238-C238,"")</f>
        <v/>
      </c>
      <c r="AB238" s="42"/>
      <c r="AC238" s="57"/>
      <c r="AD238" s="58"/>
      <c r="AE238" s="59" t="str">
        <f aca="false">IF(G238&lt;&gt;"",HYPERLINK("https://www.tradingview.com/chart/?symbol="&amp;G238&amp;"&amp;interval=60&amp;from="&amp;(AG238-10*3600)&amp;"&amp;to="&amp;(AG238+50*3600),"📈 1H"),"")</f>
        <v/>
      </c>
      <c r="AF238" s="60" t="str">
        <f aca="false">IF(G238&lt;&gt;"",HYPERLINK("https://www.tradingview.com/chart/?symbol="&amp;G238&amp;"&amp;interval=240&amp;from="&amp;(AG238-10*14400)&amp;"&amp;to="&amp;(AG238+50*14400),"📈 4H"),"")</f>
        <v/>
      </c>
      <c r="AG238" s="36" t="str">
        <f aca="false">IF(C238&lt;&gt;"",INT((C238+IF(D238&lt;&gt;"",D238,0)-DATE(1970,1,1))*86400),"")</f>
        <v/>
      </c>
    </row>
    <row r="239" customFormat="false" ht="19.5" hidden="false" customHeight="true" outlineLevel="0" collapsed="false">
      <c r="A239" s="12" t="n">
        <f aca="false">ROW()-4</f>
        <v>235</v>
      </c>
      <c r="B239" s="13"/>
      <c r="C239" s="14"/>
      <c r="D239" s="15"/>
      <c r="E239" s="14"/>
      <c r="F239" s="15"/>
      <c r="G239" s="16"/>
      <c r="H239" s="17"/>
      <c r="I239" s="18"/>
      <c r="J239" s="19"/>
      <c r="K239" s="14"/>
      <c r="L239" s="17"/>
      <c r="M239" s="19"/>
      <c r="N239" s="20"/>
      <c r="O239" s="19"/>
      <c r="P239" s="21"/>
      <c r="Q239" s="22" t="str">
        <f aca="false">IF(L239="","",IF(M239&lt;&gt;"",M239*L239*100,IF(AND(O239&lt;&gt;"",B239&lt;&gt;""),IFERROR(AVERAGEIF($B$5:$B$1004,B239,$M$5:$M$1004)*L239*100,""),"")))</f>
        <v/>
      </c>
      <c r="R239" s="22" t="str">
        <f aca="false">IF(AND(O239&lt;&gt;"",L239&lt;&gt;""),O239*L239*100,"")</f>
        <v/>
      </c>
      <c r="S239" s="23" t="str">
        <f aca="false">IF(AND(P239&lt;&gt;"",L239&lt;&gt;""),P239*L239*100,"")</f>
        <v/>
      </c>
      <c r="T239" s="24" t="str">
        <f aca="false">IF(AND(Q239&lt;&gt;"",R239&lt;&gt;""),R239-Q239,"")</f>
        <v/>
      </c>
      <c r="U239" s="25" t="str">
        <f aca="false">IF(AND(Q239&lt;&gt;"",Q239&lt;&gt;0,T239&lt;&gt;""),T239/Q239,"")</f>
        <v/>
      </c>
      <c r="V239" s="26" t="str">
        <f aca="false">IF(AND(S239&lt;&gt;"",Q239&lt;&gt;""),S239-Q239,"")</f>
        <v/>
      </c>
      <c r="W239" s="27" t="str">
        <f aca="false">IF(AND(Q239&lt;&gt;"",Q239&lt;&gt;0,V239&lt;&gt;""),V239/Q239,"")</f>
        <v/>
      </c>
      <c r="X239" s="28" t="s">
        <v>37</v>
      </c>
      <c r="Y239" s="29" t="str">
        <f aca="false">IF(AND(O239&lt;&gt;"",M239&lt;&gt;"",O239&gt;M239),CONCATENATE("1 : ",TEXT((O239-M239)/M239,"0.00")),IF(AND(O239&lt;&gt;"",M239&lt;&gt;"",O239&lt;M239),CONCATENATE("-1 : ",TEXT((M239-O239)/M239,"0.00")),"—"))</f>
        <v>—</v>
      </c>
      <c r="Z239" s="30" t="str">
        <f aca="false">IF(AND(P239&lt;&gt;"",M239&lt;&gt;"",P239&gt;M239),CONCATENATE("1 : ",TEXT((P239-M239)/M239,"0.00")),"—")</f>
        <v>—</v>
      </c>
      <c r="AA239" s="31" t="str">
        <f aca="false">IF(AND(C239&lt;&gt;"",E239&lt;&gt;""),E239-C239,"")</f>
        <v/>
      </c>
      <c r="AB239" s="17"/>
      <c r="AC239" s="32"/>
      <c r="AD239" s="33"/>
      <c r="AE239" s="34" t="str">
        <f aca="false">IF(G239&lt;&gt;"",HYPERLINK("https://www.tradingview.com/chart/?symbol="&amp;G239&amp;"&amp;interval=60&amp;from="&amp;(AG239-10*3600)&amp;"&amp;to="&amp;(AG239+50*3600),"📈 1H"),"")</f>
        <v/>
      </c>
      <c r="AF239" s="35" t="str">
        <f aca="false">IF(G239&lt;&gt;"",HYPERLINK("https://www.tradingview.com/chart/?symbol="&amp;G239&amp;"&amp;interval=240&amp;from="&amp;(AG239-10*14400)&amp;"&amp;to="&amp;(AG239+50*14400),"📈 4H"),"")</f>
        <v/>
      </c>
      <c r="AG239" s="36" t="str">
        <f aca="false">IF(C239&lt;&gt;"",INT((C239+IF(D239&lt;&gt;"",D239,0)-DATE(1970,1,1))*86400),"")</f>
        <v/>
      </c>
    </row>
    <row r="240" customFormat="false" ht="19.5" hidden="false" customHeight="true" outlineLevel="0" collapsed="false">
      <c r="A240" s="37" t="n">
        <f aca="false">ROW()-4</f>
        <v>236</v>
      </c>
      <c r="B240" s="38"/>
      <c r="C240" s="39"/>
      <c r="D240" s="40"/>
      <c r="E240" s="39"/>
      <c r="F240" s="40"/>
      <c r="G240" s="41"/>
      <c r="H240" s="42"/>
      <c r="I240" s="43"/>
      <c r="J240" s="44"/>
      <c r="K240" s="39"/>
      <c r="L240" s="42"/>
      <c r="M240" s="44"/>
      <c r="N240" s="45"/>
      <c r="O240" s="44"/>
      <c r="P240" s="46"/>
      <c r="Q240" s="47" t="str">
        <f aca="false">IF(L240="","",IF(M240&lt;&gt;"",M240*L240*100,IF(AND(O240&lt;&gt;"",B240&lt;&gt;""),IFERROR(AVERAGEIF($B$5:$B$1004,B240,$M$5:$M$1004)*L240*100,""),"")))</f>
        <v/>
      </c>
      <c r="R240" s="47" t="str">
        <f aca="false">IF(AND(O240&lt;&gt;"",L240&lt;&gt;""),O240*L240*100,"")</f>
        <v/>
      </c>
      <c r="S240" s="48" t="str">
        <f aca="false">IF(AND(P240&lt;&gt;"",L240&lt;&gt;""),P240*L240*100,"")</f>
        <v/>
      </c>
      <c r="T240" s="49" t="str">
        <f aca="false">IF(AND(Q240&lt;&gt;"",R240&lt;&gt;""),R240-Q240,"")</f>
        <v/>
      </c>
      <c r="U240" s="50" t="str">
        <f aca="false">IF(AND(Q240&lt;&gt;"",Q240&lt;&gt;0,T240&lt;&gt;""),T240/Q240,"")</f>
        <v/>
      </c>
      <c r="V240" s="51" t="str">
        <f aca="false">IF(AND(S240&lt;&gt;"",Q240&lt;&gt;""),S240-Q240,"")</f>
        <v/>
      </c>
      <c r="W240" s="52" t="str">
        <f aca="false">IF(AND(Q240&lt;&gt;"",Q240&lt;&gt;0,V240&lt;&gt;""),V240/Q240,"")</f>
        <v/>
      </c>
      <c r="X240" s="53" t="s">
        <v>37</v>
      </c>
      <c r="Y240" s="54" t="str">
        <f aca="false">IF(AND(O240&lt;&gt;"",M240&lt;&gt;"",O240&gt;M240),CONCATENATE("1 : ",TEXT((O240-M240)/M240,"0.00")),IF(AND(O240&lt;&gt;"",M240&lt;&gt;"",O240&lt;M240),CONCATENATE("-1 : ",TEXT((M240-O240)/M240,"0.00")),"—"))</f>
        <v>—</v>
      </c>
      <c r="Z240" s="55" t="str">
        <f aca="false">IF(AND(P240&lt;&gt;"",M240&lt;&gt;"",P240&gt;M240),CONCATENATE("1 : ",TEXT((P240-M240)/M240,"0.00")),"—")</f>
        <v>—</v>
      </c>
      <c r="AA240" s="56" t="str">
        <f aca="false">IF(AND(C240&lt;&gt;"",E240&lt;&gt;""),E240-C240,"")</f>
        <v/>
      </c>
      <c r="AB240" s="42"/>
      <c r="AC240" s="57"/>
      <c r="AD240" s="58"/>
      <c r="AE240" s="59" t="str">
        <f aca="false">IF(G240&lt;&gt;"",HYPERLINK("https://www.tradingview.com/chart/?symbol="&amp;G240&amp;"&amp;interval=60&amp;from="&amp;(AG240-10*3600)&amp;"&amp;to="&amp;(AG240+50*3600),"📈 1H"),"")</f>
        <v/>
      </c>
      <c r="AF240" s="60" t="str">
        <f aca="false">IF(G240&lt;&gt;"",HYPERLINK("https://www.tradingview.com/chart/?symbol="&amp;G240&amp;"&amp;interval=240&amp;from="&amp;(AG240-10*14400)&amp;"&amp;to="&amp;(AG240+50*14400),"📈 4H"),"")</f>
        <v/>
      </c>
      <c r="AG240" s="36" t="str">
        <f aca="false">IF(C240&lt;&gt;"",INT((C240+IF(D240&lt;&gt;"",D240,0)-DATE(1970,1,1))*86400),"")</f>
        <v/>
      </c>
    </row>
    <row r="241" customFormat="false" ht="19.5" hidden="false" customHeight="true" outlineLevel="0" collapsed="false">
      <c r="A241" s="12" t="n">
        <f aca="false">ROW()-4</f>
        <v>237</v>
      </c>
      <c r="B241" s="13"/>
      <c r="C241" s="14"/>
      <c r="D241" s="15"/>
      <c r="E241" s="14"/>
      <c r="F241" s="15"/>
      <c r="G241" s="16"/>
      <c r="H241" s="17"/>
      <c r="I241" s="18"/>
      <c r="J241" s="19"/>
      <c r="K241" s="14"/>
      <c r="L241" s="17"/>
      <c r="M241" s="19"/>
      <c r="N241" s="20"/>
      <c r="O241" s="19"/>
      <c r="P241" s="21"/>
      <c r="Q241" s="22" t="str">
        <f aca="false">IF(L241="","",IF(M241&lt;&gt;"",M241*L241*100,IF(AND(O241&lt;&gt;"",B241&lt;&gt;""),IFERROR(AVERAGEIF($B$5:$B$1004,B241,$M$5:$M$1004)*L241*100,""),"")))</f>
        <v/>
      </c>
      <c r="R241" s="22" t="str">
        <f aca="false">IF(AND(O241&lt;&gt;"",L241&lt;&gt;""),O241*L241*100,"")</f>
        <v/>
      </c>
      <c r="S241" s="23" t="str">
        <f aca="false">IF(AND(P241&lt;&gt;"",L241&lt;&gt;""),P241*L241*100,"")</f>
        <v/>
      </c>
      <c r="T241" s="24" t="str">
        <f aca="false">IF(AND(Q241&lt;&gt;"",R241&lt;&gt;""),R241-Q241,"")</f>
        <v/>
      </c>
      <c r="U241" s="25" t="str">
        <f aca="false">IF(AND(Q241&lt;&gt;"",Q241&lt;&gt;0,T241&lt;&gt;""),T241/Q241,"")</f>
        <v/>
      </c>
      <c r="V241" s="26" t="str">
        <f aca="false">IF(AND(S241&lt;&gt;"",Q241&lt;&gt;""),S241-Q241,"")</f>
        <v/>
      </c>
      <c r="W241" s="27" t="str">
        <f aca="false">IF(AND(Q241&lt;&gt;"",Q241&lt;&gt;0,V241&lt;&gt;""),V241/Q241,"")</f>
        <v/>
      </c>
      <c r="X241" s="28" t="s">
        <v>37</v>
      </c>
      <c r="Y241" s="29" t="str">
        <f aca="false">IF(AND(O241&lt;&gt;"",M241&lt;&gt;"",O241&gt;M241),CONCATENATE("1 : ",TEXT((O241-M241)/M241,"0.00")),IF(AND(O241&lt;&gt;"",M241&lt;&gt;"",O241&lt;M241),CONCATENATE("-1 : ",TEXT((M241-O241)/M241,"0.00")),"—"))</f>
        <v>—</v>
      </c>
      <c r="Z241" s="30" t="str">
        <f aca="false">IF(AND(P241&lt;&gt;"",M241&lt;&gt;"",P241&gt;M241),CONCATENATE("1 : ",TEXT((P241-M241)/M241,"0.00")),"—")</f>
        <v>—</v>
      </c>
      <c r="AA241" s="31" t="str">
        <f aca="false">IF(AND(C241&lt;&gt;"",E241&lt;&gt;""),E241-C241,"")</f>
        <v/>
      </c>
      <c r="AB241" s="17"/>
      <c r="AC241" s="32"/>
      <c r="AD241" s="33"/>
      <c r="AE241" s="34" t="str">
        <f aca="false">IF(G241&lt;&gt;"",HYPERLINK("https://www.tradingview.com/chart/?symbol="&amp;G241&amp;"&amp;interval=60&amp;from="&amp;(AG241-10*3600)&amp;"&amp;to="&amp;(AG241+50*3600),"📈 1H"),"")</f>
        <v/>
      </c>
      <c r="AF241" s="35" t="str">
        <f aca="false">IF(G241&lt;&gt;"",HYPERLINK("https://www.tradingview.com/chart/?symbol="&amp;G241&amp;"&amp;interval=240&amp;from="&amp;(AG241-10*14400)&amp;"&amp;to="&amp;(AG241+50*14400),"📈 4H"),"")</f>
        <v/>
      </c>
      <c r="AG241" s="36" t="str">
        <f aca="false">IF(C241&lt;&gt;"",INT((C241+IF(D241&lt;&gt;"",D241,0)-DATE(1970,1,1))*86400),"")</f>
        <v/>
      </c>
    </row>
    <row r="242" customFormat="false" ht="19.5" hidden="false" customHeight="true" outlineLevel="0" collapsed="false">
      <c r="A242" s="37" t="n">
        <f aca="false">ROW()-4</f>
        <v>238</v>
      </c>
      <c r="B242" s="38"/>
      <c r="C242" s="39"/>
      <c r="D242" s="40"/>
      <c r="E242" s="39"/>
      <c r="F242" s="40"/>
      <c r="G242" s="41"/>
      <c r="H242" s="42"/>
      <c r="I242" s="43"/>
      <c r="J242" s="44"/>
      <c r="K242" s="39"/>
      <c r="L242" s="42"/>
      <c r="M242" s="44"/>
      <c r="N242" s="45"/>
      <c r="O242" s="44"/>
      <c r="P242" s="46"/>
      <c r="Q242" s="47" t="str">
        <f aca="false">IF(L242="","",IF(M242&lt;&gt;"",M242*L242*100,IF(AND(O242&lt;&gt;"",B242&lt;&gt;""),IFERROR(AVERAGEIF($B$5:$B$1004,B242,$M$5:$M$1004)*L242*100,""),"")))</f>
        <v/>
      </c>
      <c r="R242" s="47" t="str">
        <f aca="false">IF(AND(O242&lt;&gt;"",L242&lt;&gt;""),O242*L242*100,"")</f>
        <v/>
      </c>
      <c r="S242" s="48" t="str">
        <f aca="false">IF(AND(P242&lt;&gt;"",L242&lt;&gt;""),P242*L242*100,"")</f>
        <v/>
      </c>
      <c r="T242" s="49" t="str">
        <f aca="false">IF(AND(Q242&lt;&gt;"",R242&lt;&gt;""),R242-Q242,"")</f>
        <v/>
      </c>
      <c r="U242" s="50" t="str">
        <f aca="false">IF(AND(Q242&lt;&gt;"",Q242&lt;&gt;0,T242&lt;&gt;""),T242/Q242,"")</f>
        <v/>
      </c>
      <c r="V242" s="51" t="str">
        <f aca="false">IF(AND(S242&lt;&gt;"",Q242&lt;&gt;""),S242-Q242,"")</f>
        <v/>
      </c>
      <c r="W242" s="52" t="str">
        <f aca="false">IF(AND(Q242&lt;&gt;"",Q242&lt;&gt;0,V242&lt;&gt;""),V242/Q242,"")</f>
        <v/>
      </c>
      <c r="X242" s="53" t="s">
        <v>37</v>
      </c>
      <c r="Y242" s="54" t="str">
        <f aca="false">IF(AND(O242&lt;&gt;"",M242&lt;&gt;"",O242&gt;M242),CONCATENATE("1 : ",TEXT((O242-M242)/M242,"0.00")),IF(AND(O242&lt;&gt;"",M242&lt;&gt;"",O242&lt;M242),CONCATENATE("-1 : ",TEXT((M242-O242)/M242,"0.00")),"—"))</f>
        <v>—</v>
      </c>
      <c r="Z242" s="55" t="str">
        <f aca="false">IF(AND(P242&lt;&gt;"",M242&lt;&gt;"",P242&gt;M242),CONCATENATE("1 : ",TEXT((P242-M242)/M242,"0.00")),"—")</f>
        <v>—</v>
      </c>
      <c r="AA242" s="56" t="str">
        <f aca="false">IF(AND(C242&lt;&gt;"",E242&lt;&gt;""),E242-C242,"")</f>
        <v/>
      </c>
      <c r="AB242" s="42"/>
      <c r="AC242" s="57"/>
      <c r="AD242" s="58"/>
      <c r="AE242" s="59" t="str">
        <f aca="false">IF(G242&lt;&gt;"",HYPERLINK("https://www.tradingview.com/chart/?symbol="&amp;G242&amp;"&amp;interval=60&amp;from="&amp;(AG242-10*3600)&amp;"&amp;to="&amp;(AG242+50*3600),"📈 1H"),"")</f>
        <v/>
      </c>
      <c r="AF242" s="60" t="str">
        <f aca="false">IF(G242&lt;&gt;"",HYPERLINK("https://www.tradingview.com/chart/?symbol="&amp;G242&amp;"&amp;interval=240&amp;from="&amp;(AG242-10*14400)&amp;"&amp;to="&amp;(AG242+50*14400),"📈 4H"),"")</f>
        <v/>
      </c>
      <c r="AG242" s="36" t="str">
        <f aca="false">IF(C242&lt;&gt;"",INT((C242+IF(D242&lt;&gt;"",D242,0)-DATE(1970,1,1))*86400),"")</f>
        <v/>
      </c>
    </row>
    <row r="243" customFormat="false" ht="19.5" hidden="false" customHeight="true" outlineLevel="0" collapsed="false">
      <c r="A243" s="12" t="n">
        <f aca="false">ROW()-4</f>
        <v>239</v>
      </c>
      <c r="B243" s="13"/>
      <c r="C243" s="14"/>
      <c r="D243" s="15"/>
      <c r="E243" s="14"/>
      <c r="F243" s="15"/>
      <c r="G243" s="16"/>
      <c r="H243" s="17"/>
      <c r="I243" s="18"/>
      <c r="J243" s="19"/>
      <c r="K243" s="14"/>
      <c r="L243" s="17"/>
      <c r="M243" s="19"/>
      <c r="N243" s="20"/>
      <c r="O243" s="19"/>
      <c r="P243" s="21"/>
      <c r="Q243" s="22" t="str">
        <f aca="false">IF(L243="","",IF(M243&lt;&gt;"",M243*L243*100,IF(AND(O243&lt;&gt;"",B243&lt;&gt;""),IFERROR(AVERAGEIF($B$5:$B$1004,B243,$M$5:$M$1004)*L243*100,""),"")))</f>
        <v/>
      </c>
      <c r="R243" s="22" t="str">
        <f aca="false">IF(AND(O243&lt;&gt;"",L243&lt;&gt;""),O243*L243*100,"")</f>
        <v/>
      </c>
      <c r="S243" s="23" t="str">
        <f aca="false">IF(AND(P243&lt;&gt;"",L243&lt;&gt;""),P243*L243*100,"")</f>
        <v/>
      </c>
      <c r="T243" s="24" t="str">
        <f aca="false">IF(AND(Q243&lt;&gt;"",R243&lt;&gt;""),R243-Q243,"")</f>
        <v/>
      </c>
      <c r="U243" s="25" t="str">
        <f aca="false">IF(AND(Q243&lt;&gt;"",Q243&lt;&gt;0,T243&lt;&gt;""),T243/Q243,"")</f>
        <v/>
      </c>
      <c r="V243" s="26" t="str">
        <f aca="false">IF(AND(S243&lt;&gt;"",Q243&lt;&gt;""),S243-Q243,"")</f>
        <v/>
      </c>
      <c r="W243" s="27" t="str">
        <f aca="false">IF(AND(Q243&lt;&gt;"",Q243&lt;&gt;0,V243&lt;&gt;""),V243/Q243,"")</f>
        <v/>
      </c>
      <c r="X243" s="28" t="s">
        <v>37</v>
      </c>
      <c r="Y243" s="29" t="str">
        <f aca="false">IF(AND(O243&lt;&gt;"",M243&lt;&gt;"",O243&gt;M243),CONCATENATE("1 : ",TEXT((O243-M243)/M243,"0.00")),IF(AND(O243&lt;&gt;"",M243&lt;&gt;"",O243&lt;M243),CONCATENATE("-1 : ",TEXT((M243-O243)/M243,"0.00")),"—"))</f>
        <v>—</v>
      </c>
      <c r="Z243" s="30" t="str">
        <f aca="false">IF(AND(P243&lt;&gt;"",M243&lt;&gt;"",P243&gt;M243),CONCATENATE("1 : ",TEXT((P243-M243)/M243,"0.00")),"—")</f>
        <v>—</v>
      </c>
      <c r="AA243" s="31" t="str">
        <f aca="false">IF(AND(C243&lt;&gt;"",E243&lt;&gt;""),E243-C243,"")</f>
        <v/>
      </c>
      <c r="AB243" s="17"/>
      <c r="AC243" s="32"/>
      <c r="AD243" s="33"/>
      <c r="AE243" s="34" t="str">
        <f aca="false">IF(G243&lt;&gt;"",HYPERLINK("https://www.tradingview.com/chart/?symbol="&amp;G243&amp;"&amp;interval=60&amp;from="&amp;(AG243-10*3600)&amp;"&amp;to="&amp;(AG243+50*3600),"📈 1H"),"")</f>
        <v/>
      </c>
      <c r="AF243" s="35" t="str">
        <f aca="false">IF(G243&lt;&gt;"",HYPERLINK("https://www.tradingview.com/chart/?symbol="&amp;G243&amp;"&amp;interval=240&amp;from="&amp;(AG243-10*14400)&amp;"&amp;to="&amp;(AG243+50*14400),"📈 4H"),"")</f>
        <v/>
      </c>
      <c r="AG243" s="36" t="str">
        <f aca="false">IF(C243&lt;&gt;"",INT((C243+IF(D243&lt;&gt;"",D243,0)-DATE(1970,1,1))*86400),"")</f>
        <v/>
      </c>
    </row>
    <row r="244" customFormat="false" ht="19.5" hidden="false" customHeight="true" outlineLevel="0" collapsed="false">
      <c r="A244" s="37" t="n">
        <f aca="false">ROW()-4</f>
        <v>240</v>
      </c>
      <c r="B244" s="38"/>
      <c r="C244" s="39"/>
      <c r="D244" s="40"/>
      <c r="E244" s="39"/>
      <c r="F244" s="40"/>
      <c r="G244" s="41"/>
      <c r="H244" s="42"/>
      <c r="I244" s="43"/>
      <c r="J244" s="44"/>
      <c r="K244" s="39"/>
      <c r="L244" s="42"/>
      <c r="M244" s="44"/>
      <c r="N244" s="45"/>
      <c r="O244" s="44"/>
      <c r="P244" s="46"/>
      <c r="Q244" s="47" t="str">
        <f aca="false">IF(L244="","",IF(M244&lt;&gt;"",M244*L244*100,IF(AND(O244&lt;&gt;"",B244&lt;&gt;""),IFERROR(AVERAGEIF($B$5:$B$1004,B244,$M$5:$M$1004)*L244*100,""),"")))</f>
        <v/>
      </c>
      <c r="R244" s="47" t="str">
        <f aca="false">IF(AND(O244&lt;&gt;"",L244&lt;&gt;""),O244*L244*100,"")</f>
        <v/>
      </c>
      <c r="S244" s="48" t="str">
        <f aca="false">IF(AND(P244&lt;&gt;"",L244&lt;&gt;""),P244*L244*100,"")</f>
        <v/>
      </c>
      <c r="T244" s="49" t="str">
        <f aca="false">IF(AND(Q244&lt;&gt;"",R244&lt;&gt;""),R244-Q244,"")</f>
        <v/>
      </c>
      <c r="U244" s="50" t="str">
        <f aca="false">IF(AND(Q244&lt;&gt;"",Q244&lt;&gt;0,T244&lt;&gt;""),T244/Q244,"")</f>
        <v/>
      </c>
      <c r="V244" s="51" t="str">
        <f aca="false">IF(AND(S244&lt;&gt;"",Q244&lt;&gt;""),S244-Q244,"")</f>
        <v/>
      </c>
      <c r="W244" s="52" t="str">
        <f aca="false">IF(AND(Q244&lt;&gt;"",Q244&lt;&gt;0,V244&lt;&gt;""),V244/Q244,"")</f>
        <v/>
      </c>
      <c r="X244" s="53" t="s">
        <v>37</v>
      </c>
      <c r="Y244" s="54" t="str">
        <f aca="false">IF(AND(O244&lt;&gt;"",M244&lt;&gt;"",O244&gt;M244),CONCATENATE("1 : ",TEXT((O244-M244)/M244,"0.00")),IF(AND(O244&lt;&gt;"",M244&lt;&gt;"",O244&lt;M244),CONCATENATE("-1 : ",TEXT((M244-O244)/M244,"0.00")),"—"))</f>
        <v>—</v>
      </c>
      <c r="Z244" s="55" t="str">
        <f aca="false">IF(AND(P244&lt;&gt;"",M244&lt;&gt;"",P244&gt;M244),CONCATENATE("1 : ",TEXT((P244-M244)/M244,"0.00")),"—")</f>
        <v>—</v>
      </c>
      <c r="AA244" s="56" t="str">
        <f aca="false">IF(AND(C244&lt;&gt;"",E244&lt;&gt;""),E244-C244,"")</f>
        <v/>
      </c>
      <c r="AB244" s="42"/>
      <c r="AC244" s="57"/>
      <c r="AD244" s="58"/>
      <c r="AE244" s="59" t="str">
        <f aca="false">IF(G244&lt;&gt;"",HYPERLINK("https://www.tradingview.com/chart/?symbol="&amp;G244&amp;"&amp;interval=60&amp;from="&amp;(AG244-10*3600)&amp;"&amp;to="&amp;(AG244+50*3600),"📈 1H"),"")</f>
        <v/>
      </c>
      <c r="AF244" s="60" t="str">
        <f aca="false">IF(G244&lt;&gt;"",HYPERLINK("https://www.tradingview.com/chart/?symbol="&amp;G244&amp;"&amp;interval=240&amp;from="&amp;(AG244-10*14400)&amp;"&amp;to="&amp;(AG244+50*14400),"📈 4H"),"")</f>
        <v/>
      </c>
      <c r="AG244" s="36" t="str">
        <f aca="false">IF(C244&lt;&gt;"",INT((C244+IF(D244&lt;&gt;"",D244,0)-DATE(1970,1,1))*86400),"")</f>
        <v/>
      </c>
    </row>
    <row r="245" customFormat="false" ht="19.5" hidden="false" customHeight="true" outlineLevel="0" collapsed="false">
      <c r="A245" s="12" t="n">
        <f aca="false">ROW()-4</f>
        <v>241</v>
      </c>
      <c r="B245" s="13"/>
      <c r="C245" s="14"/>
      <c r="D245" s="15"/>
      <c r="E245" s="14"/>
      <c r="F245" s="15"/>
      <c r="G245" s="16"/>
      <c r="H245" s="17"/>
      <c r="I245" s="18"/>
      <c r="J245" s="19"/>
      <c r="K245" s="14"/>
      <c r="L245" s="17"/>
      <c r="M245" s="19"/>
      <c r="N245" s="20"/>
      <c r="O245" s="19"/>
      <c r="P245" s="21"/>
      <c r="Q245" s="22" t="str">
        <f aca="false">IF(L245="","",IF(M245&lt;&gt;"",M245*L245*100,IF(AND(O245&lt;&gt;"",B245&lt;&gt;""),IFERROR(AVERAGEIF($B$5:$B$1004,B245,$M$5:$M$1004)*L245*100,""),"")))</f>
        <v/>
      </c>
      <c r="R245" s="22" t="str">
        <f aca="false">IF(AND(O245&lt;&gt;"",L245&lt;&gt;""),O245*L245*100,"")</f>
        <v/>
      </c>
      <c r="S245" s="23" t="str">
        <f aca="false">IF(AND(P245&lt;&gt;"",L245&lt;&gt;""),P245*L245*100,"")</f>
        <v/>
      </c>
      <c r="T245" s="24" t="str">
        <f aca="false">IF(AND(Q245&lt;&gt;"",R245&lt;&gt;""),R245-Q245,"")</f>
        <v/>
      </c>
      <c r="U245" s="25" t="str">
        <f aca="false">IF(AND(Q245&lt;&gt;"",Q245&lt;&gt;0,T245&lt;&gt;""),T245/Q245,"")</f>
        <v/>
      </c>
      <c r="V245" s="26" t="str">
        <f aca="false">IF(AND(S245&lt;&gt;"",Q245&lt;&gt;""),S245-Q245,"")</f>
        <v/>
      </c>
      <c r="W245" s="27" t="str">
        <f aca="false">IF(AND(Q245&lt;&gt;"",Q245&lt;&gt;0,V245&lt;&gt;""),V245/Q245,"")</f>
        <v/>
      </c>
      <c r="X245" s="28" t="s">
        <v>37</v>
      </c>
      <c r="Y245" s="29" t="str">
        <f aca="false">IF(AND(O245&lt;&gt;"",M245&lt;&gt;"",O245&gt;M245),CONCATENATE("1 : ",TEXT((O245-M245)/M245,"0.00")),IF(AND(O245&lt;&gt;"",M245&lt;&gt;"",O245&lt;M245),CONCATENATE("-1 : ",TEXT((M245-O245)/M245,"0.00")),"—"))</f>
        <v>—</v>
      </c>
      <c r="Z245" s="30" t="str">
        <f aca="false">IF(AND(P245&lt;&gt;"",M245&lt;&gt;"",P245&gt;M245),CONCATENATE("1 : ",TEXT((P245-M245)/M245,"0.00")),"—")</f>
        <v>—</v>
      </c>
      <c r="AA245" s="31" t="str">
        <f aca="false">IF(AND(C245&lt;&gt;"",E245&lt;&gt;""),E245-C245,"")</f>
        <v/>
      </c>
      <c r="AB245" s="17"/>
      <c r="AC245" s="32"/>
      <c r="AD245" s="33"/>
      <c r="AE245" s="34" t="str">
        <f aca="false">IF(G245&lt;&gt;"",HYPERLINK("https://www.tradingview.com/chart/?symbol="&amp;G245&amp;"&amp;interval=60&amp;from="&amp;(AG245-10*3600)&amp;"&amp;to="&amp;(AG245+50*3600),"📈 1H"),"")</f>
        <v/>
      </c>
      <c r="AF245" s="35" t="str">
        <f aca="false">IF(G245&lt;&gt;"",HYPERLINK("https://www.tradingview.com/chart/?symbol="&amp;G245&amp;"&amp;interval=240&amp;from="&amp;(AG245-10*14400)&amp;"&amp;to="&amp;(AG245+50*14400),"📈 4H"),"")</f>
        <v/>
      </c>
      <c r="AG245" s="36" t="str">
        <f aca="false">IF(C245&lt;&gt;"",INT((C245+IF(D245&lt;&gt;"",D245,0)-DATE(1970,1,1))*86400),"")</f>
        <v/>
      </c>
    </row>
    <row r="246" customFormat="false" ht="19.5" hidden="false" customHeight="true" outlineLevel="0" collapsed="false">
      <c r="A246" s="37" t="n">
        <f aca="false">ROW()-4</f>
        <v>242</v>
      </c>
      <c r="B246" s="38"/>
      <c r="C246" s="39"/>
      <c r="D246" s="40"/>
      <c r="E246" s="39"/>
      <c r="F246" s="40"/>
      <c r="G246" s="41"/>
      <c r="H246" s="42"/>
      <c r="I246" s="43"/>
      <c r="J246" s="44"/>
      <c r="K246" s="39"/>
      <c r="L246" s="42"/>
      <c r="M246" s="44"/>
      <c r="N246" s="45"/>
      <c r="O246" s="44"/>
      <c r="P246" s="46"/>
      <c r="Q246" s="47" t="str">
        <f aca="false">IF(L246="","",IF(M246&lt;&gt;"",M246*L246*100,IF(AND(O246&lt;&gt;"",B246&lt;&gt;""),IFERROR(AVERAGEIF($B$5:$B$1004,B246,$M$5:$M$1004)*L246*100,""),"")))</f>
        <v/>
      </c>
      <c r="R246" s="47" t="str">
        <f aca="false">IF(AND(O246&lt;&gt;"",L246&lt;&gt;""),O246*L246*100,"")</f>
        <v/>
      </c>
      <c r="S246" s="48" t="str">
        <f aca="false">IF(AND(P246&lt;&gt;"",L246&lt;&gt;""),P246*L246*100,"")</f>
        <v/>
      </c>
      <c r="T246" s="49" t="str">
        <f aca="false">IF(AND(Q246&lt;&gt;"",R246&lt;&gt;""),R246-Q246,"")</f>
        <v/>
      </c>
      <c r="U246" s="50" t="str">
        <f aca="false">IF(AND(Q246&lt;&gt;"",Q246&lt;&gt;0,T246&lt;&gt;""),T246/Q246,"")</f>
        <v/>
      </c>
      <c r="V246" s="51" t="str">
        <f aca="false">IF(AND(S246&lt;&gt;"",Q246&lt;&gt;""),S246-Q246,"")</f>
        <v/>
      </c>
      <c r="W246" s="52" t="str">
        <f aca="false">IF(AND(Q246&lt;&gt;"",Q246&lt;&gt;0,V246&lt;&gt;""),V246/Q246,"")</f>
        <v/>
      </c>
      <c r="X246" s="53" t="s">
        <v>37</v>
      </c>
      <c r="Y246" s="54" t="str">
        <f aca="false">IF(AND(O246&lt;&gt;"",M246&lt;&gt;"",O246&gt;M246),CONCATENATE("1 : ",TEXT((O246-M246)/M246,"0.00")),IF(AND(O246&lt;&gt;"",M246&lt;&gt;"",O246&lt;M246),CONCATENATE("-1 : ",TEXT((M246-O246)/M246,"0.00")),"—"))</f>
        <v>—</v>
      </c>
      <c r="Z246" s="55" t="str">
        <f aca="false">IF(AND(P246&lt;&gt;"",M246&lt;&gt;"",P246&gt;M246),CONCATENATE("1 : ",TEXT((P246-M246)/M246,"0.00")),"—")</f>
        <v>—</v>
      </c>
      <c r="AA246" s="56" t="str">
        <f aca="false">IF(AND(C246&lt;&gt;"",E246&lt;&gt;""),E246-C246,"")</f>
        <v/>
      </c>
      <c r="AB246" s="42"/>
      <c r="AC246" s="57"/>
      <c r="AD246" s="58"/>
      <c r="AE246" s="59" t="str">
        <f aca="false">IF(G246&lt;&gt;"",HYPERLINK("https://www.tradingview.com/chart/?symbol="&amp;G246&amp;"&amp;interval=60&amp;from="&amp;(AG246-10*3600)&amp;"&amp;to="&amp;(AG246+50*3600),"📈 1H"),"")</f>
        <v/>
      </c>
      <c r="AF246" s="60" t="str">
        <f aca="false">IF(G246&lt;&gt;"",HYPERLINK("https://www.tradingview.com/chart/?symbol="&amp;G246&amp;"&amp;interval=240&amp;from="&amp;(AG246-10*14400)&amp;"&amp;to="&amp;(AG246+50*14400),"📈 4H"),"")</f>
        <v/>
      </c>
      <c r="AG246" s="36" t="str">
        <f aca="false">IF(C246&lt;&gt;"",INT((C246+IF(D246&lt;&gt;"",D246,0)-DATE(1970,1,1))*86400),"")</f>
        <v/>
      </c>
    </row>
    <row r="247" customFormat="false" ht="19.5" hidden="false" customHeight="true" outlineLevel="0" collapsed="false">
      <c r="A247" s="12" t="n">
        <f aca="false">ROW()-4</f>
        <v>243</v>
      </c>
      <c r="B247" s="13"/>
      <c r="C247" s="14"/>
      <c r="D247" s="15"/>
      <c r="E247" s="14"/>
      <c r="F247" s="15"/>
      <c r="G247" s="16"/>
      <c r="H247" s="17"/>
      <c r="I247" s="18"/>
      <c r="J247" s="19"/>
      <c r="K247" s="14"/>
      <c r="L247" s="17"/>
      <c r="M247" s="19"/>
      <c r="N247" s="20"/>
      <c r="O247" s="19"/>
      <c r="P247" s="21"/>
      <c r="Q247" s="22" t="str">
        <f aca="false">IF(L247="","",IF(M247&lt;&gt;"",M247*L247*100,IF(AND(O247&lt;&gt;"",B247&lt;&gt;""),IFERROR(AVERAGEIF($B$5:$B$1004,B247,$M$5:$M$1004)*L247*100,""),"")))</f>
        <v/>
      </c>
      <c r="R247" s="22" t="str">
        <f aca="false">IF(AND(O247&lt;&gt;"",L247&lt;&gt;""),O247*L247*100,"")</f>
        <v/>
      </c>
      <c r="S247" s="23" t="str">
        <f aca="false">IF(AND(P247&lt;&gt;"",L247&lt;&gt;""),P247*L247*100,"")</f>
        <v/>
      </c>
      <c r="T247" s="24" t="str">
        <f aca="false">IF(AND(Q247&lt;&gt;"",R247&lt;&gt;""),R247-Q247,"")</f>
        <v/>
      </c>
      <c r="U247" s="25" t="str">
        <f aca="false">IF(AND(Q247&lt;&gt;"",Q247&lt;&gt;0,T247&lt;&gt;""),T247/Q247,"")</f>
        <v/>
      </c>
      <c r="V247" s="26" t="str">
        <f aca="false">IF(AND(S247&lt;&gt;"",Q247&lt;&gt;""),S247-Q247,"")</f>
        <v/>
      </c>
      <c r="W247" s="27" t="str">
        <f aca="false">IF(AND(Q247&lt;&gt;"",Q247&lt;&gt;0,V247&lt;&gt;""),V247/Q247,"")</f>
        <v/>
      </c>
      <c r="X247" s="28" t="s">
        <v>37</v>
      </c>
      <c r="Y247" s="29" t="str">
        <f aca="false">IF(AND(O247&lt;&gt;"",M247&lt;&gt;"",O247&gt;M247),CONCATENATE("1 : ",TEXT((O247-M247)/M247,"0.00")),IF(AND(O247&lt;&gt;"",M247&lt;&gt;"",O247&lt;M247),CONCATENATE("-1 : ",TEXT((M247-O247)/M247,"0.00")),"—"))</f>
        <v>—</v>
      </c>
      <c r="Z247" s="30" t="str">
        <f aca="false">IF(AND(P247&lt;&gt;"",M247&lt;&gt;"",P247&gt;M247),CONCATENATE("1 : ",TEXT((P247-M247)/M247,"0.00")),"—")</f>
        <v>—</v>
      </c>
      <c r="AA247" s="31" t="str">
        <f aca="false">IF(AND(C247&lt;&gt;"",E247&lt;&gt;""),E247-C247,"")</f>
        <v/>
      </c>
      <c r="AB247" s="17"/>
      <c r="AC247" s="32"/>
      <c r="AD247" s="33"/>
      <c r="AE247" s="34" t="str">
        <f aca="false">IF(G247&lt;&gt;"",HYPERLINK("https://www.tradingview.com/chart/?symbol="&amp;G247&amp;"&amp;interval=60&amp;from="&amp;(AG247-10*3600)&amp;"&amp;to="&amp;(AG247+50*3600),"📈 1H"),"")</f>
        <v/>
      </c>
      <c r="AF247" s="35" t="str">
        <f aca="false">IF(G247&lt;&gt;"",HYPERLINK("https://www.tradingview.com/chart/?symbol="&amp;G247&amp;"&amp;interval=240&amp;from="&amp;(AG247-10*14400)&amp;"&amp;to="&amp;(AG247+50*14400),"📈 4H"),"")</f>
        <v/>
      </c>
      <c r="AG247" s="36" t="str">
        <f aca="false">IF(C247&lt;&gt;"",INT((C247+IF(D247&lt;&gt;"",D247,0)-DATE(1970,1,1))*86400),"")</f>
        <v/>
      </c>
    </row>
    <row r="248" customFormat="false" ht="19.5" hidden="false" customHeight="true" outlineLevel="0" collapsed="false">
      <c r="A248" s="37" t="n">
        <f aca="false">ROW()-4</f>
        <v>244</v>
      </c>
      <c r="B248" s="38"/>
      <c r="C248" s="39"/>
      <c r="D248" s="40"/>
      <c r="E248" s="39"/>
      <c r="F248" s="40"/>
      <c r="G248" s="41"/>
      <c r="H248" s="42"/>
      <c r="I248" s="43"/>
      <c r="J248" s="44"/>
      <c r="K248" s="39"/>
      <c r="L248" s="42"/>
      <c r="M248" s="44"/>
      <c r="N248" s="45"/>
      <c r="O248" s="44"/>
      <c r="P248" s="46"/>
      <c r="Q248" s="47" t="str">
        <f aca="false">IF(L248="","",IF(M248&lt;&gt;"",M248*L248*100,IF(AND(O248&lt;&gt;"",B248&lt;&gt;""),IFERROR(AVERAGEIF($B$5:$B$1004,B248,$M$5:$M$1004)*L248*100,""),"")))</f>
        <v/>
      </c>
      <c r="R248" s="47" t="str">
        <f aca="false">IF(AND(O248&lt;&gt;"",L248&lt;&gt;""),O248*L248*100,"")</f>
        <v/>
      </c>
      <c r="S248" s="48" t="str">
        <f aca="false">IF(AND(P248&lt;&gt;"",L248&lt;&gt;""),P248*L248*100,"")</f>
        <v/>
      </c>
      <c r="T248" s="49" t="str">
        <f aca="false">IF(AND(Q248&lt;&gt;"",R248&lt;&gt;""),R248-Q248,"")</f>
        <v/>
      </c>
      <c r="U248" s="50" t="str">
        <f aca="false">IF(AND(Q248&lt;&gt;"",Q248&lt;&gt;0,T248&lt;&gt;""),T248/Q248,"")</f>
        <v/>
      </c>
      <c r="V248" s="51" t="str">
        <f aca="false">IF(AND(S248&lt;&gt;"",Q248&lt;&gt;""),S248-Q248,"")</f>
        <v/>
      </c>
      <c r="W248" s="52" t="str">
        <f aca="false">IF(AND(Q248&lt;&gt;"",Q248&lt;&gt;0,V248&lt;&gt;""),V248/Q248,"")</f>
        <v/>
      </c>
      <c r="X248" s="53" t="s">
        <v>37</v>
      </c>
      <c r="Y248" s="54" t="str">
        <f aca="false">IF(AND(O248&lt;&gt;"",M248&lt;&gt;"",O248&gt;M248),CONCATENATE("1 : ",TEXT((O248-M248)/M248,"0.00")),IF(AND(O248&lt;&gt;"",M248&lt;&gt;"",O248&lt;M248),CONCATENATE("-1 : ",TEXT((M248-O248)/M248,"0.00")),"—"))</f>
        <v>—</v>
      </c>
      <c r="Z248" s="55" t="str">
        <f aca="false">IF(AND(P248&lt;&gt;"",M248&lt;&gt;"",P248&gt;M248),CONCATENATE("1 : ",TEXT((P248-M248)/M248,"0.00")),"—")</f>
        <v>—</v>
      </c>
      <c r="AA248" s="56" t="str">
        <f aca="false">IF(AND(C248&lt;&gt;"",E248&lt;&gt;""),E248-C248,"")</f>
        <v/>
      </c>
      <c r="AB248" s="42"/>
      <c r="AC248" s="57"/>
      <c r="AD248" s="58"/>
      <c r="AE248" s="59" t="str">
        <f aca="false">IF(G248&lt;&gt;"",HYPERLINK("https://www.tradingview.com/chart/?symbol="&amp;G248&amp;"&amp;interval=60&amp;from="&amp;(AG248-10*3600)&amp;"&amp;to="&amp;(AG248+50*3600),"📈 1H"),"")</f>
        <v/>
      </c>
      <c r="AF248" s="60" t="str">
        <f aca="false">IF(G248&lt;&gt;"",HYPERLINK("https://www.tradingview.com/chart/?symbol="&amp;G248&amp;"&amp;interval=240&amp;from="&amp;(AG248-10*14400)&amp;"&amp;to="&amp;(AG248+50*14400),"📈 4H"),"")</f>
        <v/>
      </c>
      <c r="AG248" s="36" t="str">
        <f aca="false">IF(C248&lt;&gt;"",INT((C248+IF(D248&lt;&gt;"",D248,0)-DATE(1970,1,1))*86400),"")</f>
        <v/>
      </c>
    </row>
    <row r="249" customFormat="false" ht="19.5" hidden="false" customHeight="true" outlineLevel="0" collapsed="false">
      <c r="A249" s="12" t="n">
        <f aca="false">ROW()-4</f>
        <v>245</v>
      </c>
      <c r="B249" s="13"/>
      <c r="C249" s="14"/>
      <c r="D249" s="15"/>
      <c r="E249" s="14"/>
      <c r="F249" s="15"/>
      <c r="G249" s="16"/>
      <c r="H249" s="17"/>
      <c r="I249" s="18"/>
      <c r="J249" s="19"/>
      <c r="K249" s="14"/>
      <c r="L249" s="17"/>
      <c r="M249" s="19"/>
      <c r="N249" s="20"/>
      <c r="O249" s="19"/>
      <c r="P249" s="21"/>
      <c r="Q249" s="22" t="str">
        <f aca="false">IF(L249="","",IF(M249&lt;&gt;"",M249*L249*100,IF(AND(O249&lt;&gt;"",B249&lt;&gt;""),IFERROR(AVERAGEIF($B$5:$B$1004,B249,$M$5:$M$1004)*L249*100,""),"")))</f>
        <v/>
      </c>
      <c r="R249" s="22" t="str">
        <f aca="false">IF(AND(O249&lt;&gt;"",L249&lt;&gt;""),O249*L249*100,"")</f>
        <v/>
      </c>
      <c r="S249" s="23" t="str">
        <f aca="false">IF(AND(P249&lt;&gt;"",L249&lt;&gt;""),P249*L249*100,"")</f>
        <v/>
      </c>
      <c r="T249" s="24" t="str">
        <f aca="false">IF(AND(Q249&lt;&gt;"",R249&lt;&gt;""),R249-Q249,"")</f>
        <v/>
      </c>
      <c r="U249" s="25" t="str">
        <f aca="false">IF(AND(Q249&lt;&gt;"",Q249&lt;&gt;0,T249&lt;&gt;""),T249/Q249,"")</f>
        <v/>
      </c>
      <c r="V249" s="26" t="str">
        <f aca="false">IF(AND(S249&lt;&gt;"",Q249&lt;&gt;""),S249-Q249,"")</f>
        <v/>
      </c>
      <c r="W249" s="27" t="str">
        <f aca="false">IF(AND(Q249&lt;&gt;"",Q249&lt;&gt;0,V249&lt;&gt;""),V249/Q249,"")</f>
        <v/>
      </c>
      <c r="X249" s="28" t="s">
        <v>37</v>
      </c>
      <c r="Y249" s="29" t="str">
        <f aca="false">IF(AND(O249&lt;&gt;"",M249&lt;&gt;"",O249&gt;M249),CONCATENATE("1 : ",TEXT((O249-M249)/M249,"0.00")),IF(AND(O249&lt;&gt;"",M249&lt;&gt;"",O249&lt;M249),CONCATENATE("-1 : ",TEXT((M249-O249)/M249,"0.00")),"—"))</f>
        <v>—</v>
      </c>
      <c r="Z249" s="30" t="str">
        <f aca="false">IF(AND(P249&lt;&gt;"",M249&lt;&gt;"",P249&gt;M249),CONCATENATE("1 : ",TEXT((P249-M249)/M249,"0.00")),"—")</f>
        <v>—</v>
      </c>
      <c r="AA249" s="31" t="str">
        <f aca="false">IF(AND(C249&lt;&gt;"",E249&lt;&gt;""),E249-C249,"")</f>
        <v/>
      </c>
      <c r="AB249" s="17"/>
      <c r="AC249" s="32"/>
      <c r="AD249" s="33"/>
      <c r="AE249" s="34" t="str">
        <f aca="false">IF(G249&lt;&gt;"",HYPERLINK("https://www.tradingview.com/chart/?symbol="&amp;G249&amp;"&amp;interval=60&amp;from="&amp;(AG249-10*3600)&amp;"&amp;to="&amp;(AG249+50*3600),"📈 1H"),"")</f>
        <v/>
      </c>
      <c r="AF249" s="35" t="str">
        <f aca="false">IF(G249&lt;&gt;"",HYPERLINK("https://www.tradingview.com/chart/?symbol="&amp;G249&amp;"&amp;interval=240&amp;from="&amp;(AG249-10*14400)&amp;"&amp;to="&amp;(AG249+50*14400),"📈 4H"),"")</f>
        <v/>
      </c>
      <c r="AG249" s="36" t="str">
        <f aca="false">IF(C249&lt;&gt;"",INT((C249+IF(D249&lt;&gt;"",D249,0)-DATE(1970,1,1))*86400),"")</f>
        <v/>
      </c>
    </row>
    <row r="250" customFormat="false" ht="19.5" hidden="false" customHeight="true" outlineLevel="0" collapsed="false">
      <c r="A250" s="37" t="n">
        <f aca="false">ROW()-4</f>
        <v>246</v>
      </c>
      <c r="B250" s="38"/>
      <c r="C250" s="39"/>
      <c r="D250" s="40"/>
      <c r="E250" s="39"/>
      <c r="F250" s="40"/>
      <c r="G250" s="41"/>
      <c r="H250" s="42"/>
      <c r="I250" s="43"/>
      <c r="J250" s="44"/>
      <c r="K250" s="39"/>
      <c r="L250" s="42"/>
      <c r="M250" s="44"/>
      <c r="N250" s="45"/>
      <c r="O250" s="44"/>
      <c r="P250" s="46"/>
      <c r="Q250" s="47" t="str">
        <f aca="false">IF(L250="","",IF(M250&lt;&gt;"",M250*L250*100,IF(AND(O250&lt;&gt;"",B250&lt;&gt;""),IFERROR(AVERAGEIF($B$5:$B$1004,B250,$M$5:$M$1004)*L250*100,""),"")))</f>
        <v/>
      </c>
      <c r="R250" s="47" t="str">
        <f aca="false">IF(AND(O250&lt;&gt;"",L250&lt;&gt;""),O250*L250*100,"")</f>
        <v/>
      </c>
      <c r="S250" s="48" t="str">
        <f aca="false">IF(AND(P250&lt;&gt;"",L250&lt;&gt;""),P250*L250*100,"")</f>
        <v/>
      </c>
      <c r="T250" s="49" t="str">
        <f aca="false">IF(AND(Q250&lt;&gt;"",R250&lt;&gt;""),R250-Q250,"")</f>
        <v/>
      </c>
      <c r="U250" s="50" t="str">
        <f aca="false">IF(AND(Q250&lt;&gt;"",Q250&lt;&gt;0,T250&lt;&gt;""),T250/Q250,"")</f>
        <v/>
      </c>
      <c r="V250" s="51" t="str">
        <f aca="false">IF(AND(S250&lt;&gt;"",Q250&lt;&gt;""),S250-Q250,"")</f>
        <v/>
      </c>
      <c r="W250" s="52" t="str">
        <f aca="false">IF(AND(Q250&lt;&gt;"",Q250&lt;&gt;0,V250&lt;&gt;""),V250/Q250,"")</f>
        <v/>
      </c>
      <c r="X250" s="53" t="s">
        <v>37</v>
      </c>
      <c r="Y250" s="54" t="str">
        <f aca="false">IF(AND(O250&lt;&gt;"",M250&lt;&gt;"",O250&gt;M250),CONCATENATE("1 : ",TEXT((O250-M250)/M250,"0.00")),IF(AND(O250&lt;&gt;"",M250&lt;&gt;"",O250&lt;M250),CONCATENATE("-1 : ",TEXT((M250-O250)/M250,"0.00")),"—"))</f>
        <v>—</v>
      </c>
      <c r="Z250" s="55" t="str">
        <f aca="false">IF(AND(P250&lt;&gt;"",M250&lt;&gt;"",P250&gt;M250),CONCATENATE("1 : ",TEXT((P250-M250)/M250,"0.00")),"—")</f>
        <v>—</v>
      </c>
      <c r="AA250" s="56" t="str">
        <f aca="false">IF(AND(C250&lt;&gt;"",E250&lt;&gt;""),E250-C250,"")</f>
        <v/>
      </c>
      <c r="AB250" s="42"/>
      <c r="AC250" s="57"/>
      <c r="AD250" s="58"/>
      <c r="AE250" s="59" t="str">
        <f aca="false">IF(G250&lt;&gt;"",HYPERLINK("https://www.tradingview.com/chart/?symbol="&amp;G250&amp;"&amp;interval=60&amp;from="&amp;(AG250-10*3600)&amp;"&amp;to="&amp;(AG250+50*3600),"📈 1H"),"")</f>
        <v/>
      </c>
      <c r="AF250" s="60" t="str">
        <f aca="false">IF(G250&lt;&gt;"",HYPERLINK("https://www.tradingview.com/chart/?symbol="&amp;G250&amp;"&amp;interval=240&amp;from="&amp;(AG250-10*14400)&amp;"&amp;to="&amp;(AG250+50*14400),"📈 4H"),"")</f>
        <v/>
      </c>
      <c r="AG250" s="36" t="str">
        <f aca="false">IF(C250&lt;&gt;"",INT((C250+IF(D250&lt;&gt;"",D250,0)-DATE(1970,1,1))*86400),"")</f>
        <v/>
      </c>
    </row>
    <row r="251" customFormat="false" ht="19.5" hidden="false" customHeight="true" outlineLevel="0" collapsed="false">
      <c r="A251" s="12" t="n">
        <f aca="false">ROW()-4</f>
        <v>247</v>
      </c>
      <c r="B251" s="13"/>
      <c r="C251" s="14"/>
      <c r="D251" s="15"/>
      <c r="E251" s="14"/>
      <c r="F251" s="15"/>
      <c r="G251" s="16"/>
      <c r="H251" s="17"/>
      <c r="I251" s="18"/>
      <c r="J251" s="19"/>
      <c r="K251" s="14"/>
      <c r="L251" s="17"/>
      <c r="M251" s="19"/>
      <c r="N251" s="20"/>
      <c r="O251" s="19"/>
      <c r="P251" s="21"/>
      <c r="Q251" s="22" t="str">
        <f aca="false">IF(L251="","",IF(M251&lt;&gt;"",M251*L251*100,IF(AND(O251&lt;&gt;"",B251&lt;&gt;""),IFERROR(AVERAGEIF($B$5:$B$1004,B251,$M$5:$M$1004)*L251*100,""),"")))</f>
        <v/>
      </c>
      <c r="R251" s="22" t="str">
        <f aca="false">IF(AND(O251&lt;&gt;"",L251&lt;&gt;""),O251*L251*100,"")</f>
        <v/>
      </c>
      <c r="S251" s="23" t="str">
        <f aca="false">IF(AND(P251&lt;&gt;"",L251&lt;&gt;""),P251*L251*100,"")</f>
        <v/>
      </c>
      <c r="T251" s="24" t="str">
        <f aca="false">IF(AND(Q251&lt;&gt;"",R251&lt;&gt;""),R251-Q251,"")</f>
        <v/>
      </c>
      <c r="U251" s="25" t="str">
        <f aca="false">IF(AND(Q251&lt;&gt;"",Q251&lt;&gt;0,T251&lt;&gt;""),T251/Q251,"")</f>
        <v/>
      </c>
      <c r="V251" s="26" t="str">
        <f aca="false">IF(AND(S251&lt;&gt;"",Q251&lt;&gt;""),S251-Q251,"")</f>
        <v/>
      </c>
      <c r="W251" s="27" t="str">
        <f aca="false">IF(AND(Q251&lt;&gt;"",Q251&lt;&gt;0,V251&lt;&gt;""),V251/Q251,"")</f>
        <v/>
      </c>
      <c r="X251" s="28" t="s">
        <v>37</v>
      </c>
      <c r="Y251" s="29" t="str">
        <f aca="false">IF(AND(O251&lt;&gt;"",M251&lt;&gt;"",O251&gt;M251),CONCATENATE("1 : ",TEXT((O251-M251)/M251,"0.00")),IF(AND(O251&lt;&gt;"",M251&lt;&gt;"",O251&lt;M251),CONCATENATE("-1 : ",TEXT((M251-O251)/M251,"0.00")),"—"))</f>
        <v>—</v>
      </c>
      <c r="Z251" s="30" t="str">
        <f aca="false">IF(AND(P251&lt;&gt;"",M251&lt;&gt;"",P251&gt;M251),CONCATENATE("1 : ",TEXT((P251-M251)/M251,"0.00")),"—")</f>
        <v>—</v>
      </c>
      <c r="AA251" s="31" t="str">
        <f aca="false">IF(AND(C251&lt;&gt;"",E251&lt;&gt;""),E251-C251,"")</f>
        <v/>
      </c>
      <c r="AB251" s="17"/>
      <c r="AC251" s="32"/>
      <c r="AD251" s="33"/>
      <c r="AE251" s="34" t="str">
        <f aca="false">IF(G251&lt;&gt;"",HYPERLINK("https://www.tradingview.com/chart/?symbol="&amp;G251&amp;"&amp;interval=60&amp;from="&amp;(AG251-10*3600)&amp;"&amp;to="&amp;(AG251+50*3600),"📈 1H"),"")</f>
        <v/>
      </c>
      <c r="AF251" s="35" t="str">
        <f aca="false">IF(G251&lt;&gt;"",HYPERLINK("https://www.tradingview.com/chart/?symbol="&amp;G251&amp;"&amp;interval=240&amp;from="&amp;(AG251-10*14400)&amp;"&amp;to="&amp;(AG251+50*14400),"📈 4H"),"")</f>
        <v/>
      </c>
      <c r="AG251" s="36" t="str">
        <f aca="false">IF(C251&lt;&gt;"",INT((C251+IF(D251&lt;&gt;"",D251,0)-DATE(1970,1,1))*86400),"")</f>
        <v/>
      </c>
    </row>
    <row r="252" customFormat="false" ht="19.5" hidden="false" customHeight="true" outlineLevel="0" collapsed="false">
      <c r="A252" s="37" t="n">
        <f aca="false">ROW()-4</f>
        <v>248</v>
      </c>
      <c r="B252" s="38"/>
      <c r="C252" s="39"/>
      <c r="D252" s="40"/>
      <c r="E252" s="39"/>
      <c r="F252" s="40"/>
      <c r="G252" s="41"/>
      <c r="H252" s="42"/>
      <c r="I252" s="43"/>
      <c r="J252" s="44"/>
      <c r="K252" s="39"/>
      <c r="L252" s="42"/>
      <c r="M252" s="44"/>
      <c r="N252" s="45"/>
      <c r="O252" s="44"/>
      <c r="P252" s="46"/>
      <c r="Q252" s="47" t="str">
        <f aca="false">IF(L252="","",IF(M252&lt;&gt;"",M252*L252*100,IF(AND(O252&lt;&gt;"",B252&lt;&gt;""),IFERROR(AVERAGEIF($B$5:$B$1004,B252,$M$5:$M$1004)*L252*100,""),"")))</f>
        <v/>
      </c>
      <c r="R252" s="47" t="str">
        <f aca="false">IF(AND(O252&lt;&gt;"",L252&lt;&gt;""),O252*L252*100,"")</f>
        <v/>
      </c>
      <c r="S252" s="48" t="str">
        <f aca="false">IF(AND(P252&lt;&gt;"",L252&lt;&gt;""),P252*L252*100,"")</f>
        <v/>
      </c>
      <c r="T252" s="49" t="str">
        <f aca="false">IF(AND(Q252&lt;&gt;"",R252&lt;&gt;""),R252-Q252,"")</f>
        <v/>
      </c>
      <c r="U252" s="50" t="str">
        <f aca="false">IF(AND(Q252&lt;&gt;"",Q252&lt;&gt;0,T252&lt;&gt;""),T252/Q252,"")</f>
        <v/>
      </c>
      <c r="V252" s="51" t="str">
        <f aca="false">IF(AND(S252&lt;&gt;"",Q252&lt;&gt;""),S252-Q252,"")</f>
        <v/>
      </c>
      <c r="W252" s="52" t="str">
        <f aca="false">IF(AND(Q252&lt;&gt;"",Q252&lt;&gt;0,V252&lt;&gt;""),V252/Q252,"")</f>
        <v/>
      </c>
      <c r="X252" s="53" t="s">
        <v>37</v>
      </c>
      <c r="Y252" s="54" t="str">
        <f aca="false">IF(AND(O252&lt;&gt;"",M252&lt;&gt;"",O252&gt;M252),CONCATENATE("1 : ",TEXT((O252-M252)/M252,"0.00")),IF(AND(O252&lt;&gt;"",M252&lt;&gt;"",O252&lt;M252),CONCATENATE("-1 : ",TEXT((M252-O252)/M252,"0.00")),"—"))</f>
        <v>—</v>
      </c>
      <c r="Z252" s="55" t="str">
        <f aca="false">IF(AND(P252&lt;&gt;"",M252&lt;&gt;"",P252&gt;M252),CONCATENATE("1 : ",TEXT((P252-M252)/M252,"0.00")),"—")</f>
        <v>—</v>
      </c>
      <c r="AA252" s="56" t="str">
        <f aca="false">IF(AND(C252&lt;&gt;"",E252&lt;&gt;""),E252-C252,"")</f>
        <v/>
      </c>
      <c r="AB252" s="42"/>
      <c r="AC252" s="57"/>
      <c r="AD252" s="58"/>
      <c r="AE252" s="59" t="str">
        <f aca="false">IF(G252&lt;&gt;"",HYPERLINK("https://www.tradingview.com/chart/?symbol="&amp;G252&amp;"&amp;interval=60&amp;from="&amp;(AG252-10*3600)&amp;"&amp;to="&amp;(AG252+50*3600),"📈 1H"),"")</f>
        <v/>
      </c>
      <c r="AF252" s="60" t="str">
        <f aca="false">IF(G252&lt;&gt;"",HYPERLINK("https://www.tradingview.com/chart/?symbol="&amp;G252&amp;"&amp;interval=240&amp;from="&amp;(AG252-10*14400)&amp;"&amp;to="&amp;(AG252+50*14400),"📈 4H"),"")</f>
        <v/>
      </c>
      <c r="AG252" s="36" t="str">
        <f aca="false">IF(C252&lt;&gt;"",INT((C252+IF(D252&lt;&gt;"",D252,0)-DATE(1970,1,1))*86400),"")</f>
        <v/>
      </c>
    </row>
    <row r="253" customFormat="false" ht="19.5" hidden="false" customHeight="true" outlineLevel="0" collapsed="false">
      <c r="A253" s="12" t="n">
        <f aca="false">ROW()-4</f>
        <v>249</v>
      </c>
      <c r="B253" s="13"/>
      <c r="C253" s="14"/>
      <c r="D253" s="15"/>
      <c r="E253" s="14"/>
      <c r="F253" s="15"/>
      <c r="G253" s="16"/>
      <c r="H253" s="17"/>
      <c r="I253" s="18"/>
      <c r="J253" s="19"/>
      <c r="K253" s="14"/>
      <c r="L253" s="17"/>
      <c r="M253" s="19"/>
      <c r="N253" s="20"/>
      <c r="O253" s="19"/>
      <c r="P253" s="21"/>
      <c r="Q253" s="22" t="str">
        <f aca="false">IF(L253="","",IF(M253&lt;&gt;"",M253*L253*100,IF(AND(O253&lt;&gt;"",B253&lt;&gt;""),IFERROR(AVERAGEIF($B$5:$B$1004,B253,$M$5:$M$1004)*L253*100,""),"")))</f>
        <v/>
      </c>
      <c r="R253" s="22" t="str">
        <f aca="false">IF(AND(O253&lt;&gt;"",L253&lt;&gt;""),O253*L253*100,"")</f>
        <v/>
      </c>
      <c r="S253" s="23" t="str">
        <f aca="false">IF(AND(P253&lt;&gt;"",L253&lt;&gt;""),P253*L253*100,"")</f>
        <v/>
      </c>
      <c r="T253" s="24" t="str">
        <f aca="false">IF(AND(Q253&lt;&gt;"",R253&lt;&gt;""),R253-Q253,"")</f>
        <v/>
      </c>
      <c r="U253" s="25" t="str">
        <f aca="false">IF(AND(Q253&lt;&gt;"",Q253&lt;&gt;0,T253&lt;&gt;""),T253/Q253,"")</f>
        <v/>
      </c>
      <c r="V253" s="26" t="str">
        <f aca="false">IF(AND(S253&lt;&gt;"",Q253&lt;&gt;""),S253-Q253,"")</f>
        <v/>
      </c>
      <c r="W253" s="27" t="str">
        <f aca="false">IF(AND(Q253&lt;&gt;"",Q253&lt;&gt;0,V253&lt;&gt;""),V253/Q253,"")</f>
        <v/>
      </c>
      <c r="X253" s="28" t="s">
        <v>37</v>
      </c>
      <c r="Y253" s="29" t="str">
        <f aca="false">IF(AND(O253&lt;&gt;"",M253&lt;&gt;"",O253&gt;M253),CONCATENATE("1 : ",TEXT((O253-M253)/M253,"0.00")),IF(AND(O253&lt;&gt;"",M253&lt;&gt;"",O253&lt;M253),CONCATENATE("-1 : ",TEXT((M253-O253)/M253,"0.00")),"—"))</f>
        <v>—</v>
      </c>
      <c r="Z253" s="30" t="str">
        <f aca="false">IF(AND(P253&lt;&gt;"",M253&lt;&gt;"",P253&gt;M253),CONCATENATE("1 : ",TEXT((P253-M253)/M253,"0.00")),"—")</f>
        <v>—</v>
      </c>
      <c r="AA253" s="31" t="str">
        <f aca="false">IF(AND(C253&lt;&gt;"",E253&lt;&gt;""),E253-C253,"")</f>
        <v/>
      </c>
      <c r="AB253" s="17"/>
      <c r="AC253" s="32"/>
      <c r="AD253" s="33"/>
      <c r="AE253" s="34" t="str">
        <f aca="false">IF(G253&lt;&gt;"",HYPERLINK("https://www.tradingview.com/chart/?symbol="&amp;G253&amp;"&amp;interval=60&amp;from="&amp;(AG253-10*3600)&amp;"&amp;to="&amp;(AG253+50*3600),"📈 1H"),"")</f>
        <v/>
      </c>
      <c r="AF253" s="35" t="str">
        <f aca="false">IF(G253&lt;&gt;"",HYPERLINK("https://www.tradingview.com/chart/?symbol="&amp;G253&amp;"&amp;interval=240&amp;from="&amp;(AG253-10*14400)&amp;"&amp;to="&amp;(AG253+50*14400),"📈 4H"),"")</f>
        <v/>
      </c>
      <c r="AG253" s="36" t="str">
        <f aca="false">IF(C253&lt;&gt;"",INT((C253+IF(D253&lt;&gt;"",D253,0)-DATE(1970,1,1))*86400),"")</f>
        <v/>
      </c>
    </row>
    <row r="254" customFormat="false" ht="19.5" hidden="false" customHeight="true" outlineLevel="0" collapsed="false">
      <c r="A254" s="37" t="n">
        <f aca="false">ROW()-4</f>
        <v>250</v>
      </c>
      <c r="B254" s="38"/>
      <c r="C254" s="39"/>
      <c r="D254" s="40"/>
      <c r="E254" s="39"/>
      <c r="F254" s="40"/>
      <c r="G254" s="41"/>
      <c r="H254" s="42"/>
      <c r="I254" s="43"/>
      <c r="J254" s="44"/>
      <c r="K254" s="39"/>
      <c r="L254" s="42"/>
      <c r="M254" s="44"/>
      <c r="N254" s="45"/>
      <c r="O254" s="44"/>
      <c r="P254" s="46"/>
      <c r="Q254" s="47" t="str">
        <f aca="false">IF(L254="","",IF(M254&lt;&gt;"",M254*L254*100,IF(AND(O254&lt;&gt;"",B254&lt;&gt;""),IFERROR(AVERAGEIF($B$5:$B$1004,B254,$M$5:$M$1004)*L254*100,""),"")))</f>
        <v/>
      </c>
      <c r="R254" s="47" t="str">
        <f aca="false">IF(AND(O254&lt;&gt;"",L254&lt;&gt;""),O254*L254*100,"")</f>
        <v/>
      </c>
      <c r="S254" s="48" t="str">
        <f aca="false">IF(AND(P254&lt;&gt;"",L254&lt;&gt;""),P254*L254*100,"")</f>
        <v/>
      </c>
      <c r="T254" s="49" t="str">
        <f aca="false">IF(AND(Q254&lt;&gt;"",R254&lt;&gt;""),R254-Q254,"")</f>
        <v/>
      </c>
      <c r="U254" s="50" t="str">
        <f aca="false">IF(AND(Q254&lt;&gt;"",Q254&lt;&gt;0,T254&lt;&gt;""),T254/Q254,"")</f>
        <v/>
      </c>
      <c r="V254" s="51" t="str">
        <f aca="false">IF(AND(S254&lt;&gt;"",Q254&lt;&gt;""),S254-Q254,"")</f>
        <v/>
      </c>
      <c r="W254" s="52" t="str">
        <f aca="false">IF(AND(Q254&lt;&gt;"",Q254&lt;&gt;0,V254&lt;&gt;""),V254/Q254,"")</f>
        <v/>
      </c>
      <c r="X254" s="53" t="s">
        <v>37</v>
      </c>
      <c r="Y254" s="54" t="str">
        <f aca="false">IF(AND(O254&lt;&gt;"",M254&lt;&gt;"",O254&gt;M254),CONCATENATE("1 : ",TEXT((O254-M254)/M254,"0.00")),IF(AND(O254&lt;&gt;"",M254&lt;&gt;"",O254&lt;M254),CONCATENATE("-1 : ",TEXT((M254-O254)/M254,"0.00")),"—"))</f>
        <v>—</v>
      </c>
      <c r="Z254" s="55" t="str">
        <f aca="false">IF(AND(P254&lt;&gt;"",M254&lt;&gt;"",P254&gt;M254),CONCATENATE("1 : ",TEXT((P254-M254)/M254,"0.00")),"—")</f>
        <v>—</v>
      </c>
      <c r="AA254" s="56" t="str">
        <f aca="false">IF(AND(C254&lt;&gt;"",E254&lt;&gt;""),E254-C254,"")</f>
        <v/>
      </c>
      <c r="AB254" s="42"/>
      <c r="AC254" s="57"/>
      <c r="AD254" s="58"/>
      <c r="AE254" s="59" t="str">
        <f aca="false">IF(G254&lt;&gt;"",HYPERLINK("https://www.tradingview.com/chart/?symbol="&amp;G254&amp;"&amp;interval=60&amp;from="&amp;(AG254-10*3600)&amp;"&amp;to="&amp;(AG254+50*3600),"📈 1H"),"")</f>
        <v/>
      </c>
      <c r="AF254" s="60" t="str">
        <f aca="false">IF(G254&lt;&gt;"",HYPERLINK("https://www.tradingview.com/chart/?symbol="&amp;G254&amp;"&amp;interval=240&amp;from="&amp;(AG254-10*14400)&amp;"&amp;to="&amp;(AG254+50*14400),"📈 4H"),"")</f>
        <v/>
      </c>
      <c r="AG254" s="36" t="str">
        <f aca="false">IF(C254&lt;&gt;"",INT((C254+IF(D254&lt;&gt;"",D254,0)-DATE(1970,1,1))*86400),"")</f>
        <v/>
      </c>
    </row>
    <row r="255" customFormat="false" ht="19.5" hidden="false" customHeight="true" outlineLevel="0" collapsed="false">
      <c r="A255" s="12" t="n">
        <f aca="false">ROW()-4</f>
        <v>251</v>
      </c>
      <c r="B255" s="13"/>
      <c r="C255" s="14"/>
      <c r="D255" s="15"/>
      <c r="E255" s="14"/>
      <c r="F255" s="15"/>
      <c r="G255" s="16"/>
      <c r="H255" s="17"/>
      <c r="I255" s="18"/>
      <c r="J255" s="19"/>
      <c r="K255" s="14"/>
      <c r="L255" s="17"/>
      <c r="M255" s="19"/>
      <c r="N255" s="20"/>
      <c r="O255" s="19"/>
      <c r="P255" s="21"/>
      <c r="Q255" s="22" t="str">
        <f aca="false">IF(L255="","",IF(M255&lt;&gt;"",M255*L255*100,IF(AND(O255&lt;&gt;"",B255&lt;&gt;""),IFERROR(AVERAGEIF($B$5:$B$1004,B255,$M$5:$M$1004)*L255*100,""),"")))</f>
        <v/>
      </c>
      <c r="R255" s="22" t="str">
        <f aca="false">IF(AND(O255&lt;&gt;"",L255&lt;&gt;""),O255*L255*100,"")</f>
        <v/>
      </c>
      <c r="S255" s="23" t="str">
        <f aca="false">IF(AND(P255&lt;&gt;"",L255&lt;&gt;""),P255*L255*100,"")</f>
        <v/>
      </c>
      <c r="T255" s="24" t="str">
        <f aca="false">IF(AND(Q255&lt;&gt;"",R255&lt;&gt;""),R255-Q255,"")</f>
        <v/>
      </c>
      <c r="U255" s="25" t="str">
        <f aca="false">IF(AND(Q255&lt;&gt;"",Q255&lt;&gt;0,T255&lt;&gt;""),T255/Q255,"")</f>
        <v/>
      </c>
      <c r="V255" s="26" t="str">
        <f aca="false">IF(AND(S255&lt;&gt;"",Q255&lt;&gt;""),S255-Q255,"")</f>
        <v/>
      </c>
      <c r="W255" s="27" t="str">
        <f aca="false">IF(AND(Q255&lt;&gt;"",Q255&lt;&gt;0,V255&lt;&gt;""),V255/Q255,"")</f>
        <v/>
      </c>
      <c r="X255" s="28" t="s">
        <v>37</v>
      </c>
      <c r="Y255" s="29" t="str">
        <f aca="false">IF(AND(O255&lt;&gt;"",M255&lt;&gt;"",O255&gt;M255),CONCATENATE("1 : ",TEXT((O255-M255)/M255,"0.00")),IF(AND(O255&lt;&gt;"",M255&lt;&gt;"",O255&lt;M255),CONCATENATE("-1 : ",TEXT((M255-O255)/M255,"0.00")),"—"))</f>
        <v>—</v>
      </c>
      <c r="Z255" s="30" t="str">
        <f aca="false">IF(AND(P255&lt;&gt;"",M255&lt;&gt;"",P255&gt;M255),CONCATENATE("1 : ",TEXT((P255-M255)/M255,"0.00")),"—")</f>
        <v>—</v>
      </c>
      <c r="AA255" s="31" t="str">
        <f aca="false">IF(AND(C255&lt;&gt;"",E255&lt;&gt;""),E255-C255,"")</f>
        <v/>
      </c>
      <c r="AB255" s="17"/>
      <c r="AC255" s="32"/>
      <c r="AD255" s="33"/>
      <c r="AE255" s="34" t="str">
        <f aca="false">IF(G255&lt;&gt;"",HYPERLINK("https://www.tradingview.com/chart/?symbol="&amp;G255&amp;"&amp;interval=60&amp;from="&amp;(AG255-10*3600)&amp;"&amp;to="&amp;(AG255+50*3600),"📈 1H"),"")</f>
        <v/>
      </c>
      <c r="AF255" s="35" t="str">
        <f aca="false">IF(G255&lt;&gt;"",HYPERLINK("https://www.tradingview.com/chart/?symbol="&amp;G255&amp;"&amp;interval=240&amp;from="&amp;(AG255-10*14400)&amp;"&amp;to="&amp;(AG255+50*14400),"📈 4H"),"")</f>
        <v/>
      </c>
      <c r="AG255" s="36" t="str">
        <f aca="false">IF(C255&lt;&gt;"",INT((C255+IF(D255&lt;&gt;"",D255,0)-DATE(1970,1,1))*86400),"")</f>
        <v/>
      </c>
    </row>
    <row r="256" customFormat="false" ht="19.5" hidden="false" customHeight="true" outlineLevel="0" collapsed="false">
      <c r="A256" s="37" t="n">
        <f aca="false">ROW()-4</f>
        <v>252</v>
      </c>
      <c r="B256" s="38"/>
      <c r="C256" s="39"/>
      <c r="D256" s="40"/>
      <c r="E256" s="39"/>
      <c r="F256" s="40"/>
      <c r="G256" s="41"/>
      <c r="H256" s="42"/>
      <c r="I256" s="43"/>
      <c r="J256" s="44"/>
      <c r="K256" s="39"/>
      <c r="L256" s="42"/>
      <c r="M256" s="44"/>
      <c r="N256" s="45"/>
      <c r="O256" s="44"/>
      <c r="P256" s="46"/>
      <c r="Q256" s="47" t="str">
        <f aca="false">IF(L256="","",IF(M256&lt;&gt;"",M256*L256*100,IF(AND(O256&lt;&gt;"",B256&lt;&gt;""),IFERROR(AVERAGEIF($B$5:$B$1004,B256,$M$5:$M$1004)*L256*100,""),"")))</f>
        <v/>
      </c>
      <c r="R256" s="47" t="str">
        <f aca="false">IF(AND(O256&lt;&gt;"",L256&lt;&gt;""),O256*L256*100,"")</f>
        <v/>
      </c>
      <c r="S256" s="48" t="str">
        <f aca="false">IF(AND(P256&lt;&gt;"",L256&lt;&gt;""),P256*L256*100,"")</f>
        <v/>
      </c>
      <c r="T256" s="49" t="str">
        <f aca="false">IF(AND(Q256&lt;&gt;"",R256&lt;&gt;""),R256-Q256,"")</f>
        <v/>
      </c>
      <c r="U256" s="50" t="str">
        <f aca="false">IF(AND(Q256&lt;&gt;"",Q256&lt;&gt;0,T256&lt;&gt;""),T256/Q256,"")</f>
        <v/>
      </c>
      <c r="V256" s="51" t="str">
        <f aca="false">IF(AND(S256&lt;&gt;"",Q256&lt;&gt;""),S256-Q256,"")</f>
        <v/>
      </c>
      <c r="W256" s="52" t="str">
        <f aca="false">IF(AND(Q256&lt;&gt;"",Q256&lt;&gt;0,V256&lt;&gt;""),V256/Q256,"")</f>
        <v/>
      </c>
      <c r="X256" s="53" t="s">
        <v>37</v>
      </c>
      <c r="Y256" s="54" t="str">
        <f aca="false">IF(AND(O256&lt;&gt;"",M256&lt;&gt;"",O256&gt;M256),CONCATENATE("1 : ",TEXT((O256-M256)/M256,"0.00")),IF(AND(O256&lt;&gt;"",M256&lt;&gt;"",O256&lt;M256),CONCATENATE("-1 : ",TEXT((M256-O256)/M256,"0.00")),"—"))</f>
        <v>—</v>
      </c>
      <c r="Z256" s="55" t="str">
        <f aca="false">IF(AND(P256&lt;&gt;"",M256&lt;&gt;"",P256&gt;M256),CONCATENATE("1 : ",TEXT((P256-M256)/M256,"0.00")),"—")</f>
        <v>—</v>
      </c>
      <c r="AA256" s="56" t="str">
        <f aca="false">IF(AND(C256&lt;&gt;"",E256&lt;&gt;""),E256-C256,"")</f>
        <v/>
      </c>
      <c r="AB256" s="42"/>
      <c r="AC256" s="57"/>
      <c r="AD256" s="58"/>
      <c r="AE256" s="59" t="str">
        <f aca="false">IF(G256&lt;&gt;"",HYPERLINK("https://www.tradingview.com/chart/?symbol="&amp;G256&amp;"&amp;interval=60&amp;from="&amp;(AG256-10*3600)&amp;"&amp;to="&amp;(AG256+50*3600),"📈 1H"),"")</f>
        <v/>
      </c>
      <c r="AF256" s="60" t="str">
        <f aca="false">IF(G256&lt;&gt;"",HYPERLINK("https://www.tradingview.com/chart/?symbol="&amp;G256&amp;"&amp;interval=240&amp;from="&amp;(AG256-10*14400)&amp;"&amp;to="&amp;(AG256+50*14400),"📈 4H"),"")</f>
        <v/>
      </c>
      <c r="AG256" s="36" t="str">
        <f aca="false">IF(C256&lt;&gt;"",INT((C256+IF(D256&lt;&gt;"",D256,0)-DATE(1970,1,1))*86400),"")</f>
        <v/>
      </c>
    </row>
    <row r="257" customFormat="false" ht="19.5" hidden="false" customHeight="true" outlineLevel="0" collapsed="false">
      <c r="A257" s="12" t="n">
        <f aca="false">ROW()-4</f>
        <v>253</v>
      </c>
      <c r="B257" s="13"/>
      <c r="C257" s="14"/>
      <c r="D257" s="15"/>
      <c r="E257" s="14"/>
      <c r="F257" s="15"/>
      <c r="G257" s="16"/>
      <c r="H257" s="17"/>
      <c r="I257" s="18"/>
      <c r="J257" s="19"/>
      <c r="K257" s="14"/>
      <c r="L257" s="17"/>
      <c r="M257" s="19"/>
      <c r="N257" s="20"/>
      <c r="O257" s="19"/>
      <c r="P257" s="21"/>
      <c r="Q257" s="22" t="str">
        <f aca="false">IF(L257="","",IF(M257&lt;&gt;"",M257*L257*100,IF(AND(O257&lt;&gt;"",B257&lt;&gt;""),IFERROR(AVERAGEIF($B$5:$B$1004,B257,$M$5:$M$1004)*L257*100,""),"")))</f>
        <v/>
      </c>
      <c r="R257" s="22" t="str">
        <f aca="false">IF(AND(O257&lt;&gt;"",L257&lt;&gt;""),O257*L257*100,"")</f>
        <v/>
      </c>
      <c r="S257" s="23" t="str">
        <f aca="false">IF(AND(P257&lt;&gt;"",L257&lt;&gt;""),P257*L257*100,"")</f>
        <v/>
      </c>
      <c r="T257" s="24" t="str">
        <f aca="false">IF(AND(Q257&lt;&gt;"",R257&lt;&gt;""),R257-Q257,"")</f>
        <v/>
      </c>
      <c r="U257" s="25" t="str">
        <f aca="false">IF(AND(Q257&lt;&gt;"",Q257&lt;&gt;0,T257&lt;&gt;""),T257/Q257,"")</f>
        <v/>
      </c>
      <c r="V257" s="26" t="str">
        <f aca="false">IF(AND(S257&lt;&gt;"",Q257&lt;&gt;""),S257-Q257,"")</f>
        <v/>
      </c>
      <c r="W257" s="27" t="str">
        <f aca="false">IF(AND(Q257&lt;&gt;"",Q257&lt;&gt;0,V257&lt;&gt;""),V257/Q257,"")</f>
        <v/>
      </c>
      <c r="X257" s="28" t="s">
        <v>37</v>
      </c>
      <c r="Y257" s="29" t="str">
        <f aca="false">IF(AND(O257&lt;&gt;"",M257&lt;&gt;"",O257&gt;M257),CONCATENATE("1 : ",TEXT((O257-M257)/M257,"0.00")),IF(AND(O257&lt;&gt;"",M257&lt;&gt;"",O257&lt;M257),CONCATENATE("-1 : ",TEXT((M257-O257)/M257,"0.00")),"—"))</f>
        <v>—</v>
      </c>
      <c r="Z257" s="30" t="str">
        <f aca="false">IF(AND(P257&lt;&gt;"",M257&lt;&gt;"",P257&gt;M257),CONCATENATE("1 : ",TEXT((P257-M257)/M257,"0.00")),"—")</f>
        <v>—</v>
      </c>
      <c r="AA257" s="31" t="str">
        <f aca="false">IF(AND(C257&lt;&gt;"",E257&lt;&gt;""),E257-C257,"")</f>
        <v/>
      </c>
      <c r="AB257" s="17"/>
      <c r="AC257" s="32"/>
      <c r="AD257" s="33"/>
      <c r="AE257" s="34" t="str">
        <f aca="false">IF(G257&lt;&gt;"",HYPERLINK("https://www.tradingview.com/chart/?symbol="&amp;G257&amp;"&amp;interval=60&amp;from="&amp;(AG257-10*3600)&amp;"&amp;to="&amp;(AG257+50*3600),"📈 1H"),"")</f>
        <v/>
      </c>
      <c r="AF257" s="35" t="str">
        <f aca="false">IF(G257&lt;&gt;"",HYPERLINK("https://www.tradingview.com/chart/?symbol="&amp;G257&amp;"&amp;interval=240&amp;from="&amp;(AG257-10*14400)&amp;"&amp;to="&amp;(AG257+50*14400),"📈 4H"),"")</f>
        <v/>
      </c>
      <c r="AG257" s="36" t="str">
        <f aca="false">IF(C257&lt;&gt;"",INT((C257+IF(D257&lt;&gt;"",D257,0)-DATE(1970,1,1))*86400),"")</f>
        <v/>
      </c>
    </row>
    <row r="258" customFormat="false" ht="19.5" hidden="false" customHeight="true" outlineLevel="0" collapsed="false">
      <c r="A258" s="37" t="n">
        <f aca="false">ROW()-4</f>
        <v>254</v>
      </c>
      <c r="B258" s="38"/>
      <c r="C258" s="39"/>
      <c r="D258" s="40"/>
      <c r="E258" s="39"/>
      <c r="F258" s="40"/>
      <c r="G258" s="41"/>
      <c r="H258" s="42"/>
      <c r="I258" s="43"/>
      <c r="J258" s="44"/>
      <c r="K258" s="39"/>
      <c r="L258" s="42"/>
      <c r="M258" s="44"/>
      <c r="N258" s="45"/>
      <c r="O258" s="44"/>
      <c r="P258" s="46"/>
      <c r="Q258" s="47" t="str">
        <f aca="false">IF(L258="","",IF(M258&lt;&gt;"",M258*L258*100,IF(AND(O258&lt;&gt;"",B258&lt;&gt;""),IFERROR(AVERAGEIF($B$5:$B$1004,B258,$M$5:$M$1004)*L258*100,""),"")))</f>
        <v/>
      </c>
      <c r="R258" s="47" t="str">
        <f aca="false">IF(AND(O258&lt;&gt;"",L258&lt;&gt;""),O258*L258*100,"")</f>
        <v/>
      </c>
      <c r="S258" s="48" t="str">
        <f aca="false">IF(AND(P258&lt;&gt;"",L258&lt;&gt;""),P258*L258*100,"")</f>
        <v/>
      </c>
      <c r="T258" s="49" t="str">
        <f aca="false">IF(AND(Q258&lt;&gt;"",R258&lt;&gt;""),R258-Q258,"")</f>
        <v/>
      </c>
      <c r="U258" s="50" t="str">
        <f aca="false">IF(AND(Q258&lt;&gt;"",Q258&lt;&gt;0,T258&lt;&gt;""),T258/Q258,"")</f>
        <v/>
      </c>
      <c r="V258" s="51" t="str">
        <f aca="false">IF(AND(S258&lt;&gt;"",Q258&lt;&gt;""),S258-Q258,"")</f>
        <v/>
      </c>
      <c r="W258" s="52" t="str">
        <f aca="false">IF(AND(Q258&lt;&gt;"",Q258&lt;&gt;0,V258&lt;&gt;""),V258/Q258,"")</f>
        <v/>
      </c>
      <c r="X258" s="53" t="s">
        <v>37</v>
      </c>
      <c r="Y258" s="54" t="str">
        <f aca="false">IF(AND(O258&lt;&gt;"",M258&lt;&gt;"",O258&gt;M258),CONCATENATE("1 : ",TEXT((O258-M258)/M258,"0.00")),IF(AND(O258&lt;&gt;"",M258&lt;&gt;"",O258&lt;M258),CONCATENATE("-1 : ",TEXT((M258-O258)/M258,"0.00")),"—"))</f>
        <v>—</v>
      </c>
      <c r="Z258" s="55" t="str">
        <f aca="false">IF(AND(P258&lt;&gt;"",M258&lt;&gt;"",P258&gt;M258),CONCATENATE("1 : ",TEXT((P258-M258)/M258,"0.00")),"—")</f>
        <v>—</v>
      </c>
      <c r="AA258" s="56" t="str">
        <f aca="false">IF(AND(C258&lt;&gt;"",E258&lt;&gt;""),E258-C258,"")</f>
        <v/>
      </c>
      <c r="AB258" s="42"/>
      <c r="AC258" s="57"/>
      <c r="AD258" s="58"/>
      <c r="AE258" s="59" t="str">
        <f aca="false">IF(G258&lt;&gt;"",HYPERLINK("https://www.tradingview.com/chart/?symbol="&amp;G258&amp;"&amp;interval=60&amp;from="&amp;(AG258-10*3600)&amp;"&amp;to="&amp;(AG258+50*3600),"📈 1H"),"")</f>
        <v/>
      </c>
      <c r="AF258" s="60" t="str">
        <f aca="false">IF(G258&lt;&gt;"",HYPERLINK("https://www.tradingview.com/chart/?symbol="&amp;G258&amp;"&amp;interval=240&amp;from="&amp;(AG258-10*14400)&amp;"&amp;to="&amp;(AG258+50*14400),"📈 4H"),"")</f>
        <v/>
      </c>
      <c r="AG258" s="36" t="str">
        <f aca="false">IF(C258&lt;&gt;"",INT((C258+IF(D258&lt;&gt;"",D258,0)-DATE(1970,1,1))*86400),"")</f>
        <v/>
      </c>
    </row>
    <row r="259" customFormat="false" ht="19.5" hidden="false" customHeight="true" outlineLevel="0" collapsed="false">
      <c r="A259" s="12" t="n">
        <f aca="false">ROW()-4</f>
        <v>255</v>
      </c>
      <c r="B259" s="13"/>
      <c r="C259" s="14"/>
      <c r="D259" s="15"/>
      <c r="E259" s="14"/>
      <c r="F259" s="15"/>
      <c r="G259" s="16"/>
      <c r="H259" s="17"/>
      <c r="I259" s="18"/>
      <c r="J259" s="19"/>
      <c r="K259" s="14"/>
      <c r="L259" s="17"/>
      <c r="M259" s="19"/>
      <c r="N259" s="20"/>
      <c r="O259" s="19"/>
      <c r="P259" s="21"/>
      <c r="Q259" s="22" t="str">
        <f aca="false">IF(L259="","",IF(M259&lt;&gt;"",M259*L259*100,IF(AND(O259&lt;&gt;"",B259&lt;&gt;""),IFERROR(AVERAGEIF($B$5:$B$1004,B259,$M$5:$M$1004)*L259*100,""),"")))</f>
        <v/>
      </c>
      <c r="R259" s="22" t="str">
        <f aca="false">IF(AND(O259&lt;&gt;"",L259&lt;&gt;""),O259*L259*100,"")</f>
        <v/>
      </c>
      <c r="S259" s="23" t="str">
        <f aca="false">IF(AND(P259&lt;&gt;"",L259&lt;&gt;""),P259*L259*100,"")</f>
        <v/>
      </c>
      <c r="T259" s="24" t="str">
        <f aca="false">IF(AND(Q259&lt;&gt;"",R259&lt;&gt;""),R259-Q259,"")</f>
        <v/>
      </c>
      <c r="U259" s="25" t="str">
        <f aca="false">IF(AND(Q259&lt;&gt;"",Q259&lt;&gt;0,T259&lt;&gt;""),T259/Q259,"")</f>
        <v/>
      </c>
      <c r="V259" s="26" t="str">
        <f aca="false">IF(AND(S259&lt;&gt;"",Q259&lt;&gt;""),S259-Q259,"")</f>
        <v/>
      </c>
      <c r="W259" s="27" t="str">
        <f aca="false">IF(AND(Q259&lt;&gt;"",Q259&lt;&gt;0,V259&lt;&gt;""),V259/Q259,"")</f>
        <v/>
      </c>
      <c r="X259" s="28" t="s">
        <v>37</v>
      </c>
      <c r="Y259" s="29" t="str">
        <f aca="false">IF(AND(O259&lt;&gt;"",M259&lt;&gt;"",O259&gt;M259),CONCATENATE("1 : ",TEXT((O259-M259)/M259,"0.00")),IF(AND(O259&lt;&gt;"",M259&lt;&gt;"",O259&lt;M259),CONCATENATE("-1 : ",TEXT((M259-O259)/M259,"0.00")),"—"))</f>
        <v>—</v>
      </c>
      <c r="Z259" s="30" t="str">
        <f aca="false">IF(AND(P259&lt;&gt;"",M259&lt;&gt;"",P259&gt;M259),CONCATENATE("1 : ",TEXT((P259-M259)/M259,"0.00")),"—")</f>
        <v>—</v>
      </c>
      <c r="AA259" s="31" t="str">
        <f aca="false">IF(AND(C259&lt;&gt;"",E259&lt;&gt;""),E259-C259,"")</f>
        <v/>
      </c>
      <c r="AB259" s="17"/>
      <c r="AC259" s="32"/>
      <c r="AD259" s="33"/>
      <c r="AE259" s="34" t="str">
        <f aca="false">IF(G259&lt;&gt;"",HYPERLINK("https://www.tradingview.com/chart/?symbol="&amp;G259&amp;"&amp;interval=60&amp;from="&amp;(AG259-10*3600)&amp;"&amp;to="&amp;(AG259+50*3600),"📈 1H"),"")</f>
        <v/>
      </c>
      <c r="AF259" s="35" t="str">
        <f aca="false">IF(G259&lt;&gt;"",HYPERLINK("https://www.tradingview.com/chart/?symbol="&amp;G259&amp;"&amp;interval=240&amp;from="&amp;(AG259-10*14400)&amp;"&amp;to="&amp;(AG259+50*14400),"📈 4H"),"")</f>
        <v/>
      </c>
      <c r="AG259" s="36" t="str">
        <f aca="false">IF(C259&lt;&gt;"",INT((C259+IF(D259&lt;&gt;"",D259,0)-DATE(1970,1,1))*86400),"")</f>
        <v/>
      </c>
    </row>
    <row r="260" customFormat="false" ht="19.5" hidden="false" customHeight="true" outlineLevel="0" collapsed="false">
      <c r="A260" s="37" t="n">
        <f aca="false">ROW()-4</f>
        <v>256</v>
      </c>
      <c r="B260" s="38"/>
      <c r="C260" s="39"/>
      <c r="D260" s="40"/>
      <c r="E260" s="39"/>
      <c r="F260" s="40"/>
      <c r="G260" s="41"/>
      <c r="H260" s="42"/>
      <c r="I260" s="43"/>
      <c r="J260" s="44"/>
      <c r="K260" s="39"/>
      <c r="L260" s="42"/>
      <c r="M260" s="44"/>
      <c r="N260" s="45"/>
      <c r="O260" s="44"/>
      <c r="P260" s="46"/>
      <c r="Q260" s="47" t="str">
        <f aca="false">IF(L260="","",IF(M260&lt;&gt;"",M260*L260*100,IF(AND(O260&lt;&gt;"",B260&lt;&gt;""),IFERROR(AVERAGEIF($B$5:$B$1004,B260,$M$5:$M$1004)*L260*100,""),"")))</f>
        <v/>
      </c>
      <c r="R260" s="47" t="str">
        <f aca="false">IF(AND(O260&lt;&gt;"",L260&lt;&gt;""),O260*L260*100,"")</f>
        <v/>
      </c>
      <c r="S260" s="48" t="str">
        <f aca="false">IF(AND(P260&lt;&gt;"",L260&lt;&gt;""),P260*L260*100,"")</f>
        <v/>
      </c>
      <c r="T260" s="49" t="str">
        <f aca="false">IF(AND(Q260&lt;&gt;"",R260&lt;&gt;""),R260-Q260,"")</f>
        <v/>
      </c>
      <c r="U260" s="50" t="str">
        <f aca="false">IF(AND(Q260&lt;&gt;"",Q260&lt;&gt;0,T260&lt;&gt;""),T260/Q260,"")</f>
        <v/>
      </c>
      <c r="V260" s="51" t="str">
        <f aca="false">IF(AND(S260&lt;&gt;"",Q260&lt;&gt;""),S260-Q260,"")</f>
        <v/>
      </c>
      <c r="W260" s="52" t="str">
        <f aca="false">IF(AND(Q260&lt;&gt;"",Q260&lt;&gt;0,V260&lt;&gt;""),V260/Q260,"")</f>
        <v/>
      </c>
      <c r="X260" s="53" t="s">
        <v>37</v>
      </c>
      <c r="Y260" s="54" t="str">
        <f aca="false">IF(AND(O260&lt;&gt;"",M260&lt;&gt;"",O260&gt;M260),CONCATENATE("1 : ",TEXT((O260-M260)/M260,"0.00")),IF(AND(O260&lt;&gt;"",M260&lt;&gt;"",O260&lt;M260),CONCATENATE("-1 : ",TEXT((M260-O260)/M260,"0.00")),"—"))</f>
        <v>—</v>
      </c>
      <c r="Z260" s="55" t="str">
        <f aca="false">IF(AND(P260&lt;&gt;"",M260&lt;&gt;"",P260&gt;M260),CONCATENATE("1 : ",TEXT((P260-M260)/M260,"0.00")),"—")</f>
        <v>—</v>
      </c>
      <c r="AA260" s="56" t="str">
        <f aca="false">IF(AND(C260&lt;&gt;"",E260&lt;&gt;""),E260-C260,"")</f>
        <v/>
      </c>
      <c r="AB260" s="42"/>
      <c r="AC260" s="57"/>
      <c r="AD260" s="58"/>
      <c r="AE260" s="59" t="str">
        <f aca="false">IF(G260&lt;&gt;"",HYPERLINK("https://www.tradingview.com/chart/?symbol="&amp;G260&amp;"&amp;interval=60&amp;from="&amp;(AG260-10*3600)&amp;"&amp;to="&amp;(AG260+50*3600),"📈 1H"),"")</f>
        <v/>
      </c>
      <c r="AF260" s="60" t="str">
        <f aca="false">IF(G260&lt;&gt;"",HYPERLINK("https://www.tradingview.com/chart/?symbol="&amp;G260&amp;"&amp;interval=240&amp;from="&amp;(AG260-10*14400)&amp;"&amp;to="&amp;(AG260+50*14400),"📈 4H"),"")</f>
        <v/>
      </c>
      <c r="AG260" s="36" t="str">
        <f aca="false">IF(C260&lt;&gt;"",INT((C260+IF(D260&lt;&gt;"",D260,0)-DATE(1970,1,1))*86400),"")</f>
        <v/>
      </c>
    </row>
    <row r="261" customFormat="false" ht="19.5" hidden="false" customHeight="true" outlineLevel="0" collapsed="false">
      <c r="A261" s="12" t="n">
        <f aca="false">ROW()-4</f>
        <v>257</v>
      </c>
      <c r="B261" s="13"/>
      <c r="C261" s="14"/>
      <c r="D261" s="15"/>
      <c r="E261" s="14"/>
      <c r="F261" s="15"/>
      <c r="G261" s="16"/>
      <c r="H261" s="17"/>
      <c r="I261" s="18"/>
      <c r="J261" s="19"/>
      <c r="K261" s="14"/>
      <c r="L261" s="17"/>
      <c r="M261" s="19"/>
      <c r="N261" s="20"/>
      <c r="O261" s="19"/>
      <c r="P261" s="21"/>
      <c r="Q261" s="22" t="str">
        <f aca="false">IF(L261="","",IF(M261&lt;&gt;"",M261*L261*100,IF(AND(O261&lt;&gt;"",B261&lt;&gt;""),IFERROR(AVERAGEIF($B$5:$B$1004,B261,$M$5:$M$1004)*L261*100,""),"")))</f>
        <v/>
      </c>
      <c r="R261" s="22" t="str">
        <f aca="false">IF(AND(O261&lt;&gt;"",L261&lt;&gt;""),O261*L261*100,"")</f>
        <v/>
      </c>
      <c r="S261" s="23" t="str">
        <f aca="false">IF(AND(P261&lt;&gt;"",L261&lt;&gt;""),P261*L261*100,"")</f>
        <v/>
      </c>
      <c r="T261" s="24" t="str">
        <f aca="false">IF(AND(Q261&lt;&gt;"",R261&lt;&gt;""),R261-Q261,"")</f>
        <v/>
      </c>
      <c r="U261" s="25" t="str">
        <f aca="false">IF(AND(Q261&lt;&gt;"",Q261&lt;&gt;0,T261&lt;&gt;""),T261/Q261,"")</f>
        <v/>
      </c>
      <c r="V261" s="26" t="str">
        <f aca="false">IF(AND(S261&lt;&gt;"",Q261&lt;&gt;""),S261-Q261,"")</f>
        <v/>
      </c>
      <c r="W261" s="27" t="str">
        <f aca="false">IF(AND(Q261&lt;&gt;"",Q261&lt;&gt;0,V261&lt;&gt;""),V261/Q261,"")</f>
        <v/>
      </c>
      <c r="X261" s="28" t="s">
        <v>37</v>
      </c>
      <c r="Y261" s="29" t="str">
        <f aca="false">IF(AND(O261&lt;&gt;"",M261&lt;&gt;"",O261&gt;M261),CONCATENATE("1 : ",TEXT((O261-M261)/M261,"0.00")),IF(AND(O261&lt;&gt;"",M261&lt;&gt;"",O261&lt;M261),CONCATENATE("-1 : ",TEXT((M261-O261)/M261,"0.00")),"—"))</f>
        <v>—</v>
      </c>
      <c r="Z261" s="30" t="str">
        <f aca="false">IF(AND(P261&lt;&gt;"",M261&lt;&gt;"",P261&gt;M261),CONCATENATE("1 : ",TEXT((P261-M261)/M261,"0.00")),"—")</f>
        <v>—</v>
      </c>
      <c r="AA261" s="31" t="str">
        <f aca="false">IF(AND(C261&lt;&gt;"",E261&lt;&gt;""),E261-C261,"")</f>
        <v/>
      </c>
      <c r="AB261" s="17"/>
      <c r="AC261" s="32"/>
      <c r="AD261" s="33"/>
      <c r="AE261" s="34" t="str">
        <f aca="false">IF(G261&lt;&gt;"",HYPERLINK("https://www.tradingview.com/chart/?symbol="&amp;G261&amp;"&amp;interval=60&amp;from="&amp;(AG261-10*3600)&amp;"&amp;to="&amp;(AG261+50*3600),"📈 1H"),"")</f>
        <v/>
      </c>
      <c r="AF261" s="35" t="str">
        <f aca="false">IF(G261&lt;&gt;"",HYPERLINK("https://www.tradingview.com/chart/?symbol="&amp;G261&amp;"&amp;interval=240&amp;from="&amp;(AG261-10*14400)&amp;"&amp;to="&amp;(AG261+50*14400),"📈 4H"),"")</f>
        <v/>
      </c>
      <c r="AG261" s="36" t="str">
        <f aca="false">IF(C261&lt;&gt;"",INT((C261+IF(D261&lt;&gt;"",D261,0)-DATE(1970,1,1))*86400),"")</f>
        <v/>
      </c>
    </row>
    <row r="262" customFormat="false" ht="19.5" hidden="false" customHeight="true" outlineLevel="0" collapsed="false">
      <c r="A262" s="37" t="n">
        <f aca="false">ROW()-4</f>
        <v>258</v>
      </c>
      <c r="B262" s="38"/>
      <c r="C262" s="39"/>
      <c r="D262" s="40"/>
      <c r="E262" s="39"/>
      <c r="F262" s="40"/>
      <c r="G262" s="41"/>
      <c r="H262" s="42"/>
      <c r="I262" s="43"/>
      <c r="J262" s="44"/>
      <c r="K262" s="39"/>
      <c r="L262" s="42"/>
      <c r="M262" s="44"/>
      <c r="N262" s="45"/>
      <c r="O262" s="44"/>
      <c r="P262" s="46"/>
      <c r="Q262" s="47" t="str">
        <f aca="false">IF(L262="","",IF(M262&lt;&gt;"",M262*L262*100,IF(AND(O262&lt;&gt;"",B262&lt;&gt;""),IFERROR(AVERAGEIF($B$5:$B$1004,B262,$M$5:$M$1004)*L262*100,""),"")))</f>
        <v/>
      </c>
      <c r="R262" s="47" t="str">
        <f aca="false">IF(AND(O262&lt;&gt;"",L262&lt;&gt;""),O262*L262*100,"")</f>
        <v/>
      </c>
      <c r="S262" s="48" t="str">
        <f aca="false">IF(AND(P262&lt;&gt;"",L262&lt;&gt;""),P262*L262*100,"")</f>
        <v/>
      </c>
      <c r="T262" s="49" t="str">
        <f aca="false">IF(AND(Q262&lt;&gt;"",R262&lt;&gt;""),R262-Q262,"")</f>
        <v/>
      </c>
      <c r="U262" s="50" t="str">
        <f aca="false">IF(AND(Q262&lt;&gt;"",Q262&lt;&gt;0,T262&lt;&gt;""),T262/Q262,"")</f>
        <v/>
      </c>
      <c r="V262" s="51" t="str">
        <f aca="false">IF(AND(S262&lt;&gt;"",Q262&lt;&gt;""),S262-Q262,"")</f>
        <v/>
      </c>
      <c r="W262" s="52" t="str">
        <f aca="false">IF(AND(Q262&lt;&gt;"",Q262&lt;&gt;0,V262&lt;&gt;""),V262/Q262,"")</f>
        <v/>
      </c>
      <c r="X262" s="53" t="s">
        <v>37</v>
      </c>
      <c r="Y262" s="54" t="str">
        <f aca="false">IF(AND(O262&lt;&gt;"",M262&lt;&gt;"",O262&gt;M262),CONCATENATE("1 : ",TEXT((O262-M262)/M262,"0.00")),IF(AND(O262&lt;&gt;"",M262&lt;&gt;"",O262&lt;M262),CONCATENATE("-1 : ",TEXT((M262-O262)/M262,"0.00")),"—"))</f>
        <v>—</v>
      </c>
      <c r="Z262" s="55" t="str">
        <f aca="false">IF(AND(P262&lt;&gt;"",M262&lt;&gt;"",P262&gt;M262),CONCATENATE("1 : ",TEXT((P262-M262)/M262,"0.00")),"—")</f>
        <v>—</v>
      </c>
      <c r="AA262" s="56" t="str">
        <f aca="false">IF(AND(C262&lt;&gt;"",E262&lt;&gt;""),E262-C262,"")</f>
        <v/>
      </c>
      <c r="AB262" s="42"/>
      <c r="AC262" s="57"/>
      <c r="AD262" s="58"/>
      <c r="AE262" s="59" t="str">
        <f aca="false">IF(G262&lt;&gt;"",HYPERLINK("https://www.tradingview.com/chart/?symbol="&amp;G262&amp;"&amp;interval=60&amp;from="&amp;(AG262-10*3600)&amp;"&amp;to="&amp;(AG262+50*3600),"📈 1H"),"")</f>
        <v/>
      </c>
      <c r="AF262" s="60" t="str">
        <f aca="false">IF(G262&lt;&gt;"",HYPERLINK("https://www.tradingview.com/chart/?symbol="&amp;G262&amp;"&amp;interval=240&amp;from="&amp;(AG262-10*14400)&amp;"&amp;to="&amp;(AG262+50*14400),"📈 4H"),"")</f>
        <v/>
      </c>
      <c r="AG262" s="36" t="str">
        <f aca="false">IF(C262&lt;&gt;"",INT((C262+IF(D262&lt;&gt;"",D262,0)-DATE(1970,1,1))*86400),"")</f>
        <v/>
      </c>
    </row>
    <row r="263" customFormat="false" ht="19.5" hidden="false" customHeight="true" outlineLevel="0" collapsed="false">
      <c r="A263" s="12" t="n">
        <f aca="false">ROW()-4</f>
        <v>259</v>
      </c>
      <c r="B263" s="13"/>
      <c r="C263" s="14"/>
      <c r="D263" s="15"/>
      <c r="E263" s="14"/>
      <c r="F263" s="15"/>
      <c r="G263" s="16"/>
      <c r="H263" s="17"/>
      <c r="I263" s="18"/>
      <c r="J263" s="19"/>
      <c r="K263" s="14"/>
      <c r="L263" s="17"/>
      <c r="M263" s="19"/>
      <c r="N263" s="20"/>
      <c r="O263" s="19"/>
      <c r="P263" s="21"/>
      <c r="Q263" s="22" t="str">
        <f aca="false">IF(L263="","",IF(M263&lt;&gt;"",M263*L263*100,IF(AND(O263&lt;&gt;"",B263&lt;&gt;""),IFERROR(AVERAGEIF($B$5:$B$1004,B263,$M$5:$M$1004)*L263*100,""),"")))</f>
        <v/>
      </c>
      <c r="R263" s="22" t="str">
        <f aca="false">IF(AND(O263&lt;&gt;"",L263&lt;&gt;""),O263*L263*100,"")</f>
        <v/>
      </c>
      <c r="S263" s="23" t="str">
        <f aca="false">IF(AND(P263&lt;&gt;"",L263&lt;&gt;""),P263*L263*100,"")</f>
        <v/>
      </c>
      <c r="T263" s="24" t="str">
        <f aca="false">IF(AND(Q263&lt;&gt;"",R263&lt;&gt;""),R263-Q263,"")</f>
        <v/>
      </c>
      <c r="U263" s="25" t="str">
        <f aca="false">IF(AND(Q263&lt;&gt;"",Q263&lt;&gt;0,T263&lt;&gt;""),T263/Q263,"")</f>
        <v/>
      </c>
      <c r="V263" s="26" t="str">
        <f aca="false">IF(AND(S263&lt;&gt;"",Q263&lt;&gt;""),S263-Q263,"")</f>
        <v/>
      </c>
      <c r="W263" s="27" t="str">
        <f aca="false">IF(AND(Q263&lt;&gt;"",Q263&lt;&gt;0,V263&lt;&gt;""),V263/Q263,"")</f>
        <v/>
      </c>
      <c r="X263" s="28" t="s">
        <v>37</v>
      </c>
      <c r="Y263" s="29" t="str">
        <f aca="false">IF(AND(O263&lt;&gt;"",M263&lt;&gt;"",O263&gt;M263),CONCATENATE("1 : ",TEXT((O263-M263)/M263,"0.00")),IF(AND(O263&lt;&gt;"",M263&lt;&gt;"",O263&lt;M263),CONCATENATE("-1 : ",TEXT((M263-O263)/M263,"0.00")),"—"))</f>
        <v>—</v>
      </c>
      <c r="Z263" s="30" t="str">
        <f aca="false">IF(AND(P263&lt;&gt;"",M263&lt;&gt;"",P263&gt;M263),CONCATENATE("1 : ",TEXT((P263-M263)/M263,"0.00")),"—")</f>
        <v>—</v>
      </c>
      <c r="AA263" s="31" t="str">
        <f aca="false">IF(AND(C263&lt;&gt;"",E263&lt;&gt;""),E263-C263,"")</f>
        <v/>
      </c>
      <c r="AB263" s="17"/>
      <c r="AC263" s="32"/>
      <c r="AD263" s="33"/>
      <c r="AE263" s="34" t="str">
        <f aca="false">IF(G263&lt;&gt;"",HYPERLINK("https://www.tradingview.com/chart/?symbol="&amp;G263&amp;"&amp;interval=60&amp;from="&amp;(AG263-10*3600)&amp;"&amp;to="&amp;(AG263+50*3600),"📈 1H"),"")</f>
        <v/>
      </c>
      <c r="AF263" s="35" t="str">
        <f aca="false">IF(G263&lt;&gt;"",HYPERLINK("https://www.tradingview.com/chart/?symbol="&amp;G263&amp;"&amp;interval=240&amp;from="&amp;(AG263-10*14400)&amp;"&amp;to="&amp;(AG263+50*14400),"📈 4H"),"")</f>
        <v/>
      </c>
      <c r="AG263" s="36" t="str">
        <f aca="false">IF(C263&lt;&gt;"",INT((C263+IF(D263&lt;&gt;"",D263,0)-DATE(1970,1,1))*86400),"")</f>
        <v/>
      </c>
    </row>
    <row r="264" customFormat="false" ht="19.5" hidden="false" customHeight="true" outlineLevel="0" collapsed="false">
      <c r="A264" s="37" t="n">
        <f aca="false">ROW()-4</f>
        <v>260</v>
      </c>
      <c r="B264" s="38"/>
      <c r="C264" s="39"/>
      <c r="D264" s="40"/>
      <c r="E264" s="39"/>
      <c r="F264" s="40"/>
      <c r="G264" s="41"/>
      <c r="H264" s="42"/>
      <c r="I264" s="43"/>
      <c r="J264" s="44"/>
      <c r="K264" s="39"/>
      <c r="L264" s="42"/>
      <c r="M264" s="44"/>
      <c r="N264" s="45"/>
      <c r="O264" s="44"/>
      <c r="P264" s="46"/>
      <c r="Q264" s="47" t="str">
        <f aca="false">IF(L264="","",IF(M264&lt;&gt;"",M264*L264*100,IF(AND(O264&lt;&gt;"",B264&lt;&gt;""),IFERROR(AVERAGEIF($B$5:$B$1004,B264,$M$5:$M$1004)*L264*100,""),"")))</f>
        <v/>
      </c>
      <c r="R264" s="47" t="str">
        <f aca="false">IF(AND(O264&lt;&gt;"",L264&lt;&gt;""),O264*L264*100,"")</f>
        <v/>
      </c>
      <c r="S264" s="48" t="str">
        <f aca="false">IF(AND(P264&lt;&gt;"",L264&lt;&gt;""),P264*L264*100,"")</f>
        <v/>
      </c>
      <c r="T264" s="49" t="str">
        <f aca="false">IF(AND(Q264&lt;&gt;"",R264&lt;&gt;""),R264-Q264,"")</f>
        <v/>
      </c>
      <c r="U264" s="50" t="str">
        <f aca="false">IF(AND(Q264&lt;&gt;"",Q264&lt;&gt;0,T264&lt;&gt;""),T264/Q264,"")</f>
        <v/>
      </c>
      <c r="V264" s="51" t="str">
        <f aca="false">IF(AND(S264&lt;&gt;"",Q264&lt;&gt;""),S264-Q264,"")</f>
        <v/>
      </c>
      <c r="W264" s="52" t="str">
        <f aca="false">IF(AND(Q264&lt;&gt;"",Q264&lt;&gt;0,V264&lt;&gt;""),V264/Q264,"")</f>
        <v/>
      </c>
      <c r="X264" s="53" t="s">
        <v>37</v>
      </c>
      <c r="Y264" s="54" t="str">
        <f aca="false">IF(AND(O264&lt;&gt;"",M264&lt;&gt;"",O264&gt;M264),CONCATENATE("1 : ",TEXT((O264-M264)/M264,"0.00")),IF(AND(O264&lt;&gt;"",M264&lt;&gt;"",O264&lt;M264),CONCATENATE("-1 : ",TEXT((M264-O264)/M264,"0.00")),"—"))</f>
        <v>—</v>
      </c>
      <c r="Z264" s="55" t="str">
        <f aca="false">IF(AND(P264&lt;&gt;"",M264&lt;&gt;"",P264&gt;M264),CONCATENATE("1 : ",TEXT((P264-M264)/M264,"0.00")),"—")</f>
        <v>—</v>
      </c>
      <c r="AA264" s="56" t="str">
        <f aca="false">IF(AND(C264&lt;&gt;"",E264&lt;&gt;""),E264-C264,"")</f>
        <v/>
      </c>
      <c r="AB264" s="42"/>
      <c r="AC264" s="57"/>
      <c r="AD264" s="58"/>
      <c r="AE264" s="59" t="str">
        <f aca="false">IF(G264&lt;&gt;"",HYPERLINK("https://www.tradingview.com/chart/?symbol="&amp;G264&amp;"&amp;interval=60&amp;from="&amp;(AG264-10*3600)&amp;"&amp;to="&amp;(AG264+50*3600),"📈 1H"),"")</f>
        <v/>
      </c>
      <c r="AF264" s="60" t="str">
        <f aca="false">IF(G264&lt;&gt;"",HYPERLINK("https://www.tradingview.com/chart/?symbol="&amp;G264&amp;"&amp;interval=240&amp;from="&amp;(AG264-10*14400)&amp;"&amp;to="&amp;(AG264+50*14400),"📈 4H"),"")</f>
        <v/>
      </c>
      <c r="AG264" s="36" t="str">
        <f aca="false">IF(C264&lt;&gt;"",INT((C264+IF(D264&lt;&gt;"",D264,0)-DATE(1970,1,1))*86400),"")</f>
        <v/>
      </c>
    </row>
    <row r="265" customFormat="false" ht="19.5" hidden="false" customHeight="true" outlineLevel="0" collapsed="false">
      <c r="A265" s="12" t="n">
        <f aca="false">ROW()-4</f>
        <v>261</v>
      </c>
      <c r="B265" s="13"/>
      <c r="C265" s="14"/>
      <c r="D265" s="15"/>
      <c r="E265" s="14"/>
      <c r="F265" s="15"/>
      <c r="G265" s="16"/>
      <c r="H265" s="17"/>
      <c r="I265" s="18"/>
      <c r="J265" s="19"/>
      <c r="K265" s="14"/>
      <c r="L265" s="17"/>
      <c r="M265" s="19"/>
      <c r="N265" s="20"/>
      <c r="O265" s="19"/>
      <c r="P265" s="21"/>
      <c r="Q265" s="22" t="str">
        <f aca="false">IF(L265="","",IF(M265&lt;&gt;"",M265*L265*100,IF(AND(O265&lt;&gt;"",B265&lt;&gt;""),IFERROR(AVERAGEIF($B$5:$B$1004,B265,$M$5:$M$1004)*L265*100,""),"")))</f>
        <v/>
      </c>
      <c r="R265" s="22" t="str">
        <f aca="false">IF(AND(O265&lt;&gt;"",L265&lt;&gt;""),O265*L265*100,"")</f>
        <v/>
      </c>
      <c r="S265" s="23" t="str">
        <f aca="false">IF(AND(P265&lt;&gt;"",L265&lt;&gt;""),P265*L265*100,"")</f>
        <v/>
      </c>
      <c r="T265" s="24" t="str">
        <f aca="false">IF(AND(Q265&lt;&gt;"",R265&lt;&gt;""),R265-Q265,"")</f>
        <v/>
      </c>
      <c r="U265" s="25" t="str">
        <f aca="false">IF(AND(Q265&lt;&gt;"",Q265&lt;&gt;0,T265&lt;&gt;""),T265/Q265,"")</f>
        <v/>
      </c>
      <c r="V265" s="26" t="str">
        <f aca="false">IF(AND(S265&lt;&gt;"",Q265&lt;&gt;""),S265-Q265,"")</f>
        <v/>
      </c>
      <c r="W265" s="27" t="str">
        <f aca="false">IF(AND(Q265&lt;&gt;"",Q265&lt;&gt;0,V265&lt;&gt;""),V265/Q265,"")</f>
        <v/>
      </c>
      <c r="X265" s="28" t="s">
        <v>37</v>
      </c>
      <c r="Y265" s="29" t="str">
        <f aca="false">IF(AND(O265&lt;&gt;"",M265&lt;&gt;"",O265&gt;M265),CONCATENATE("1 : ",TEXT((O265-M265)/M265,"0.00")),IF(AND(O265&lt;&gt;"",M265&lt;&gt;"",O265&lt;M265),CONCATENATE("-1 : ",TEXT((M265-O265)/M265,"0.00")),"—"))</f>
        <v>—</v>
      </c>
      <c r="Z265" s="30" t="str">
        <f aca="false">IF(AND(P265&lt;&gt;"",M265&lt;&gt;"",P265&gt;M265),CONCATENATE("1 : ",TEXT((P265-M265)/M265,"0.00")),"—")</f>
        <v>—</v>
      </c>
      <c r="AA265" s="31" t="str">
        <f aca="false">IF(AND(C265&lt;&gt;"",E265&lt;&gt;""),E265-C265,"")</f>
        <v/>
      </c>
      <c r="AB265" s="17"/>
      <c r="AC265" s="32"/>
      <c r="AD265" s="33"/>
      <c r="AE265" s="34" t="str">
        <f aca="false">IF(G265&lt;&gt;"",HYPERLINK("https://www.tradingview.com/chart/?symbol="&amp;G265&amp;"&amp;interval=60&amp;from="&amp;(AG265-10*3600)&amp;"&amp;to="&amp;(AG265+50*3600),"📈 1H"),"")</f>
        <v/>
      </c>
      <c r="AF265" s="35" t="str">
        <f aca="false">IF(G265&lt;&gt;"",HYPERLINK("https://www.tradingview.com/chart/?symbol="&amp;G265&amp;"&amp;interval=240&amp;from="&amp;(AG265-10*14400)&amp;"&amp;to="&amp;(AG265+50*14400),"📈 4H"),"")</f>
        <v/>
      </c>
      <c r="AG265" s="36" t="str">
        <f aca="false">IF(C265&lt;&gt;"",INT((C265+IF(D265&lt;&gt;"",D265,0)-DATE(1970,1,1))*86400),"")</f>
        <v/>
      </c>
    </row>
    <row r="266" customFormat="false" ht="19.5" hidden="false" customHeight="true" outlineLevel="0" collapsed="false">
      <c r="A266" s="37" t="n">
        <f aca="false">ROW()-4</f>
        <v>262</v>
      </c>
      <c r="B266" s="38"/>
      <c r="C266" s="39"/>
      <c r="D266" s="40"/>
      <c r="E266" s="39"/>
      <c r="F266" s="40"/>
      <c r="G266" s="41"/>
      <c r="H266" s="42"/>
      <c r="I266" s="43"/>
      <c r="J266" s="44"/>
      <c r="K266" s="39"/>
      <c r="L266" s="42"/>
      <c r="M266" s="44"/>
      <c r="N266" s="45"/>
      <c r="O266" s="44"/>
      <c r="P266" s="46"/>
      <c r="Q266" s="47" t="str">
        <f aca="false">IF(L266="","",IF(M266&lt;&gt;"",M266*L266*100,IF(AND(O266&lt;&gt;"",B266&lt;&gt;""),IFERROR(AVERAGEIF($B$5:$B$1004,B266,$M$5:$M$1004)*L266*100,""),"")))</f>
        <v/>
      </c>
      <c r="R266" s="47" t="str">
        <f aca="false">IF(AND(O266&lt;&gt;"",L266&lt;&gt;""),O266*L266*100,"")</f>
        <v/>
      </c>
      <c r="S266" s="48" t="str">
        <f aca="false">IF(AND(P266&lt;&gt;"",L266&lt;&gt;""),P266*L266*100,"")</f>
        <v/>
      </c>
      <c r="T266" s="49" t="str">
        <f aca="false">IF(AND(Q266&lt;&gt;"",R266&lt;&gt;""),R266-Q266,"")</f>
        <v/>
      </c>
      <c r="U266" s="50" t="str">
        <f aca="false">IF(AND(Q266&lt;&gt;"",Q266&lt;&gt;0,T266&lt;&gt;""),T266/Q266,"")</f>
        <v/>
      </c>
      <c r="V266" s="51" t="str">
        <f aca="false">IF(AND(S266&lt;&gt;"",Q266&lt;&gt;""),S266-Q266,"")</f>
        <v/>
      </c>
      <c r="W266" s="52" t="str">
        <f aca="false">IF(AND(Q266&lt;&gt;"",Q266&lt;&gt;0,V266&lt;&gt;""),V266/Q266,"")</f>
        <v/>
      </c>
      <c r="X266" s="53" t="s">
        <v>37</v>
      </c>
      <c r="Y266" s="54" t="str">
        <f aca="false">IF(AND(O266&lt;&gt;"",M266&lt;&gt;"",O266&gt;M266),CONCATENATE("1 : ",TEXT((O266-M266)/M266,"0.00")),IF(AND(O266&lt;&gt;"",M266&lt;&gt;"",O266&lt;M266),CONCATENATE("-1 : ",TEXT((M266-O266)/M266,"0.00")),"—"))</f>
        <v>—</v>
      </c>
      <c r="Z266" s="55" t="str">
        <f aca="false">IF(AND(P266&lt;&gt;"",M266&lt;&gt;"",P266&gt;M266),CONCATENATE("1 : ",TEXT((P266-M266)/M266,"0.00")),"—")</f>
        <v>—</v>
      </c>
      <c r="AA266" s="56" t="str">
        <f aca="false">IF(AND(C266&lt;&gt;"",E266&lt;&gt;""),E266-C266,"")</f>
        <v/>
      </c>
      <c r="AB266" s="42"/>
      <c r="AC266" s="57"/>
      <c r="AD266" s="58"/>
      <c r="AE266" s="59" t="str">
        <f aca="false">IF(G266&lt;&gt;"",HYPERLINK("https://www.tradingview.com/chart/?symbol="&amp;G266&amp;"&amp;interval=60&amp;from="&amp;(AG266-10*3600)&amp;"&amp;to="&amp;(AG266+50*3600),"📈 1H"),"")</f>
        <v/>
      </c>
      <c r="AF266" s="60" t="str">
        <f aca="false">IF(G266&lt;&gt;"",HYPERLINK("https://www.tradingview.com/chart/?symbol="&amp;G266&amp;"&amp;interval=240&amp;from="&amp;(AG266-10*14400)&amp;"&amp;to="&amp;(AG266+50*14400),"📈 4H"),"")</f>
        <v/>
      </c>
      <c r="AG266" s="36" t="str">
        <f aca="false">IF(C266&lt;&gt;"",INT((C266+IF(D266&lt;&gt;"",D266,0)-DATE(1970,1,1))*86400),"")</f>
        <v/>
      </c>
    </row>
    <row r="267" customFormat="false" ht="19.5" hidden="false" customHeight="true" outlineLevel="0" collapsed="false">
      <c r="A267" s="12" t="n">
        <f aca="false">ROW()-4</f>
        <v>263</v>
      </c>
      <c r="B267" s="13"/>
      <c r="C267" s="14"/>
      <c r="D267" s="15"/>
      <c r="E267" s="14"/>
      <c r="F267" s="15"/>
      <c r="G267" s="16"/>
      <c r="H267" s="17"/>
      <c r="I267" s="18"/>
      <c r="J267" s="19"/>
      <c r="K267" s="14"/>
      <c r="L267" s="17"/>
      <c r="M267" s="19"/>
      <c r="N267" s="20"/>
      <c r="O267" s="19"/>
      <c r="P267" s="21"/>
      <c r="Q267" s="22" t="str">
        <f aca="false">IF(L267="","",IF(M267&lt;&gt;"",M267*L267*100,IF(AND(O267&lt;&gt;"",B267&lt;&gt;""),IFERROR(AVERAGEIF($B$5:$B$1004,B267,$M$5:$M$1004)*L267*100,""),"")))</f>
        <v/>
      </c>
      <c r="R267" s="22" t="str">
        <f aca="false">IF(AND(O267&lt;&gt;"",L267&lt;&gt;""),O267*L267*100,"")</f>
        <v/>
      </c>
      <c r="S267" s="23" t="str">
        <f aca="false">IF(AND(P267&lt;&gt;"",L267&lt;&gt;""),P267*L267*100,"")</f>
        <v/>
      </c>
      <c r="T267" s="24" t="str">
        <f aca="false">IF(AND(Q267&lt;&gt;"",R267&lt;&gt;""),R267-Q267,"")</f>
        <v/>
      </c>
      <c r="U267" s="25" t="str">
        <f aca="false">IF(AND(Q267&lt;&gt;"",Q267&lt;&gt;0,T267&lt;&gt;""),T267/Q267,"")</f>
        <v/>
      </c>
      <c r="V267" s="26" t="str">
        <f aca="false">IF(AND(S267&lt;&gt;"",Q267&lt;&gt;""),S267-Q267,"")</f>
        <v/>
      </c>
      <c r="W267" s="27" t="str">
        <f aca="false">IF(AND(Q267&lt;&gt;"",Q267&lt;&gt;0,V267&lt;&gt;""),V267/Q267,"")</f>
        <v/>
      </c>
      <c r="X267" s="28" t="s">
        <v>37</v>
      </c>
      <c r="Y267" s="29" t="str">
        <f aca="false">IF(AND(O267&lt;&gt;"",M267&lt;&gt;"",O267&gt;M267),CONCATENATE("1 : ",TEXT((O267-M267)/M267,"0.00")),IF(AND(O267&lt;&gt;"",M267&lt;&gt;"",O267&lt;M267),CONCATENATE("-1 : ",TEXT((M267-O267)/M267,"0.00")),"—"))</f>
        <v>—</v>
      </c>
      <c r="Z267" s="30" t="str">
        <f aca="false">IF(AND(P267&lt;&gt;"",M267&lt;&gt;"",P267&gt;M267),CONCATENATE("1 : ",TEXT((P267-M267)/M267,"0.00")),"—")</f>
        <v>—</v>
      </c>
      <c r="AA267" s="31" t="str">
        <f aca="false">IF(AND(C267&lt;&gt;"",E267&lt;&gt;""),E267-C267,"")</f>
        <v/>
      </c>
      <c r="AB267" s="17"/>
      <c r="AC267" s="32"/>
      <c r="AD267" s="33"/>
      <c r="AE267" s="34" t="str">
        <f aca="false">IF(G267&lt;&gt;"",HYPERLINK("https://www.tradingview.com/chart/?symbol="&amp;G267&amp;"&amp;interval=60&amp;from="&amp;(AG267-10*3600)&amp;"&amp;to="&amp;(AG267+50*3600),"📈 1H"),"")</f>
        <v/>
      </c>
      <c r="AF267" s="35" t="str">
        <f aca="false">IF(G267&lt;&gt;"",HYPERLINK("https://www.tradingview.com/chart/?symbol="&amp;G267&amp;"&amp;interval=240&amp;from="&amp;(AG267-10*14400)&amp;"&amp;to="&amp;(AG267+50*14400),"📈 4H"),"")</f>
        <v/>
      </c>
      <c r="AG267" s="36" t="str">
        <f aca="false">IF(C267&lt;&gt;"",INT((C267+IF(D267&lt;&gt;"",D267,0)-DATE(1970,1,1))*86400),"")</f>
        <v/>
      </c>
    </row>
    <row r="268" customFormat="false" ht="19.5" hidden="false" customHeight="true" outlineLevel="0" collapsed="false">
      <c r="A268" s="37" t="n">
        <f aca="false">ROW()-4</f>
        <v>264</v>
      </c>
      <c r="B268" s="38"/>
      <c r="C268" s="39"/>
      <c r="D268" s="40"/>
      <c r="E268" s="39"/>
      <c r="F268" s="40"/>
      <c r="G268" s="41"/>
      <c r="H268" s="42"/>
      <c r="I268" s="43"/>
      <c r="J268" s="44"/>
      <c r="K268" s="39"/>
      <c r="L268" s="42"/>
      <c r="M268" s="44"/>
      <c r="N268" s="45"/>
      <c r="O268" s="44"/>
      <c r="P268" s="46"/>
      <c r="Q268" s="47" t="str">
        <f aca="false">IF(L268="","",IF(M268&lt;&gt;"",M268*L268*100,IF(AND(O268&lt;&gt;"",B268&lt;&gt;""),IFERROR(AVERAGEIF($B$5:$B$1004,B268,$M$5:$M$1004)*L268*100,""),"")))</f>
        <v/>
      </c>
      <c r="R268" s="47" t="str">
        <f aca="false">IF(AND(O268&lt;&gt;"",L268&lt;&gt;""),O268*L268*100,"")</f>
        <v/>
      </c>
      <c r="S268" s="48" t="str">
        <f aca="false">IF(AND(P268&lt;&gt;"",L268&lt;&gt;""),P268*L268*100,"")</f>
        <v/>
      </c>
      <c r="T268" s="49" t="str">
        <f aca="false">IF(AND(Q268&lt;&gt;"",R268&lt;&gt;""),R268-Q268,"")</f>
        <v/>
      </c>
      <c r="U268" s="50" t="str">
        <f aca="false">IF(AND(Q268&lt;&gt;"",Q268&lt;&gt;0,T268&lt;&gt;""),T268/Q268,"")</f>
        <v/>
      </c>
      <c r="V268" s="51" t="str">
        <f aca="false">IF(AND(S268&lt;&gt;"",Q268&lt;&gt;""),S268-Q268,"")</f>
        <v/>
      </c>
      <c r="W268" s="52" t="str">
        <f aca="false">IF(AND(Q268&lt;&gt;"",Q268&lt;&gt;0,V268&lt;&gt;""),V268/Q268,"")</f>
        <v/>
      </c>
      <c r="X268" s="53" t="s">
        <v>37</v>
      </c>
      <c r="Y268" s="54" t="str">
        <f aca="false">IF(AND(O268&lt;&gt;"",M268&lt;&gt;"",O268&gt;M268),CONCATENATE("1 : ",TEXT((O268-M268)/M268,"0.00")),IF(AND(O268&lt;&gt;"",M268&lt;&gt;"",O268&lt;M268),CONCATENATE("-1 : ",TEXT((M268-O268)/M268,"0.00")),"—"))</f>
        <v>—</v>
      </c>
      <c r="Z268" s="55" t="str">
        <f aca="false">IF(AND(P268&lt;&gt;"",M268&lt;&gt;"",P268&gt;M268),CONCATENATE("1 : ",TEXT((P268-M268)/M268,"0.00")),"—")</f>
        <v>—</v>
      </c>
      <c r="AA268" s="56" t="str">
        <f aca="false">IF(AND(C268&lt;&gt;"",E268&lt;&gt;""),E268-C268,"")</f>
        <v/>
      </c>
      <c r="AB268" s="42"/>
      <c r="AC268" s="57"/>
      <c r="AD268" s="58"/>
      <c r="AE268" s="59" t="str">
        <f aca="false">IF(G268&lt;&gt;"",HYPERLINK("https://www.tradingview.com/chart/?symbol="&amp;G268&amp;"&amp;interval=60&amp;from="&amp;(AG268-10*3600)&amp;"&amp;to="&amp;(AG268+50*3600),"📈 1H"),"")</f>
        <v/>
      </c>
      <c r="AF268" s="60" t="str">
        <f aca="false">IF(G268&lt;&gt;"",HYPERLINK("https://www.tradingview.com/chart/?symbol="&amp;G268&amp;"&amp;interval=240&amp;from="&amp;(AG268-10*14400)&amp;"&amp;to="&amp;(AG268+50*14400),"📈 4H"),"")</f>
        <v/>
      </c>
      <c r="AG268" s="36" t="str">
        <f aca="false">IF(C268&lt;&gt;"",INT((C268+IF(D268&lt;&gt;"",D268,0)-DATE(1970,1,1))*86400),"")</f>
        <v/>
      </c>
    </row>
    <row r="269" customFormat="false" ht="19.5" hidden="false" customHeight="true" outlineLevel="0" collapsed="false">
      <c r="A269" s="12" t="n">
        <f aca="false">ROW()-4</f>
        <v>265</v>
      </c>
      <c r="B269" s="13"/>
      <c r="C269" s="14"/>
      <c r="D269" s="15"/>
      <c r="E269" s="14"/>
      <c r="F269" s="15"/>
      <c r="G269" s="16"/>
      <c r="H269" s="17"/>
      <c r="I269" s="18"/>
      <c r="J269" s="19"/>
      <c r="K269" s="14"/>
      <c r="L269" s="17"/>
      <c r="M269" s="19"/>
      <c r="N269" s="20"/>
      <c r="O269" s="19"/>
      <c r="P269" s="21"/>
      <c r="Q269" s="22" t="str">
        <f aca="false">IF(L269="","",IF(M269&lt;&gt;"",M269*L269*100,IF(AND(O269&lt;&gt;"",B269&lt;&gt;""),IFERROR(AVERAGEIF($B$5:$B$1004,B269,$M$5:$M$1004)*L269*100,""),"")))</f>
        <v/>
      </c>
      <c r="R269" s="22" t="str">
        <f aca="false">IF(AND(O269&lt;&gt;"",L269&lt;&gt;""),O269*L269*100,"")</f>
        <v/>
      </c>
      <c r="S269" s="23" t="str">
        <f aca="false">IF(AND(P269&lt;&gt;"",L269&lt;&gt;""),P269*L269*100,"")</f>
        <v/>
      </c>
      <c r="T269" s="24" t="str">
        <f aca="false">IF(AND(Q269&lt;&gt;"",R269&lt;&gt;""),R269-Q269,"")</f>
        <v/>
      </c>
      <c r="U269" s="25" t="str">
        <f aca="false">IF(AND(Q269&lt;&gt;"",Q269&lt;&gt;0,T269&lt;&gt;""),T269/Q269,"")</f>
        <v/>
      </c>
      <c r="V269" s="26" t="str">
        <f aca="false">IF(AND(S269&lt;&gt;"",Q269&lt;&gt;""),S269-Q269,"")</f>
        <v/>
      </c>
      <c r="W269" s="27" t="str">
        <f aca="false">IF(AND(Q269&lt;&gt;"",Q269&lt;&gt;0,V269&lt;&gt;""),V269/Q269,"")</f>
        <v/>
      </c>
      <c r="X269" s="28" t="s">
        <v>37</v>
      </c>
      <c r="Y269" s="29" t="str">
        <f aca="false">IF(AND(O269&lt;&gt;"",M269&lt;&gt;"",O269&gt;M269),CONCATENATE("1 : ",TEXT((O269-M269)/M269,"0.00")),IF(AND(O269&lt;&gt;"",M269&lt;&gt;"",O269&lt;M269),CONCATENATE("-1 : ",TEXT((M269-O269)/M269,"0.00")),"—"))</f>
        <v>—</v>
      </c>
      <c r="Z269" s="30" t="str">
        <f aca="false">IF(AND(P269&lt;&gt;"",M269&lt;&gt;"",P269&gt;M269),CONCATENATE("1 : ",TEXT((P269-M269)/M269,"0.00")),"—")</f>
        <v>—</v>
      </c>
      <c r="AA269" s="31" t="str">
        <f aca="false">IF(AND(C269&lt;&gt;"",E269&lt;&gt;""),E269-C269,"")</f>
        <v/>
      </c>
      <c r="AB269" s="17"/>
      <c r="AC269" s="32"/>
      <c r="AD269" s="33"/>
      <c r="AE269" s="34" t="str">
        <f aca="false">IF(G269&lt;&gt;"",HYPERLINK("https://www.tradingview.com/chart/?symbol="&amp;G269&amp;"&amp;interval=60&amp;from="&amp;(AG269-10*3600)&amp;"&amp;to="&amp;(AG269+50*3600),"📈 1H"),"")</f>
        <v/>
      </c>
      <c r="AF269" s="35" t="str">
        <f aca="false">IF(G269&lt;&gt;"",HYPERLINK("https://www.tradingview.com/chart/?symbol="&amp;G269&amp;"&amp;interval=240&amp;from="&amp;(AG269-10*14400)&amp;"&amp;to="&amp;(AG269+50*14400),"📈 4H"),"")</f>
        <v/>
      </c>
      <c r="AG269" s="36" t="str">
        <f aca="false">IF(C269&lt;&gt;"",INT((C269+IF(D269&lt;&gt;"",D269,0)-DATE(1970,1,1))*86400),"")</f>
        <v/>
      </c>
    </row>
    <row r="270" customFormat="false" ht="19.5" hidden="false" customHeight="true" outlineLevel="0" collapsed="false">
      <c r="A270" s="37" t="n">
        <f aca="false">ROW()-4</f>
        <v>266</v>
      </c>
      <c r="B270" s="38"/>
      <c r="C270" s="39"/>
      <c r="D270" s="40"/>
      <c r="E270" s="39"/>
      <c r="F270" s="40"/>
      <c r="G270" s="41"/>
      <c r="H270" s="42"/>
      <c r="I270" s="43"/>
      <c r="J270" s="44"/>
      <c r="K270" s="39"/>
      <c r="L270" s="42"/>
      <c r="M270" s="44"/>
      <c r="N270" s="45"/>
      <c r="O270" s="44"/>
      <c r="P270" s="46"/>
      <c r="Q270" s="47" t="str">
        <f aca="false">IF(L270="","",IF(M270&lt;&gt;"",M270*L270*100,IF(AND(O270&lt;&gt;"",B270&lt;&gt;""),IFERROR(AVERAGEIF($B$5:$B$1004,B270,$M$5:$M$1004)*L270*100,""),"")))</f>
        <v/>
      </c>
      <c r="R270" s="47" t="str">
        <f aca="false">IF(AND(O270&lt;&gt;"",L270&lt;&gt;""),O270*L270*100,"")</f>
        <v/>
      </c>
      <c r="S270" s="48" t="str">
        <f aca="false">IF(AND(P270&lt;&gt;"",L270&lt;&gt;""),P270*L270*100,"")</f>
        <v/>
      </c>
      <c r="T270" s="49" t="str">
        <f aca="false">IF(AND(Q270&lt;&gt;"",R270&lt;&gt;""),R270-Q270,"")</f>
        <v/>
      </c>
      <c r="U270" s="50" t="str">
        <f aca="false">IF(AND(Q270&lt;&gt;"",Q270&lt;&gt;0,T270&lt;&gt;""),T270/Q270,"")</f>
        <v/>
      </c>
      <c r="V270" s="51" t="str">
        <f aca="false">IF(AND(S270&lt;&gt;"",Q270&lt;&gt;""),S270-Q270,"")</f>
        <v/>
      </c>
      <c r="W270" s="52" t="str">
        <f aca="false">IF(AND(Q270&lt;&gt;"",Q270&lt;&gt;0,V270&lt;&gt;""),V270/Q270,"")</f>
        <v/>
      </c>
      <c r="X270" s="53" t="s">
        <v>37</v>
      </c>
      <c r="Y270" s="54" t="str">
        <f aca="false">IF(AND(O270&lt;&gt;"",M270&lt;&gt;"",O270&gt;M270),CONCATENATE("1 : ",TEXT((O270-M270)/M270,"0.00")),IF(AND(O270&lt;&gt;"",M270&lt;&gt;"",O270&lt;M270),CONCATENATE("-1 : ",TEXT((M270-O270)/M270,"0.00")),"—"))</f>
        <v>—</v>
      </c>
      <c r="Z270" s="55" t="str">
        <f aca="false">IF(AND(P270&lt;&gt;"",M270&lt;&gt;"",P270&gt;M270),CONCATENATE("1 : ",TEXT((P270-M270)/M270,"0.00")),"—")</f>
        <v>—</v>
      </c>
      <c r="AA270" s="56" t="str">
        <f aca="false">IF(AND(C270&lt;&gt;"",E270&lt;&gt;""),E270-C270,"")</f>
        <v/>
      </c>
      <c r="AB270" s="42"/>
      <c r="AC270" s="57"/>
      <c r="AD270" s="58"/>
      <c r="AE270" s="59" t="str">
        <f aca="false">IF(G270&lt;&gt;"",HYPERLINK("https://www.tradingview.com/chart/?symbol="&amp;G270&amp;"&amp;interval=60&amp;from="&amp;(AG270-10*3600)&amp;"&amp;to="&amp;(AG270+50*3600),"📈 1H"),"")</f>
        <v/>
      </c>
      <c r="AF270" s="60" t="str">
        <f aca="false">IF(G270&lt;&gt;"",HYPERLINK("https://www.tradingview.com/chart/?symbol="&amp;G270&amp;"&amp;interval=240&amp;from="&amp;(AG270-10*14400)&amp;"&amp;to="&amp;(AG270+50*14400),"📈 4H"),"")</f>
        <v/>
      </c>
      <c r="AG270" s="36" t="str">
        <f aca="false">IF(C270&lt;&gt;"",INT((C270+IF(D270&lt;&gt;"",D270,0)-DATE(1970,1,1))*86400),"")</f>
        <v/>
      </c>
    </row>
    <row r="271" customFormat="false" ht="19.5" hidden="false" customHeight="true" outlineLevel="0" collapsed="false">
      <c r="A271" s="12" t="n">
        <f aca="false">ROW()-4</f>
        <v>267</v>
      </c>
      <c r="B271" s="13"/>
      <c r="C271" s="14"/>
      <c r="D271" s="15"/>
      <c r="E271" s="14"/>
      <c r="F271" s="15"/>
      <c r="G271" s="16"/>
      <c r="H271" s="17"/>
      <c r="I271" s="18"/>
      <c r="J271" s="19"/>
      <c r="K271" s="14"/>
      <c r="L271" s="17"/>
      <c r="M271" s="19"/>
      <c r="N271" s="20"/>
      <c r="O271" s="19"/>
      <c r="P271" s="21"/>
      <c r="Q271" s="22" t="str">
        <f aca="false">IF(L271="","",IF(M271&lt;&gt;"",M271*L271*100,IF(AND(O271&lt;&gt;"",B271&lt;&gt;""),IFERROR(AVERAGEIF($B$5:$B$1004,B271,$M$5:$M$1004)*L271*100,""),"")))</f>
        <v/>
      </c>
      <c r="R271" s="22" t="str">
        <f aca="false">IF(AND(O271&lt;&gt;"",L271&lt;&gt;""),O271*L271*100,"")</f>
        <v/>
      </c>
      <c r="S271" s="23" t="str">
        <f aca="false">IF(AND(P271&lt;&gt;"",L271&lt;&gt;""),P271*L271*100,"")</f>
        <v/>
      </c>
      <c r="T271" s="24" t="str">
        <f aca="false">IF(AND(Q271&lt;&gt;"",R271&lt;&gt;""),R271-Q271,"")</f>
        <v/>
      </c>
      <c r="U271" s="25" t="str">
        <f aca="false">IF(AND(Q271&lt;&gt;"",Q271&lt;&gt;0,T271&lt;&gt;""),T271/Q271,"")</f>
        <v/>
      </c>
      <c r="V271" s="26" t="str">
        <f aca="false">IF(AND(S271&lt;&gt;"",Q271&lt;&gt;""),S271-Q271,"")</f>
        <v/>
      </c>
      <c r="W271" s="27" t="str">
        <f aca="false">IF(AND(Q271&lt;&gt;"",Q271&lt;&gt;0,V271&lt;&gt;""),V271/Q271,"")</f>
        <v/>
      </c>
      <c r="X271" s="28" t="s">
        <v>37</v>
      </c>
      <c r="Y271" s="29" t="str">
        <f aca="false">IF(AND(O271&lt;&gt;"",M271&lt;&gt;"",O271&gt;M271),CONCATENATE("1 : ",TEXT((O271-M271)/M271,"0.00")),IF(AND(O271&lt;&gt;"",M271&lt;&gt;"",O271&lt;M271),CONCATENATE("-1 : ",TEXT((M271-O271)/M271,"0.00")),"—"))</f>
        <v>—</v>
      </c>
      <c r="Z271" s="30" t="str">
        <f aca="false">IF(AND(P271&lt;&gt;"",M271&lt;&gt;"",P271&gt;M271),CONCATENATE("1 : ",TEXT((P271-M271)/M271,"0.00")),"—")</f>
        <v>—</v>
      </c>
      <c r="AA271" s="31" t="str">
        <f aca="false">IF(AND(C271&lt;&gt;"",E271&lt;&gt;""),E271-C271,"")</f>
        <v/>
      </c>
      <c r="AB271" s="17"/>
      <c r="AC271" s="32"/>
      <c r="AD271" s="33"/>
      <c r="AE271" s="34" t="str">
        <f aca="false">IF(G271&lt;&gt;"",HYPERLINK("https://www.tradingview.com/chart/?symbol="&amp;G271&amp;"&amp;interval=60&amp;from="&amp;(AG271-10*3600)&amp;"&amp;to="&amp;(AG271+50*3600),"📈 1H"),"")</f>
        <v/>
      </c>
      <c r="AF271" s="35" t="str">
        <f aca="false">IF(G271&lt;&gt;"",HYPERLINK("https://www.tradingview.com/chart/?symbol="&amp;G271&amp;"&amp;interval=240&amp;from="&amp;(AG271-10*14400)&amp;"&amp;to="&amp;(AG271+50*14400),"📈 4H"),"")</f>
        <v/>
      </c>
      <c r="AG271" s="36" t="str">
        <f aca="false">IF(C271&lt;&gt;"",INT((C271+IF(D271&lt;&gt;"",D271,0)-DATE(1970,1,1))*86400),"")</f>
        <v/>
      </c>
    </row>
    <row r="272" customFormat="false" ht="19.5" hidden="false" customHeight="true" outlineLevel="0" collapsed="false">
      <c r="A272" s="37" t="n">
        <f aca="false">ROW()-4</f>
        <v>268</v>
      </c>
      <c r="B272" s="38"/>
      <c r="C272" s="39"/>
      <c r="D272" s="40"/>
      <c r="E272" s="39"/>
      <c r="F272" s="40"/>
      <c r="G272" s="41"/>
      <c r="H272" s="42"/>
      <c r="I272" s="43"/>
      <c r="J272" s="44"/>
      <c r="K272" s="39"/>
      <c r="L272" s="42"/>
      <c r="M272" s="44"/>
      <c r="N272" s="45"/>
      <c r="O272" s="44"/>
      <c r="P272" s="46"/>
      <c r="Q272" s="47" t="str">
        <f aca="false">IF(L272="","",IF(M272&lt;&gt;"",M272*L272*100,IF(AND(O272&lt;&gt;"",B272&lt;&gt;""),IFERROR(AVERAGEIF($B$5:$B$1004,B272,$M$5:$M$1004)*L272*100,""),"")))</f>
        <v/>
      </c>
      <c r="R272" s="47" t="str">
        <f aca="false">IF(AND(O272&lt;&gt;"",L272&lt;&gt;""),O272*L272*100,"")</f>
        <v/>
      </c>
      <c r="S272" s="48" t="str">
        <f aca="false">IF(AND(P272&lt;&gt;"",L272&lt;&gt;""),P272*L272*100,"")</f>
        <v/>
      </c>
      <c r="T272" s="49" t="str">
        <f aca="false">IF(AND(Q272&lt;&gt;"",R272&lt;&gt;""),R272-Q272,"")</f>
        <v/>
      </c>
      <c r="U272" s="50" t="str">
        <f aca="false">IF(AND(Q272&lt;&gt;"",Q272&lt;&gt;0,T272&lt;&gt;""),T272/Q272,"")</f>
        <v/>
      </c>
      <c r="V272" s="51" t="str">
        <f aca="false">IF(AND(S272&lt;&gt;"",Q272&lt;&gt;""),S272-Q272,"")</f>
        <v/>
      </c>
      <c r="W272" s="52" t="str">
        <f aca="false">IF(AND(Q272&lt;&gt;"",Q272&lt;&gt;0,V272&lt;&gt;""),V272/Q272,"")</f>
        <v/>
      </c>
      <c r="X272" s="53" t="s">
        <v>37</v>
      </c>
      <c r="Y272" s="54" t="str">
        <f aca="false">IF(AND(O272&lt;&gt;"",M272&lt;&gt;"",O272&gt;M272),CONCATENATE("1 : ",TEXT((O272-M272)/M272,"0.00")),IF(AND(O272&lt;&gt;"",M272&lt;&gt;"",O272&lt;M272),CONCATENATE("-1 : ",TEXT((M272-O272)/M272,"0.00")),"—"))</f>
        <v>—</v>
      </c>
      <c r="Z272" s="55" t="str">
        <f aca="false">IF(AND(P272&lt;&gt;"",M272&lt;&gt;"",P272&gt;M272),CONCATENATE("1 : ",TEXT((P272-M272)/M272,"0.00")),"—")</f>
        <v>—</v>
      </c>
      <c r="AA272" s="56" t="str">
        <f aca="false">IF(AND(C272&lt;&gt;"",E272&lt;&gt;""),E272-C272,"")</f>
        <v/>
      </c>
      <c r="AB272" s="42"/>
      <c r="AC272" s="57"/>
      <c r="AD272" s="58"/>
      <c r="AE272" s="59" t="str">
        <f aca="false">IF(G272&lt;&gt;"",HYPERLINK("https://www.tradingview.com/chart/?symbol="&amp;G272&amp;"&amp;interval=60&amp;from="&amp;(AG272-10*3600)&amp;"&amp;to="&amp;(AG272+50*3600),"📈 1H"),"")</f>
        <v/>
      </c>
      <c r="AF272" s="60" t="str">
        <f aca="false">IF(G272&lt;&gt;"",HYPERLINK("https://www.tradingview.com/chart/?symbol="&amp;G272&amp;"&amp;interval=240&amp;from="&amp;(AG272-10*14400)&amp;"&amp;to="&amp;(AG272+50*14400),"📈 4H"),"")</f>
        <v/>
      </c>
      <c r="AG272" s="36" t="str">
        <f aca="false">IF(C272&lt;&gt;"",INT((C272+IF(D272&lt;&gt;"",D272,0)-DATE(1970,1,1))*86400),"")</f>
        <v/>
      </c>
    </row>
    <row r="273" customFormat="false" ht="19.5" hidden="false" customHeight="true" outlineLevel="0" collapsed="false">
      <c r="A273" s="12" t="n">
        <f aca="false">ROW()-4</f>
        <v>269</v>
      </c>
      <c r="B273" s="13"/>
      <c r="C273" s="14"/>
      <c r="D273" s="15"/>
      <c r="E273" s="14"/>
      <c r="F273" s="15"/>
      <c r="G273" s="16"/>
      <c r="H273" s="17"/>
      <c r="I273" s="18"/>
      <c r="J273" s="19"/>
      <c r="K273" s="14"/>
      <c r="L273" s="17"/>
      <c r="M273" s="19"/>
      <c r="N273" s="20"/>
      <c r="O273" s="19"/>
      <c r="P273" s="21"/>
      <c r="Q273" s="22" t="str">
        <f aca="false">IF(L273="","",IF(M273&lt;&gt;"",M273*L273*100,IF(AND(O273&lt;&gt;"",B273&lt;&gt;""),IFERROR(AVERAGEIF($B$5:$B$1004,B273,$M$5:$M$1004)*L273*100,""),"")))</f>
        <v/>
      </c>
      <c r="R273" s="22" t="str">
        <f aca="false">IF(AND(O273&lt;&gt;"",L273&lt;&gt;""),O273*L273*100,"")</f>
        <v/>
      </c>
      <c r="S273" s="23" t="str">
        <f aca="false">IF(AND(P273&lt;&gt;"",L273&lt;&gt;""),P273*L273*100,"")</f>
        <v/>
      </c>
      <c r="T273" s="24" t="str">
        <f aca="false">IF(AND(Q273&lt;&gt;"",R273&lt;&gt;""),R273-Q273,"")</f>
        <v/>
      </c>
      <c r="U273" s="25" t="str">
        <f aca="false">IF(AND(Q273&lt;&gt;"",Q273&lt;&gt;0,T273&lt;&gt;""),T273/Q273,"")</f>
        <v/>
      </c>
      <c r="V273" s="26" t="str">
        <f aca="false">IF(AND(S273&lt;&gt;"",Q273&lt;&gt;""),S273-Q273,"")</f>
        <v/>
      </c>
      <c r="W273" s="27" t="str">
        <f aca="false">IF(AND(Q273&lt;&gt;"",Q273&lt;&gt;0,V273&lt;&gt;""),V273/Q273,"")</f>
        <v/>
      </c>
      <c r="X273" s="28" t="s">
        <v>37</v>
      </c>
      <c r="Y273" s="29" t="str">
        <f aca="false">IF(AND(O273&lt;&gt;"",M273&lt;&gt;"",O273&gt;M273),CONCATENATE("1 : ",TEXT((O273-M273)/M273,"0.00")),IF(AND(O273&lt;&gt;"",M273&lt;&gt;"",O273&lt;M273),CONCATENATE("-1 : ",TEXT((M273-O273)/M273,"0.00")),"—"))</f>
        <v>—</v>
      </c>
      <c r="Z273" s="30" t="str">
        <f aca="false">IF(AND(P273&lt;&gt;"",M273&lt;&gt;"",P273&gt;M273),CONCATENATE("1 : ",TEXT((P273-M273)/M273,"0.00")),"—")</f>
        <v>—</v>
      </c>
      <c r="AA273" s="31" t="str">
        <f aca="false">IF(AND(C273&lt;&gt;"",E273&lt;&gt;""),E273-C273,"")</f>
        <v/>
      </c>
      <c r="AB273" s="17"/>
      <c r="AC273" s="32"/>
      <c r="AD273" s="33"/>
      <c r="AE273" s="34" t="str">
        <f aca="false">IF(G273&lt;&gt;"",HYPERLINK("https://www.tradingview.com/chart/?symbol="&amp;G273&amp;"&amp;interval=60&amp;from="&amp;(AG273-10*3600)&amp;"&amp;to="&amp;(AG273+50*3600),"📈 1H"),"")</f>
        <v/>
      </c>
      <c r="AF273" s="35" t="str">
        <f aca="false">IF(G273&lt;&gt;"",HYPERLINK("https://www.tradingview.com/chart/?symbol="&amp;G273&amp;"&amp;interval=240&amp;from="&amp;(AG273-10*14400)&amp;"&amp;to="&amp;(AG273+50*14400),"📈 4H"),"")</f>
        <v/>
      </c>
      <c r="AG273" s="36" t="str">
        <f aca="false">IF(C273&lt;&gt;"",INT((C273+IF(D273&lt;&gt;"",D273,0)-DATE(1970,1,1))*86400),"")</f>
        <v/>
      </c>
    </row>
    <row r="274" customFormat="false" ht="19.5" hidden="false" customHeight="true" outlineLevel="0" collapsed="false">
      <c r="A274" s="37" t="n">
        <f aca="false">ROW()-4</f>
        <v>270</v>
      </c>
      <c r="B274" s="38"/>
      <c r="C274" s="39"/>
      <c r="D274" s="40"/>
      <c r="E274" s="39"/>
      <c r="F274" s="40"/>
      <c r="G274" s="41"/>
      <c r="H274" s="42"/>
      <c r="I274" s="43"/>
      <c r="J274" s="44"/>
      <c r="K274" s="39"/>
      <c r="L274" s="42"/>
      <c r="M274" s="44"/>
      <c r="N274" s="45"/>
      <c r="O274" s="44"/>
      <c r="P274" s="46"/>
      <c r="Q274" s="47" t="str">
        <f aca="false">IF(L274="","",IF(M274&lt;&gt;"",M274*L274*100,IF(AND(O274&lt;&gt;"",B274&lt;&gt;""),IFERROR(AVERAGEIF($B$5:$B$1004,B274,$M$5:$M$1004)*L274*100,""),"")))</f>
        <v/>
      </c>
      <c r="R274" s="47" t="str">
        <f aca="false">IF(AND(O274&lt;&gt;"",L274&lt;&gt;""),O274*L274*100,"")</f>
        <v/>
      </c>
      <c r="S274" s="48" t="str">
        <f aca="false">IF(AND(P274&lt;&gt;"",L274&lt;&gt;""),P274*L274*100,"")</f>
        <v/>
      </c>
      <c r="T274" s="49" t="str">
        <f aca="false">IF(AND(Q274&lt;&gt;"",R274&lt;&gt;""),R274-Q274,"")</f>
        <v/>
      </c>
      <c r="U274" s="50" t="str">
        <f aca="false">IF(AND(Q274&lt;&gt;"",Q274&lt;&gt;0,T274&lt;&gt;""),T274/Q274,"")</f>
        <v/>
      </c>
      <c r="V274" s="51" t="str">
        <f aca="false">IF(AND(S274&lt;&gt;"",Q274&lt;&gt;""),S274-Q274,"")</f>
        <v/>
      </c>
      <c r="W274" s="52" t="str">
        <f aca="false">IF(AND(Q274&lt;&gt;"",Q274&lt;&gt;0,V274&lt;&gt;""),V274/Q274,"")</f>
        <v/>
      </c>
      <c r="X274" s="53" t="s">
        <v>37</v>
      </c>
      <c r="Y274" s="54" t="str">
        <f aca="false">IF(AND(O274&lt;&gt;"",M274&lt;&gt;"",O274&gt;M274),CONCATENATE("1 : ",TEXT((O274-M274)/M274,"0.00")),IF(AND(O274&lt;&gt;"",M274&lt;&gt;"",O274&lt;M274),CONCATENATE("-1 : ",TEXT((M274-O274)/M274,"0.00")),"—"))</f>
        <v>—</v>
      </c>
      <c r="Z274" s="55" t="str">
        <f aca="false">IF(AND(P274&lt;&gt;"",M274&lt;&gt;"",P274&gt;M274),CONCATENATE("1 : ",TEXT((P274-M274)/M274,"0.00")),"—")</f>
        <v>—</v>
      </c>
      <c r="AA274" s="56" t="str">
        <f aca="false">IF(AND(C274&lt;&gt;"",E274&lt;&gt;""),E274-C274,"")</f>
        <v/>
      </c>
      <c r="AB274" s="42"/>
      <c r="AC274" s="57"/>
      <c r="AD274" s="58"/>
      <c r="AE274" s="59" t="str">
        <f aca="false">IF(G274&lt;&gt;"",HYPERLINK("https://www.tradingview.com/chart/?symbol="&amp;G274&amp;"&amp;interval=60&amp;from="&amp;(AG274-10*3600)&amp;"&amp;to="&amp;(AG274+50*3600),"📈 1H"),"")</f>
        <v/>
      </c>
      <c r="AF274" s="60" t="str">
        <f aca="false">IF(G274&lt;&gt;"",HYPERLINK("https://www.tradingview.com/chart/?symbol="&amp;G274&amp;"&amp;interval=240&amp;from="&amp;(AG274-10*14400)&amp;"&amp;to="&amp;(AG274+50*14400),"📈 4H"),"")</f>
        <v/>
      </c>
      <c r="AG274" s="36" t="str">
        <f aca="false">IF(C274&lt;&gt;"",INT((C274+IF(D274&lt;&gt;"",D274,0)-DATE(1970,1,1))*86400),"")</f>
        <v/>
      </c>
    </row>
    <row r="275" customFormat="false" ht="19.5" hidden="false" customHeight="true" outlineLevel="0" collapsed="false">
      <c r="A275" s="12" t="n">
        <f aca="false">ROW()-4</f>
        <v>271</v>
      </c>
      <c r="B275" s="13"/>
      <c r="C275" s="14"/>
      <c r="D275" s="15"/>
      <c r="E275" s="14"/>
      <c r="F275" s="15"/>
      <c r="G275" s="16"/>
      <c r="H275" s="17"/>
      <c r="I275" s="18"/>
      <c r="J275" s="19"/>
      <c r="K275" s="14"/>
      <c r="L275" s="17"/>
      <c r="M275" s="19"/>
      <c r="N275" s="20"/>
      <c r="O275" s="19"/>
      <c r="P275" s="21"/>
      <c r="Q275" s="22" t="str">
        <f aca="false">IF(L275="","",IF(M275&lt;&gt;"",M275*L275*100,IF(AND(O275&lt;&gt;"",B275&lt;&gt;""),IFERROR(AVERAGEIF($B$5:$B$1004,B275,$M$5:$M$1004)*L275*100,""),"")))</f>
        <v/>
      </c>
      <c r="R275" s="22" t="str">
        <f aca="false">IF(AND(O275&lt;&gt;"",L275&lt;&gt;""),O275*L275*100,"")</f>
        <v/>
      </c>
      <c r="S275" s="23" t="str">
        <f aca="false">IF(AND(P275&lt;&gt;"",L275&lt;&gt;""),P275*L275*100,"")</f>
        <v/>
      </c>
      <c r="T275" s="24" t="str">
        <f aca="false">IF(AND(Q275&lt;&gt;"",R275&lt;&gt;""),R275-Q275,"")</f>
        <v/>
      </c>
      <c r="U275" s="25" t="str">
        <f aca="false">IF(AND(Q275&lt;&gt;"",Q275&lt;&gt;0,T275&lt;&gt;""),T275/Q275,"")</f>
        <v/>
      </c>
      <c r="V275" s="26" t="str">
        <f aca="false">IF(AND(S275&lt;&gt;"",Q275&lt;&gt;""),S275-Q275,"")</f>
        <v/>
      </c>
      <c r="W275" s="27" t="str">
        <f aca="false">IF(AND(Q275&lt;&gt;"",Q275&lt;&gt;0,V275&lt;&gt;""),V275/Q275,"")</f>
        <v/>
      </c>
      <c r="X275" s="28" t="s">
        <v>37</v>
      </c>
      <c r="Y275" s="29" t="str">
        <f aca="false">IF(AND(O275&lt;&gt;"",M275&lt;&gt;"",O275&gt;M275),CONCATENATE("1 : ",TEXT((O275-M275)/M275,"0.00")),IF(AND(O275&lt;&gt;"",M275&lt;&gt;"",O275&lt;M275),CONCATENATE("-1 : ",TEXT((M275-O275)/M275,"0.00")),"—"))</f>
        <v>—</v>
      </c>
      <c r="Z275" s="30" t="str">
        <f aca="false">IF(AND(P275&lt;&gt;"",M275&lt;&gt;"",P275&gt;M275),CONCATENATE("1 : ",TEXT((P275-M275)/M275,"0.00")),"—")</f>
        <v>—</v>
      </c>
      <c r="AA275" s="31" t="str">
        <f aca="false">IF(AND(C275&lt;&gt;"",E275&lt;&gt;""),E275-C275,"")</f>
        <v/>
      </c>
      <c r="AB275" s="17"/>
      <c r="AC275" s="32"/>
      <c r="AD275" s="33"/>
      <c r="AE275" s="34" t="str">
        <f aca="false">IF(G275&lt;&gt;"",HYPERLINK("https://www.tradingview.com/chart/?symbol="&amp;G275&amp;"&amp;interval=60&amp;from="&amp;(AG275-10*3600)&amp;"&amp;to="&amp;(AG275+50*3600),"📈 1H"),"")</f>
        <v/>
      </c>
      <c r="AF275" s="35" t="str">
        <f aca="false">IF(G275&lt;&gt;"",HYPERLINK("https://www.tradingview.com/chart/?symbol="&amp;G275&amp;"&amp;interval=240&amp;from="&amp;(AG275-10*14400)&amp;"&amp;to="&amp;(AG275+50*14400),"📈 4H"),"")</f>
        <v/>
      </c>
      <c r="AG275" s="36" t="str">
        <f aca="false">IF(C275&lt;&gt;"",INT((C275+IF(D275&lt;&gt;"",D275,0)-DATE(1970,1,1))*86400),"")</f>
        <v/>
      </c>
    </row>
    <row r="276" customFormat="false" ht="19.5" hidden="false" customHeight="true" outlineLevel="0" collapsed="false">
      <c r="A276" s="37" t="n">
        <f aca="false">ROW()-4</f>
        <v>272</v>
      </c>
      <c r="B276" s="38"/>
      <c r="C276" s="39"/>
      <c r="D276" s="40"/>
      <c r="E276" s="39"/>
      <c r="F276" s="40"/>
      <c r="G276" s="41"/>
      <c r="H276" s="42"/>
      <c r="I276" s="43"/>
      <c r="J276" s="44"/>
      <c r="K276" s="39"/>
      <c r="L276" s="42"/>
      <c r="M276" s="44"/>
      <c r="N276" s="45"/>
      <c r="O276" s="44"/>
      <c r="P276" s="46"/>
      <c r="Q276" s="47" t="str">
        <f aca="false">IF(L276="","",IF(M276&lt;&gt;"",M276*L276*100,IF(AND(O276&lt;&gt;"",B276&lt;&gt;""),IFERROR(AVERAGEIF($B$5:$B$1004,B276,$M$5:$M$1004)*L276*100,""),"")))</f>
        <v/>
      </c>
      <c r="R276" s="47" t="str">
        <f aca="false">IF(AND(O276&lt;&gt;"",L276&lt;&gt;""),O276*L276*100,"")</f>
        <v/>
      </c>
      <c r="S276" s="48" t="str">
        <f aca="false">IF(AND(P276&lt;&gt;"",L276&lt;&gt;""),P276*L276*100,"")</f>
        <v/>
      </c>
      <c r="T276" s="49" t="str">
        <f aca="false">IF(AND(Q276&lt;&gt;"",R276&lt;&gt;""),R276-Q276,"")</f>
        <v/>
      </c>
      <c r="U276" s="50" t="str">
        <f aca="false">IF(AND(Q276&lt;&gt;"",Q276&lt;&gt;0,T276&lt;&gt;""),T276/Q276,"")</f>
        <v/>
      </c>
      <c r="V276" s="51" t="str">
        <f aca="false">IF(AND(S276&lt;&gt;"",Q276&lt;&gt;""),S276-Q276,"")</f>
        <v/>
      </c>
      <c r="W276" s="52" t="str">
        <f aca="false">IF(AND(Q276&lt;&gt;"",Q276&lt;&gt;0,V276&lt;&gt;""),V276/Q276,"")</f>
        <v/>
      </c>
      <c r="X276" s="53" t="s">
        <v>37</v>
      </c>
      <c r="Y276" s="54" t="str">
        <f aca="false">IF(AND(O276&lt;&gt;"",M276&lt;&gt;"",O276&gt;M276),CONCATENATE("1 : ",TEXT((O276-M276)/M276,"0.00")),IF(AND(O276&lt;&gt;"",M276&lt;&gt;"",O276&lt;M276),CONCATENATE("-1 : ",TEXT((M276-O276)/M276,"0.00")),"—"))</f>
        <v>—</v>
      </c>
      <c r="Z276" s="55" t="str">
        <f aca="false">IF(AND(P276&lt;&gt;"",M276&lt;&gt;"",P276&gt;M276),CONCATENATE("1 : ",TEXT((P276-M276)/M276,"0.00")),"—")</f>
        <v>—</v>
      </c>
      <c r="AA276" s="56" t="str">
        <f aca="false">IF(AND(C276&lt;&gt;"",E276&lt;&gt;""),E276-C276,"")</f>
        <v/>
      </c>
      <c r="AB276" s="42"/>
      <c r="AC276" s="57"/>
      <c r="AD276" s="58"/>
      <c r="AE276" s="59" t="str">
        <f aca="false">IF(G276&lt;&gt;"",HYPERLINK("https://www.tradingview.com/chart/?symbol="&amp;G276&amp;"&amp;interval=60&amp;from="&amp;(AG276-10*3600)&amp;"&amp;to="&amp;(AG276+50*3600),"📈 1H"),"")</f>
        <v/>
      </c>
      <c r="AF276" s="60" t="str">
        <f aca="false">IF(G276&lt;&gt;"",HYPERLINK("https://www.tradingview.com/chart/?symbol="&amp;G276&amp;"&amp;interval=240&amp;from="&amp;(AG276-10*14400)&amp;"&amp;to="&amp;(AG276+50*14400),"📈 4H"),"")</f>
        <v/>
      </c>
      <c r="AG276" s="36" t="str">
        <f aca="false">IF(C276&lt;&gt;"",INT((C276+IF(D276&lt;&gt;"",D276,0)-DATE(1970,1,1))*86400),"")</f>
        <v/>
      </c>
    </row>
    <row r="277" customFormat="false" ht="19.5" hidden="false" customHeight="true" outlineLevel="0" collapsed="false">
      <c r="A277" s="12" t="n">
        <f aca="false">ROW()-4</f>
        <v>273</v>
      </c>
      <c r="B277" s="13"/>
      <c r="C277" s="14"/>
      <c r="D277" s="15"/>
      <c r="E277" s="14"/>
      <c r="F277" s="15"/>
      <c r="G277" s="16"/>
      <c r="H277" s="17"/>
      <c r="I277" s="18"/>
      <c r="J277" s="19"/>
      <c r="K277" s="14"/>
      <c r="L277" s="17"/>
      <c r="M277" s="19"/>
      <c r="N277" s="20"/>
      <c r="O277" s="19"/>
      <c r="P277" s="21"/>
      <c r="Q277" s="22" t="str">
        <f aca="false">IF(L277="","",IF(M277&lt;&gt;"",M277*L277*100,IF(AND(O277&lt;&gt;"",B277&lt;&gt;""),IFERROR(AVERAGEIF($B$5:$B$1004,B277,$M$5:$M$1004)*L277*100,""),"")))</f>
        <v/>
      </c>
      <c r="R277" s="22" t="str">
        <f aca="false">IF(AND(O277&lt;&gt;"",L277&lt;&gt;""),O277*L277*100,"")</f>
        <v/>
      </c>
      <c r="S277" s="23" t="str">
        <f aca="false">IF(AND(P277&lt;&gt;"",L277&lt;&gt;""),P277*L277*100,"")</f>
        <v/>
      </c>
      <c r="T277" s="24" t="str">
        <f aca="false">IF(AND(Q277&lt;&gt;"",R277&lt;&gt;""),R277-Q277,"")</f>
        <v/>
      </c>
      <c r="U277" s="25" t="str">
        <f aca="false">IF(AND(Q277&lt;&gt;"",Q277&lt;&gt;0,T277&lt;&gt;""),T277/Q277,"")</f>
        <v/>
      </c>
      <c r="V277" s="26" t="str">
        <f aca="false">IF(AND(S277&lt;&gt;"",Q277&lt;&gt;""),S277-Q277,"")</f>
        <v/>
      </c>
      <c r="W277" s="27" t="str">
        <f aca="false">IF(AND(Q277&lt;&gt;"",Q277&lt;&gt;0,V277&lt;&gt;""),V277/Q277,"")</f>
        <v/>
      </c>
      <c r="X277" s="28" t="s">
        <v>37</v>
      </c>
      <c r="Y277" s="29" t="str">
        <f aca="false">IF(AND(O277&lt;&gt;"",M277&lt;&gt;"",O277&gt;M277),CONCATENATE("1 : ",TEXT((O277-M277)/M277,"0.00")),IF(AND(O277&lt;&gt;"",M277&lt;&gt;"",O277&lt;M277),CONCATENATE("-1 : ",TEXT((M277-O277)/M277,"0.00")),"—"))</f>
        <v>—</v>
      </c>
      <c r="Z277" s="30" t="str">
        <f aca="false">IF(AND(P277&lt;&gt;"",M277&lt;&gt;"",P277&gt;M277),CONCATENATE("1 : ",TEXT((P277-M277)/M277,"0.00")),"—")</f>
        <v>—</v>
      </c>
      <c r="AA277" s="31" t="str">
        <f aca="false">IF(AND(C277&lt;&gt;"",E277&lt;&gt;""),E277-C277,"")</f>
        <v/>
      </c>
      <c r="AB277" s="17"/>
      <c r="AC277" s="32"/>
      <c r="AD277" s="33"/>
      <c r="AE277" s="34" t="str">
        <f aca="false">IF(G277&lt;&gt;"",HYPERLINK("https://www.tradingview.com/chart/?symbol="&amp;G277&amp;"&amp;interval=60&amp;from="&amp;(AG277-10*3600)&amp;"&amp;to="&amp;(AG277+50*3600),"📈 1H"),"")</f>
        <v/>
      </c>
      <c r="AF277" s="35" t="str">
        <f aca="false">IF(G277&lt;&gt;"",HYPERLINK("https://www.tradingview.com/chart/?symbol="&amp;G277&amp;"&amp;interval=240&amp;from="&amp;(AG277-10*14400)&amp;"&amp;to="&amp;(AG277+50*14400),"📈 4H"),"")</f>
        <v/>
      </c>
      <c r="AG277" s="36" t="str">
        <f aca="false">IF(C277&lt;&gt;"",INT((C277+IF(D277&lt;&gt;"",D277,0)-DATE(1970,1,1))*86400),"")</f>
        <v/>
      </c>
    </row>
    <row r="278" customFormat="false" ht="19.5" hidden="false" customHeight="true" outlineLevel="0" collapsed="false">
      <c r="A278" s="37" t="n">
        <f aca="false">ROW()-4</f>
        <v>274</v>
      </c>
      <c r="B278" s="38"/>
      <c r="C278" s="39"/>
      <c r="D278" s="40"/>
      <c r="E278" s="39"/>
      <c r="F278" s="40"/>
      <c r="G278" s="41"/>
      <c r="H278" s="42"/>
      <c r="I278" s="43"/>
      <c r="J278" s="44"/>
      <c r="K278" s="39"/>
      <c r="L278" s="42"/>
      <c r="M278" s="44"/>
      <c r="N278" s="45"/>
      <c r="O278" s="44"/>
      <c r="P278" s="46"/>
      <c r="Q278" s="47" t="str">
        <f aca="false">IF(L278="","",IF(M278&lt;&gt;"",M278*L278*100,IF(AND(O278&lt;&gt;"",B278&lt;&gt;""),IFERROR(AVERAGEIF($B$5:$B$1004,B278,$M$5:$M$1004)*L278*100,""),"")))</f>
        <v/>
      </c>
      <c r="R278" s="47" t="str">
        <f aca="false">IF(AND(O278&lt;&gt;"",L278&lt;&gt;""),O278*L278*100,"")</f>
        <v/>
      </c>
      <c r="S278" s="48" t="str">
        <f aca="false">IF(AND(P278&lt;&gt;"",L278&lt;&gt;""),P278*L278*100,"")</f>
        <v/>
      </c>
      <c r="T278" s="49" t="str">
        <f aca="false">IF(AND(Q278&lt;&gt;"",R278&lt;&gt;""),R278-Q278,"")</f>
        <v/>
      </c>
      <c r="U278" s="50" t="str">
        <f aca="false">IF(AND(Q278&lt;&gt;"",Q278&lt;&gt;0,T278&lt;&gt;""),T278/Q278,"")</f>
        <v/>
      </c>
      <c r="V278" s="51" t="str">
        <f aca="false">IF(AND(S278&lt;&gt;"",Q278&lt;&gt;""),S278-Q278,"")</f>
        <v/>
      </c>
      <c r="W278" s="52" t="str">
        <f aca="false">IF(AND(Q278&lt;&gt;"",Q278&lt;&gt;0,V278&lt;&gt;""),V278/Q278,"")</f>
        <v/>
      </c>
      <c r="X278" s="53" t="s">
        <v>37</v>
      </c>
      <c r="Y278" s="54" t="str">
        <f aca="false">IF(AND(O278&lt;&gt;"",M278&lt;&gt;"",O278&gt;M278),CONCATENATE("1 : ",TEXT((O278-M278)/M278,"0.00")),IF(AND(O278&lt;&gt;"",M278&lt;&gt;"",O278&lt;M278),CONCATENATE("-1 : ",TEXT((M278-O278)/M278,"0.00")),"—"))</f>
        <v>—</v>
      </c>
      <c r="Z278" s="55" t="str">
        <f aca="false">IF(AND(P278&lt;&gt;"",M278&lt;&gt;"",P278&gt;M278),CONCATENATE("1 : ",TEXT((P278-M278)/M278,"0.00")),"—")</f>
        <v>—</v>
      </c>
      <c r="AA278" s="56" t="str">
        <f aca="false">IF(AND(C278&lt;&gt;"",E278&lt;&gt;""),E278-C278,"")</f>
        <v/>
      </c>
      <c r="AB278" s="42"/>
      <c r="AC278" s="57"/>
      <c r="AD278" s="58"/>
      <c r="AE278" s="59" t="str">
        <f aca="false">IF(G278&lt;&gt;"",HYPERLINK("https://www.tradingview.com/chart/?symbol="&amp;G278&amp;"&amp;interval=60&amp;from="&amp;(AG278-10*3600)&amp;"&amp;to="&amp;(AG278+50*3600),"📈 1H"),"")</f>
        <v/>
      </c>
      <c r="AF278" s="60" t="str">
        <f aca="false">IF(G278&lt;&gt;"",HYPERLINK("https://www.tradingview.com/chart/?symbol="&amp;G278&amp;"&amp;interval=240&amp;from="&amp;(AG278-10*14400)&amp;"&amp;to="&amp;(AG278+50*14400),"📈 4H"),"")</f>
        <v/>
      </c>
      <c r="AG278" s="36" t="str">
        <f aca="false">IF(C278&lt;&gt;"",INT((C278+IF(D278&lt;&gt;"",D278,0)-DATE(1970,1,1))*86400),"")</f>
        <v/>
      </c>
    </row>
    <row r="279" customFormat="false" ht="19.5" hidden="false" customHeight="true" outlineLevel="0" collapsed="false">
      <c r="A279" s="12" t="n">
        <f aca="false">ROW()-4</f>
        <v>275</v>
      </c>
      <c r="B279" s="13"/>
      <c r="C279" s="14"/>
      <c r="D279" s="15"/>
      <c r="E279" s="14"/>
      <c r="F279" s="15"/>
      <c r="G279" s="16"/>
      <c r="H279" s="17"/>
      <c r="I279" s="18"/>
      <c r="J279" s="19"/>
      <c r="K279" s="14"/>
      <c r="L279" s="17"/>
      <c r="M279" s="19"/>
      <c r="N279" s="20"/>
      <c r="O279" s="19"/>
      <c r="P279" s="21"/>
      <c r="Q279" s="22" t="str">
        <f aca="false">IF(L279="","",IF(M279&lt;&gt;"",M279*L279*100,IF(AND(O279&lt;&gt;"",B279&lt;&gt;""),IFERROR(AVERAGEIF($B$5:$B$1004,B279,$M$5:$M$1004)*L279*100,""),"")))</f>
        <v/>
      </c>
      <c r="R279" s="22" t="str">
        <f aca="false">IF(AND(O279&lt;&gt;"",L279&lt;&gt;""),O279*L279*100,"")</f>
        <v/>
      </c>
      <c r="S279" s="23" t="str">
        <f aca="false">IF(AND(P279&lt;&gt;"",L279&lt;&gt;""),P279*L279*100,"")</f>
        <v/>
      </c>
      <c r="T279" s="24" t="str">
        <f aca="false">IF(AND(Q279&lt;&gt;"",R279&lt;&gt;""),R279-Q279,"")</f>
        <v/>
      </c>
      <c r="U279" s="25" t="str">
        <f aca="false">IF(AND(Q279&lt;&gt;"",Q279&lt;&gt;0,T279&lt;&gt;""),T279/Q279,"")</f>
        <v/>
      </c>
      <c r="V279" s="26" t="str">
        <f aca="false">IF(AND(S279&lt;&gt;"",Q279&lt;&gt;""),S279-Q279,"")</f>
        <v/>
      </c>
      <c r="W279" s="27" t="str">
        <f aca="false">IF(AND(Q279&lt;&gt;"",Q279&lt;&gt;0,V279&lt;&gt;""),V279/Q279,"")</f>
        <v/>
      </c>
      <c r="X279" s="28" t="s">
        <v>37</v>
      </c>
      <c r="Y279" s="29" t="str">
        <f aca="false">IF(AND(O279&lt;&gt;"",M279&lt;&gt;"",O279&gt;M279),CONCATENATE("1 : ",TEXT((O279-M279)/M279,"0.00")),IF(AND(O279&lt;&gt;"",M279&lt;&gt;"",O279&lt;M279),CONCATENATE("-1 : ",TEXT((M279-O279)/M279,"0.00")),"—"))</f>
        <v>—</v>
      </c>
      <c r="Z279" s="30" t="str">
        <f aca="false">IF(AND(P279&lt;&gt;"",M279&lt;&gt;"",P279&gt;M279),CONCATENATE("1 : ",TEXT((P279-M279)/M279,"0.00")),"—")</f>
        <v>—</v>
      </c>
      <c r="AA279" s="31" t="str">
        <f aca="false">IF(AND(C279&lt;&gt;"",E279&lt;&gt;""),E279-C279,"")</f>
        <v/>
      </c>
      <c r="AB279" s="17"/>
      <c r="AC279" s="32"/>
      <c r="AD279" s="33"/>
      <c r="AE279" s="34" t="str">
        <f aca="false">IF(G279&lt;&gt;"",HYPERLINK("https://www.tradingview.com/chart/?symbol="&amp;G279&amp;"&amp;interval=60&amp;from="&amp;(AG279-10*3600)&amp;"&amp;to="&amp;(AG279+50*3600),"📈 1H"),"")</f>
        <v/>
      </c>
      <c r="AF279" s="35" t="str">
        <f aca="false">IF(G279&lt;&gt;"",HYPERLINK("https://www.tradingview.com/chart/?symbol="&amp;G279&amp;"&amp;interval=240&amp;from="&amp;(AG279-10*14400)&amp;"&amp;to="&amp;(AG279+50*14400),"📈 4H"),"")</f>
        <v/>
      </c>
      <c r="AG279" s="36" t="str">
        <f aca="false">IF(C279&lt;&gt;"",INT((C279+IF(D279&lt;&gt;"",D279,0)-DATE(1970,1,1))*86400),"")</f>
        <v/>
      </c>
    </row>
    <row r="280" customFormat="false" ht="19.5" hidden="false" customHeight="true" outlineLevel="0" collapsed="false">
      <c r="A280" s="37" t="n">
        <f aca="false">ROW()-4</f>
        <v>276</v>
      </c>
      <c r="B280" s="38"/>
      <c r="C280" s="39"/>
      <c r="D280" s="40"/>
      <c r="E280" s="39"/>
      <c r="F280" s="40"/>
      <c r="G280" s="41"/>
      <c r="H280" s="42"/>
      <c r="I280" s="43"/>
      <c r="J280" s="44"/>
      <c r="K280" s="39"/>
      <c r="L280" s="42"/>
      <c r="M280" s="44"/>
      <c r="N280" s="45"/>
      <c r="O280" s="44"/>
      <c r="P280" s="46"/>
      <c r="Q280" s="47" t="str">
        <f aca="false">IF(L280="","",IF(M280&lt;&gt;"",M280*L280*100,IF(AND(O280&lt;&gt;"",B280&lt;&gt;""),IFERROR(AVERAGEIF($B$5:$B$1004,B280,$M$5:$M$1004)*L280*100,""),"")))</f>
        <v/>
      </c>
      <c r="R280" s="47" t="str">
        <f aca="false">IF(AND(O280&lt;&gt;"",L280&lt;&gt;""),O280*L280*100,"")</f>
        <v/>
      </c>
      <c r="S280" s="48" t="str">
        <f aca="false">IF(AND(P280&lt;&gt;"",L280&lt;&gt;""),P280*L280*100,"")</f>
        <v/>
      </c>
      <c r="T280" s="49" t="str">
        <f aca="false">IF(AND(Q280&lt;&gt;"",R280&lt;&gt;""),R280-Q280,"")</f>
        <v/>
      </c>
      <c r="U280" s="50" t="str">
        <f aca="false">IF(AND(Q280&lt;&gt;"",Q280&lt;&gt;0,T280&lt;&gt;""),T280/Q280,"")</f>
        <v/>
      </c>
      <c r="V280" s="51" t="str">
        <f aca="false">IF(AND(S280&lt;&gt;"",Q280&lt;&gt;""),S280-Q280,"")</f>
        <v/>
      </c>
      <c r="W280" s="52" t="str">
        <f aca="false">IF(AND(Q280&lt;&gt;"",Q280&lt;&gt;0,V280&lt;&gt;""),V280/Q280,"")</f>
        <v/>
      </c>
      <c r="X280" s="53" t="s">
        <v>37</v>
      </c>
      <c r="Y280" s="54" t="str">
        <f aca="false">IF(AND(O280&lt;&gt;"",M280&lt;&gt;"",O280&gt;M280),CONCATENATE("1 : ",TEXT((O280-M280)/M280,"0.00")),IF(AND(O280&lt;&gt;"",M280&lt;&gt;"",O280&lt;M280),CONCATENATE("-1 : ",TEXT((M280-O280)/M280,"0.00")),"—"))</f>
        <v>—</v>
      </c>
      <c r="Z280" s="55" t="str">
        <f aca="false">IF(AND(P280&lt;&gt;"",M280&lt;&gt;"",P280&gt;M280),CONCATENATE("1 : ",TEXT((P280-M280)/M280,"0.00")),"—")</f>
        <v>—</v>
      </c>
      <c r="AA280" s="56" t="str">
        <f aca="false">IF(AND(C280&lt;&gt;"",E280&lt;&gt;""),E280-C280,"")</f>
        <v/>
      </c>
      <c r="AB280" s="42"/>
      <c r="AC280" s="57"/>
      <c r="AD280" s="58"/>
      <c r="AE280" s="59" t="str">
        <f aca="false">IF(G280&lt;&gt;"",HYPERLINK("https://www.tradingview.com/chart/?symbol="&amp;G280&amp;"&amp;interval=60&amp;from="&amp;(AG280-10*3600)&amp;"&amp;to="&amp;(AG280+50*3600),"📈 1H"),"")</f>
        <v/>
      </c>
      <c r="AF280" s="60" t="str">
        <f aca="false">IF(G280&lt;&gt;"",HYPERLINK("https://www.tradingview.com/chart/?symbol="&amp;G280&amp;"&amp;interval=240&amp;from="&amp;(AG280-10*14400)&amp;"&amp;to="&amp;(AG280+50*14400),"📈 4H"),"")</f>
        <v/>
      </c>
      <c r="AG280" s="36" t="str">
        <f aca="false">IF(C280&lt;&gt;"",INT((C280+IF(D280&lt;&gt;"",D280,0)-DATE(1970,1,1))*86400),"")</f>
        <v/>
      </c>
    </row>
    <row r="281" customFormat="false" ht="19.5" hidden="false" customHeight="true" outlineLevel="0" collapsed="false">
      <c r="A281" s="12" t="n">
        <f aca="false">ROW()-4</f>
        <v>277</v>
      </c>
      <c r="B281" s="13"/>
      <c r="C281" s="14"/>
      <c r="D281" s="15"/>
      <c r="E281" s="14"/>
      <c r="F281" s="15"/>
      <c r="G281" s="16"/>
      <c r="H281" s="17"/>
      <c r="I281" s="18"/>
      <c r="J281" s="19"/>
      <c r="K281" s="14"/>
      <c r="L281" s="17"/>
      <c r="M281" s="19"/>
      <c r="N281" s="20"/>
      <c r="O281" s="19"/>
      <c r="P281" s="21"/>
      <c r="Q281" s="22" t="str">
        <f aca="false">IF(L281="","",IF(M281&lt;&gt;"",M281*L281*100,IF(AND(O281&lt;&gt;"",B281&lt;&gt;""),IFERROR(AVERAGEIF($B$5:$B$1004,B281,$M$5:$M$1004)*L281*100,""),"")))</f>
        <v/>
      </c>
      <c r="R281" s="22" t="str">
        <f aca="false">IF(AND(O281&lt;&gt;"",L281&lt;&gt;""),O281*L281*100,"")</f>
        <v/>
      </c>
      <c r="S281" s="23" t="str">
        <f aca="false">IF(AND(P281&lt;&gt;"",L281&lt;&gt;""),P281*L281*100,"")</f>
        <v/>
      </c>
      <c r="T281" s="24" t="str">
        <f aca="false">IF(AND(Q281&lt;&gt;"",R281&lt;&gt;""),R281-Q281,"")</f>
        <v/>
      </c>
      <c r="U281" s="25" t="str">
        <f aca="false">IF(AND(Q281&lt;&gt;"",Q281&lt;&gt;0,T281&lt;&gt;""),T281/Q281,"")</f>
        <v/>
      </c>
      <c r="V281" s="26" t="str">
        <f aca="false">IF(AND(S281&lt;&gt;"",Q281&lt;&gt;""),S281-Q281,"")</f>
        <v/>
      </c>
      <c r="W281" s="27" t="str">
        <f aca="false">IF(AND(Q281&lt;&gt;"",Q281&lt;&gt;0,V281&lt;&gt;""),V281/Q281,"")</f>
        <v/>
      </c>
      <c r="X281" s="28" t="s">
        <v>37</v>
      </c>
      <c r="Y281" s="29" t="str">
        <f aca="false">IF(AND(O281&lt;&gt;"",M281&lt;&gt;"",O281&gt;M281),CONCATENATE("1 : ",TEXT((O281-M281)/M281,"0.00")),IF(AND(O281&lt;&gt;"",M281&lt;&gt;"",O281&lt;M281),CONCATENATE("-1 : ",TEXT((M281-O281)/M281,"0.00")),"—"))</f>
        <v>—</v>
      </c>
      <c r="Z281" s="30" t="str">
        <f aca="false">IF(AND(P281&lt;&gt;"",M281&lt;&gt;"",P281&gt;M281),CONCATENATE("1 : ",TEXT((P281-M281)/M281,"0.00")),"—")</f>
        <v>—</v>
      </c>
      <c r="AA281" s="31" t="str">
        <f aca="false">IF(AND(C281&lt;&gt;"",E281&lt;&gt;""),E281-C281,"")</f>
        <v/>
      </c>
      <c r="AB281" s="17"/>
      <c r="AC281" s="32"/>
      <c r="AD281" s="33"/>
      <c r="AE281" s="34" t="str">
        <f aca="false">IF(G281&lt;&gt;"",HYPERLINK("https://www.tradingview.com/chart/?symbol="&amp;G281&amp;"&amp;interval=60&amp;from="&amp;(AG281-10*3600)&amp;"&amp;to="&amp;(AG281+50*3600),"📈 1H"),"")</f>
        <v/>
      </c>
      <c r="AF281" s="35" t="str">
        <f aca="false">IF(G281&lt;&gt;"",HYPERLINK("https://www.tradingview.com/chart/?symbol="&amp;G281&amp;"&amp;interval=240&amp;from="&amp;(AG281-10*14400)&amp;"&amp;to="&amp;(AG281+50*14400),"📈 4H"),"")</f>
        <v/>
      </c>
      <c r="AG281" s="36" t="str">
        <f aca="false">IF(C281&lt;&gt;"",INT((C281+IF(D281&lt;&gt;"",D281,0)-DATE(1970,1,1))*86400),"")</f>
        <v/>
      </c>
    </row>
    <row r="282" customFormat="false" ht="19.5" hidden="false" customHeight="true" outlineLevel="0" collapsed="false">
      <c r="A282" s="37" t="n">
        <f aca="false">ROW()-4</f>
        <v>278</v>
      </c>
      <c r="B282" s="38"/>
      <c r="C282" s="39"/>
      <c r="D282" s="40"/>
      <c r="E282" s="39"/>
      <c r="F282" s="40"/>
      <c r="G282" s="41"/>
      <c r="H282" s="42"/>
      <c r="I282" s="43"/>
      <c r="J282" s="44"/>
      <c r="K282" s="39"/>
      <c r="L282" s="42"/>
      <c r="M282" s="44"/>
      <c r="N282" s="45"/>
      <c r="O282" s="44"/>
      <c r="P282" s="46"/>
      <c r="Q282" s="47" t="str">
        <f aca="false">IF(L282="","",IF(M282&lt;&gt;"",M282*L282*100,IF(AND(O282&lt;&gt;"",B282&lt;&gt;""),IFERROR(AVERAGEIF($B$5:$B$1004,B282,$M$5:$M$1004)*L282*100,""),"")))</f>
        <v/>
      </c>
      <c r="R282" s="47" t="str">
        <f aca="false">IF(AND(O282&lt;&gt;"",L282&lt;&gt;""),O282*L282*100,"")</f>
        <v/>
      </c>
      <c r="S282" s="48" t="str">
        <f aca="false">IF(AND(P282&lt;&gt;"",L282&lt;&gt;""),P282*L282*100,"")</f>
        <v/>
      </c>
      <c r="T282" s="49" t="str">
        <f aca="false">IF(AND(Q282&lt;&gt;"",R282&lt;&gt;""),R282-Q282,"")</f>
        <v/>
      </c>
      <c r="U282" s="50" t="str">
        <f aca="false">IF(AND(Q282&lt;&gt;"",Q282&lt;&gt;0,T282&lt;&gt;""),T282/Q282,"")</f>
        <v/>
      </c>
      <c r="V282" s="51" t="str">
        <f aca="false">IF(AND(S282&lt;&gt;"",Q282&lt;&gt;""),S282-Q282,"")</f>
        <v/>
      </c>
      <c r="W282" s="52" t="str">
        <f aca="false">IF(AND(Q282&lt;&gt;"",Q282&lt;&gt;0,V282&lt;&gt;""),V282/Q282,"")</f>
        <v/>
      </c>
      <c r="X282" s="53" t="s">
        <v>37</v>
      </c>
      <c r="Y282" s="54" t="str">
        <f aca="false">IF(AND(O282&lt;&gt;"",M282&lt;&gt;"",O282&gt;M282),CONCATENATE("1 : ",TEXT((O282-M282)/M282,"0.00")),IF(AND(O282&lt;&gt;"",M282&lt;&gt;"",O282&lt;M282),CONCATENATE("-1 : ",TEXT((M282-O282)/M282,"0.00")),"—"))</f>
        <v>—</v>
      </c>
      <c r="Z282" s="55" t="str">
        <f aca="false">IF(AND(P282&lt;&gt;"",M282&lt;&gt;"",P282&gt;M282),CONCATENATE("1 : ",TEXT((P282-M282)/M282,"0.00")),"—")</f>
        <v>—</v>
      </c>
      <c r="AA282" s="56" t="str">
        <f aca="false">IF(AND(C282&lt;&gt;"",E282&lt;&gt;""),E282-C282,"")</f>
        <v/>
      </c>
      <c r="AB282" s="42"/>
      <c r="AC282" s="57"/>
      <c r="AD282" s="58"/>
      <c r="AE282" s="59" t="str">
        <f aca="false">IF(G282&lt;&gt;"",HYPERLINK("https://www.tradingview.com/chart/?symbol="&amp;G282&amp;"&amp;interval=60&amp;from="&amp;(AG282-10*3600)&amp;"&amp;to="&amp;(AG282+50*3600),"📈 1H"),"")</f>
        <v/>
      </c>
      <c r="AF282" s="60" t="str">
        <f aca="false">IF(G282&lt;&gt;"",HYPERLINK("https://www.tradingview.com/chart/?symbol="&amp;G282&amp;"&amp;interval=240&amp;from="&amp;(AG282-10*14400)&amp;"&amp;to="&amp;(AG282+50*14400),"📈 4H"),"")</f>
        <v/>
      </c>
      <c r="AG282" s="36" t="str">
        <f aca="false">IF(C282&lt;&gt;"",INT((C282+IF(D282&lt;&gt;"",D282,0)-DATE(1970,1,1))*86400),"")</f>
        <v/>
      </c>
    </row>
    <row r="283" customFormat="false" ht="19.5" hidden="false" customHeight="true" outlineLevel="0" collapsed="false">
      <c r="A283" s="12" t="n">
        <f aca="false">ROW()-4</f>
        <v>279</v>
      </c>
      <c r="B283" s="13"/>
      <c r="C283" s="14"/>
      <c r="D283" s="15"/>
      <c r="E283" s="14"/>
      <c r="F283" s="15"/>
      <c r="G283" s="16"/>
      <c r="H283" s="17"/>
      <c r="I283" s="18"/>
      <c r="J283" s="19"/>
      <c r="K283" s="14"/>
      <c r="L283" s="17"/>
      <c r="M283" s="19"/>
      <c r="N283" s="20"/>
      <c r="O283" s="19"/>
      <c r="P283" s="21"/>
      <c r="Q283" s="22" t="str">
        <f aca="false">IF(L283="","",IF(M283&lt;&gt;"",M283*L283*100,IF(AND(O283&lt;&gt;"",B283&lt;&gt;""),IFERROR(AVERAGEIF($B$5:$B$1004,B283,$M$5:$M$1004)*L283*100,""),"")))</f>
        <v/>
      </c>
      <c r="R283" s="22" t="str">
        <f aca="false">IF(AND(O283&lt;&gt;"",L283&lt;&gt;""),O283*L283*100,"")</f>
        <v/>
      </c>
      <c r="S283" s="23" t="str">
        <f aca="false">IF(AND(P283&lt;&gt;"",L283&lt;&gt;""),P283*L283*100,"")</f>
        <v/>
      </c>
      <c r="T283" s="24" t="str">
        <f aca="false">IF(AND(Q283&lt;&gt;"",R283&lt;&gt;""),R283-Q283,"")</f>
        <v/>
      </c>
      <c r="U283" s="25" t="str">
        <f aca="false">IF(AND(Q283&lt;&gt;"",Q283&lt;&gt;0,T283&lt;&gt;""),T283/Q283,"")</f>
        <v/>
      </c>
      <c r="V283" s="26" t="str">
        <f aca="false">IF(AND(S283&lt;&gt;"",Q283&lt;&gt;""),S283-Q283,"")</f>
        <v/>
      </c>
      <c r="W283" s="27" t="str">
        <f aca="false">IF(AND(Q283&lt;&gt;"",Q283&lt;&gt;0,V283&lt;&gt;""),V283/Q283,"")</f>
        <v/>
      </c>
      <c r="X283" s="28" t="s">
        <v>37</v>
      </c>
      <c r="Y283" s="29" t="str">
        <f aca="false">IF(AND(O283&lt;&gt;"",M283&lt;&gt;"",O283&gt;M283),CONCATENATE("1 : ",TEXT((O283-M283)/M283,"0.00")),IF(AND(O283&lt;&gt;"",M283&lt;&gt;"",O283&lt;M283),CONCATENATE("-1 : ",TEXT((M283-O283)/M283,"0.00")),"—"))</f>
        <v>—</v>
      </c>
      <c r="Z283" s="30" t="str">
        <f aca="false">IF(AND(P283&lt;&gt;"",M283&lt;&gt;"",P283&gt;M283),CONCATENATE("1 : ",TEXT((P283-M283)/M283,"0.00")),"—")</f>
        <v>—</v>
      </c>
      <c r="AA283" s="31" t="str">
        <f aca="false">IF(AND(C283&lt;&gt;"",E283&lt;&gt;""),E283-C283,"")</f>
        <v/>
      </c>
      <c r="AB283" s="17"/>
      <c r="AC283" s="32"/>
      <c r="AD283" s="33"/>
      <c r="AE283" s="34" t="str">
        <f aca="false">IF(G283&lt;&gt;"",HYPERLINK("https://www.tradingview.com/chart/?symbol="&amp;G283&amp;"&amp;interval=60&amp;from="&amp;(AG283-10*3600)&amp;"&amp;to="&amp;(AG283+50*3600),"📈 1H"),"")</f>
        <v/>
      </c>
      <c r="AF283" s="35" t="str">
        <f aca="false">IF(G283&lt;&gt;"",HYPERLINK("https://www.tradingview.com/chart/?symbol="&amp;G283&amp;"&amp;interval=240&amp;from="&amp;(AG283-10*14400)&amp;"&amp;to="&amp;(AG283+50*14400),"📈 4H"),"")</f>
        <v/>
      </c>
      <c r="AG283" s="36" t="str">
        <f aca="false">IF(C283&lt;&gt;"",INT((C283+IF(D283&lt;&gt;"",D283,0)-DATE(1970,1,1))*86400),"")</f>
        <v/>
      </c>
    </row>
    <row r="284" customFormat="false" ht="19.5" hidden="false" customHeight="true" outlineLevel="0" collapsed="false">
      <c r="A284" s="37" t="n">
        <f aca="false">ROW()-4</f>
        <v>280</v>
      </c>
      <c r="B284" s="38"/>
      <c r="C284" s="39"/>
      <c r="D284" s="40"/>
      <c r="E284" s="39"/>
      <c r="F284" s="40"/>
      <c r="G284" s="41"/>
      <c r="H284" s="42"/>
      <c r="I284" s="43"/>
      <c r="J284" s="44"/>
      <c r="K284" s="39"/>
      <c r="L284" s="42"/>
      <c r="M284" s="44"/>
      <c r="N284" s="45"/>
      <c r="O284" s="44"/>
      <c r="P284" s="46"/>
      <c r="Q284" s="47" t="str">
        <f aca="false">IF(L284="","",IF(M284&lt;&gt;"",M284*L284*100,IF(AND(O284&lt;&gt;"",B284&lt;&gt;""),IFERROR(AVERAGEIF($B$5:$B$1004,B284,$M$5:$M$1004)*L284*100,""),"")))</f>
        <v/>
      </c>
      <c r="R284" s="47" t="str">
        <f aca="false">IF(AND(O284&lt;&gt;"",L284&lt;&gt;""),O284*L284*100,"")</f>
        <v/>
      </c>
      <c r="S284" s="48" t="str">
        <f aca="false">IF(AND(P284&lt;&gt;"",L284&lt;&gt;""),P284*L284*100,"")</f>
        <v/>
      </c>
      <c r="T284" s="49" t="str">
        <f aca="false">IF(AND(Q284&lt;&gt;"",R284&lt;&gt;""),R284-Q284,"")</f>
        <v/>
      </c>
      <c r="U284" s="50" t="str">
        <f aca="false">IF(AND(Q284&lt;&gt;"",Q284&lt;&gt;0,T284&lt;&gt;""),T284/Q284,"")</f>
        <v/>
      </c>
      <c r="V284" s="51" t="str">
        <f aca="false">IF(AND(S284&lt;&gt;"",Q284&lt;&gt;""),S284-Q284,"")</f>
        <v/>
      </c>
      <c r="W284" s="52" t="str">
        <f aca="false">IF(AND(Q284&lt;&gt;"",Q284&lt;&gt;0,V284&lt;&gt;""),V284/Q284,"")</f>
        <v/>
      </c>
      <c r="X284" s="53" t="s">
        <v>37</v>
      </c>
      <c r="Y284" s="54" t="str">
        <f aca="false">IF(AND(O284&lt;&gt;"",M284&lt;&gt;"",O284&gt;M284),CONCATENATE("1 : ",TEXT((O284-M284)/M284,"0.00")),IF(AND(O284&lt;&gt;"",M284&lt;&gt;"",O284&lt;M284),CONCATENATE("-1 : ",TEXT((M284-O284)/M284,"0.00")),"—"))</f>
        <v>—</v>
      </c>
      <c r="Z284" s="55" t="str">
        <f aca="false">IF(AND(P284&lt;&gt;"",M284&lt;&gt;"",P284&gt;M284),CONCATENATE("1 : ",TEXT((P284-M284)/M284,"0.00")),"—")</f>
        <v>—</v>
      </c>
      <c r="AA284" s="56" t="str">
        <f aca="false">IF(AND(C284&lt;&gt;"",E284&lt;&gt;""),E284-C284,"")</f>
        <v/>
      </c>
      <c r="AB284" s="42"/>
      <c r="AC284" s="57"/>
      <c r="AD284" s="58"/>
      <c r="AE284" s="59" t="str">
        <f aca="false">IF(G284&lt;&gt;"",HYPERLINK("https://www.tradingview.com/chart/?symbol="&amp;G284&amp;"&amp;interval=60&amp;from="&amp;(AG284-10*3600)&amp;"&amp;to="&amp;(AG284+50*3600),"📈 1H"),"")</f>
        <v/>
      </c>
      <c r="AF284" s="60" t="str">
        <f aca="false">IF(G284&lt;&gt;"",HYPERLINK("https://www.tradingview.com/chart/?symbol="&amp;G284&amp;"&amp;interval=240&amp;from="&amp;(AG284-10*14400)&amp;"&amp;to="&amp;(AG284+50*14400),"📈 4H"),"")</f>
        <v/>
      </c>
      <c r="AG284" s="36" t="str">
        <f aca="false">IF(C284&lt;&gt;"",INT((C284+IF(D284&lt;&gt;"",D284,0)-DATE(1970,1,1))*86400),"")</f>
        <v/>
      </c>
    </row>
    <row r="285" customFormat="false" ht="19.5" hidden="false" customHeight="true" outlineLevel="0" collapsed="false">
      <c r="A285" s="12" t="n">
        <f aca="false">ROW()-4</f>
        <v>281</v>
      </c>
      <c r="B285" s="13"/>
      <c r="C285" s="14"/>
      <c r="D285" s="15"/>
      <c r="E285" s="14"/>
      <c r="F285" s="15"/>
      <c r="G285" s="16"/>
      <c r="H285" s="17"/>
      <c r="I285" s="18"/>
      <c r="J285" s="19"/>
      <c r="K285" s="14"/>
      <c r="L285" s="17"/>
      <c r="M285" s="19"/>
      <c r="N285" s="20"/>
      <c r="O285" s="19"/>
      <c r="P285" s="21"/>
      <c r="Q285" s="22" t="str">
        <f aca="false">IF(L285="","",IF(M285&lt;&gt;"",M285*L285*100,IF(AND(O285&lt;&gt;"",B285&lt;&gt;""),IFERROR(AVERAGEIF($B$5:$B$1004,B285,$M$5:$M$1004)*L285*100,""),"")))</f>
        <v/>
      </c>
      <c r="R285" s="22" t="str">
        <f aca="false">IF(AND(O285&lt;&gt;"",L285&lt;&gt;""),O285*L285*100,"")</f>
        <v/>
      </c>
      <c r="S285" s="23" t="str">
        <f aca="false">IF(AND(P285&lt;&gt;"",L285&lt;&gt;""),P285*L285*100,"")</f>
        <v/>
      </c>
      <c r="T285" s="24" t="str">
        <f aca="false">IF(AND(Q285&lt;&gt;"",R285&lt;&gt;""),R285-Q285,"")</f>
        <v/>
      </c>
      <c r="U285" s="25" t="str">
        <f aca="false">IF(AND(Q285&lt;&gt;"",Q285&lt;&gt;0,T285&lt;&gt;""),T285/Q285,"")</f>
        <v/>
      </c>
      <c r="V285" s="26" t="str">
        <f aca="false">IF(AND(S285&lt;&gt;"",Q285&lt;&gt;""),S285-Q285,"")</f>
        <v/>
      </c>
      <c r="W285" s="27" t="str">
        <f aca="false">IF(AND(Q285&lt;&gt;"",Q285&lt;&gt;0,V285&lt;&gt;""),V285/Q285,"")</f>
        <v/>
      </c>
      <c r="X285" s="28" t="s">
        <v>37</v>
      </c>
      <c r="Y285" s="29" t="str">
        <f aca="false">IF(AND(O285&lt;&gt;"",M285&lt;&gt;"",O285&gt;M285),CONCATENATE("1 : ",TEXT((O285-M285)/M285,"0.00")),IF(AND(O285&lt;&gt;"",M285&lt;&gt;"",O285&lt;M285),CONCATENATE("-1 : ",TEXT((M285-O285)/M285,"0.00")),"—"))</f>
        <v>—</v>
      </c>
      <c r="Z285" s="30" t="str">
        <f aca="false">IF(AND(P285&lt;&gt;"",M285&lt;&gt;"",P285&gt;M285),CONCATENATE("1 : ",TEXT((P285-M285)/M285,"0.00")),"—")</f>
        <v>—</v>
      </c>
      <c r="AA285" s="31" t="str">
        <f aca="false">IF(AND(C285&lt;&gt;"",E285&lt;&gt;""),E285-C285,"")</f>
        <v/>
      </c>
      <c r="AB285" s="17"/>
      <c r="AC285" s="32"/>
      <c r="AD285" s="33"/>
      <c r="AE285" s="34" t="str">
        <f aca="false">IF(G285&lt;&gt;"",HYPERLINK("https://www.tradingview.com/chart/?symbol="&amp;G285&amp;"&amp;interval=60&amp;from="&amp;(AG285-10*3600)&amp;"&amp;to="&amp;(AG285+50*3600),"📈 1H"),"")</f>
        <v/>
      </c>
      <c r="AF285" s="35" t="str">
        <f aca="false">IF(G285&lt;&gt;"",HYPERLINK("https://www.tradingview.com/chart/?symbol="&amp;G285&amp;"&amp;interval=240&amp;from="&amp;(AG285-10*14400)&amp;"&amp;to="&amp;(AG285+50*14400),"📈 4H"),"")</f>
        <v/>
      </c>
      <c r="AG285" s="36" t="str">
        <f aca="false">IF(C285&lt;&gt;"",INT((C285+IF(D285&lt;&gt;"",D285,0)-DATE(1970,1,1))*86400),"")</f>
        <v/>
      </c>
    </row>
    <row r="286" customFormat="false" ht="19.5" hidden="false" customHeight="true" outlineLevel="0" collapsed="false">
      <c r="A286" s="37" t="n">
        <f aca="false">ROW()-4</f>
        <v>282</v>
      </c>
      <c r="B286" s="38"/>
      <c r="C286" s="39"/>
      <c r="D286" s="40"/>
      <c r="E286" s="39"/>
      <c r="F286" s="40"/>
      <c r="G286" s="41"/>
      <c r="H286" s="42"/>
      <c r="I286" s="43"/>
      <c r="J286" s="44"/>
      <c r="K286" s="39"/>
      <c r="L286" s="42"/>
      <c r="M286" s="44"/>
      <c r="N286" s="45"/>
      <c r="O286" s="44"/>
      <c r="P286" s="46"/>
      <c r="Q286" s="47" t="str">
        <f aca="false">IF(L286="","",IF(M286&lt;&gt;"",M286*L286*100,IF(AND(O286&lt;&gt;"",B286&lt;&gt;""),IFERROR(AVERAGEIF($B$5:$B$1004,B286,$M$5:$M$1004)*L286*100,""),"")))</f>
        <v/>
      </c>
      <c r="R286" s="47" t="str">
        <f aca="false">IF(AND(O286&lt;&gt;"",L286&lt;&gt;""),O286*L286*100,"")</f>
        <v/>
      </c>
      <c r="S286" s="48" t="str">
        <f aca="false">IF(AND(P286&lt;&gt;"",L286&lt;&gt;""),P286*L286*100,"")</f>
        <v/>
      </c>
      <c r="T286" s="49" t="str">
        <f aca="false">IF(AND(Q286&lt;&gt;"",R286&lt;&gt;""),R286-Q286,"")</f>
        <v/>
      </c>
      <c r="U286" s="50" t="str">
        <f aca="false">IF(AND(Q286&lt;&gt;"",Q286&lt;&gt;0,T286&lt;&gt;""),T286/Q286,"")</f>
        <v/>
      </c>
      <c r="V286" s="51" t="str">
        <f aca="false">IF(AND(S286&lt;&gt;"",Q286&lt;&gt;""),S286-Q286,"")</f>
        <v/>
      </c>
      <c r="W286" s="52" t="str">
        <f aca="false">IF(AND(Q286&lt;&gt;"",Q286&lt;&gt;0,V286&lt;&gt;""),V286/Q286,"")</f>
        <v/>
      </c>
      <c r="X286" s="53" t="s">
        <v>37</v>
      </c>
      <c r="Y286" s="54" t="str">
        <f aca="false">IF(AND(O286&lt;&gt;"",M286&lt;&gt;"",O286&gt;M286),CONCATENATE("1 : ",TEXT((O286-M286)/M286,"0.00")),IF(AND(O286&lt;&gt;"",M286&lt;&gt;"",O286&lt;M286),CONCATENATE("-1 : ",TEXT((M286-O286)/M286,"0.00")),"—"))</f>
        <v>—</v>
      </c>
      <c r="Z286" s="55" t="str">
        <f aca="false">IF(AND(P286&lt;&gt;"",M286&lt;&gt;"",P286&gt;M286),CONCATENATE("1 : ",TEXT((P286-M286)/M286,"0.00")),"—")</f>
        <v>—</v>
      </c>
      <c r="AA286" s="56" t="str">
        <f aca="false">IF(AND(C286&lt;&gt;"",E286&lt;&gt;""),E286-C286,"")</f>
        <v/>
      </c>
      <c r="AB286" s="42"/>
      <c r="AC286" s="57"/>
      <c r="AD286" s="58"/>
      <c r="AE286" s="59" t="str">
        <f aca="false">IF(G286&lt;&gt;"",HYPERLINK("https://www.tradingview.com/chart/?symbol="&amp;G286&amp;"&amp;interval=60&amp;from="&amp;(AG286-10*3600)&amp;"&amp;to="&amp;(AG286+50*3600),"📈 1H"),"")</f>
        <v/>
      </c>
      <c r="AF286" s="60" t="str">
        <f aca="false">IF(G286&lt;&gt;"",HYPERLINK("https://www.tradingview.com/chart/?symbol="&amp;G286&amp;"&amp;interval=240&amp;from="&amp;(AG286-10*14400)&amp;"&amp;to="&amp;(AG286+50*14400),"📈 4H"),"")</f>
        <v/>
      </c>
      <c r="AG286" s="36" t="str">
        <f aca="false">IF(C286&lt;&gt;"",INT((C286+IF(D286&lt;&gt;"",D286,0)-DATE(1970,1,1))*86400),"")</f>
        <v/>
      </c>
    </row>
    <row r="287" customFormat="false" ht="19.5" hidden="false" customHeight="true" outlineLevel="0" collapsed="false">
      <c r="A287" s="12" t="n">
        <f aca="false">ROW()-4</f>
        <v>283</v>
      </c>
      <c r="B287" s="13"/>
      <c r="C287" s="14"/>
      <c r="D287" s="15"/>
      <c r="E287" s="14"/>
      <c r="F287" s="15"/>
      <c r="G287" s="16"/>
      <c r="H287" s="17"/>
      <c r="I287" s="18"/>
      <c r="J287" s="19"/>
      <c r="K287" s="14"/>
      <c r="L287" s="17"/>
      <c r="M287" s="19"/>
      <c r="N287" s="20"/>
      <c r="O287" s="19"/>
      <c r="P287" s="21"/>
      <c r="Q287" s="22" t="str">
        <f aca="false">IF(L287="","",IF(M287&lt;&gt;"",M287*L287*100,IF(AND(O287&lt;&gt;"",B287&lt;&gt;""),IFERROR(AVERAGEIF($B$5:$B$1004,B287,$M$5:$M$1004)*L287*100,""),"")))</f>
        <v/>
      </c>
      <c r="R287" s="22" t="str">
        <f aca="false">IF(AND(O287&lt;&gt;"",L287&lt;&gt;""),O287*L287*100,"")</f>
        <v/>
      </c>
      <c r="S287" s="23" t="str">
        <f aca="false">IF(AND(P287&lt;&gt;"",L287&lt;&gt;""),P287*L287*100,"")</f>
        <v/>
      </c>
      <c r="T287" s="24" t="str">
        <f aca="false">IF(AND(Q287&lt;&gt;"",R287&lt;&gt;""),R287-Q287,"")</f>
        <v/>
      </c>
      <c r="U287" s="25" t="str">
        <f aca="false">IF(AND(Q287&lt;&gt;"",Q287&lt;&gt;0,T287&lt;&gt;""),T287/Q287,"")</f>
        <v/>
      </c>
      <c r="V287" s="26" t="str">
        <f aca="false">IF(AND(S287&lt;&gt;"",Q287&lt;&gt;""),S287-Q287,"")</f>
        <v/>
      </c>
      <c r="W287" s="27" t="str">
        <f aca="false">IF(AND(Q287&lt;&gt;"",Q287&lt;&gt;0,V287&lt;&gt;""),V287/Q287,"")</f>
        <v/>
      </c>
      <c r="X287" s="28" t="s">
        <v>37</v>
      </c>
      <c r="Y287" s="29" t="str">
        <f aca="false">IF(AND(O287&lt;&gt;"",M287&lt;&gt;"",O287&gt;M287),CONCATENATE("1 : ",TEXT((O287-M287)/M287,"0.00")),IF(AND(O287&lt;&gt;"",M287&lt;&gt;"",O287&lt;M287),CONCATENATE("-1 : ",TEXT((M287-O287)/M287,"0.00")),"—"))</f>
        <v>—</v>
      </c>
      <c r="Z287" s="30" t="str">
        <f aca="false">IF(AND(P287&lt;&gt;"",M287&lt;&gt;"",P287&gt;M287),CONCATENATE("1 : ",TEXT((P287-M287)/M287,"0.00")),"—")</f>
        <v>—</v>
      </c>
      <c r="AA287" s="31" t="str">
        <f aca="false">IF(AND(C287&lt;&gt;"",E287&lt;&gt;""),E287-C287,"")</f>
        <v/>
      </c>
      <c r="AB287" s="17"/>
      <c r="AC287" s="32"/>
      <c r="AD287" s="33"/>
      <c r="AE287" s="34" t="str">
        <f aca="false">IF(G287&lt;&gt;"",HYPERLINK("https://www.tradingview.com/chart/?symbol="&amp;G287&amp;"&amp;interval=60&amp;from="&amp;(AG287-10*3600)&amp;"&amp;to="&amp;(AG287+50*3600),"📈 1H"),"")</f>
        <v/>
      </c>
      <c r="AF287" s="35" t="str">
        <f aca="false">IF(G287&lt;&gt;"",HYPERLINK("https://www.tradingview.com/chart/?symbol="&amp;G287&amp;"&amp;interval=240&amp;from="&amp;(AG287-10*14400)&amp;"&amp;to="&amp;(AG287+50*14400),"📈 4H"),"")</f>
        <v/>
      </c>
      <c r="AG287" s="36" t="str">
        <f aca="false">IF(C287&lt;&gt;"",INT((C287+IF(D287&lt;&gt;"",D287,0)-DATE(1970,1,1))*86400),"")</f>
        <v/>
      </c>
    </row>
    <row r="288" customFormat="false" ht="19.5" hidden="false" customHeight="true" outlineLevel="0" collapsed="false">
      <c r="A288" s="37" t="n">
        <f aca="false">ROW()-4</f>
        <v>284</v>
      </c>
      <c r="B288" s="38"/>
      <c r="C288" s="39"/>
      <c r="D288" s="40"/>
      <c r="E288" s="39"/>
      <c r="F288" s="40"/>
      <c r="G288" s="41"/>
      <c r="H288" s="42"/>
      <c r="I288" s="43"/>
      <c r="J288" s="44"/>
      <c r="K288" s="39"/>
      <c r="L288" s="42"/>
      <c r="M288" s="44"/>
      <c r="N288" s="45"/>
      <c r="O288" s="44"/>
      <c r="P288" s="46"/>
      <c r="Q288" s="47" t="str">
        <f aca="false">IF(L288="","",IF(M288&lt;&gt;"",M288*L288*100,IF(AND(O288&lt;&gt;"",B288&lt;&gt;""),IFERROR(AVERAGEIF($B$5:$B$1004,B288,$M$5:$M$1004)*L288*100,""),"")))</f>
        <v/>
      </c>
      <c r="R288" s="47" t="str">
        <f aca="false">IF(AND(O288&lt;&gt;"",L288&lt;&gt;""),O288*L288*100,"")</f>
        <v/>
      </c>
      <c r="S288" s="48" t="str">
        <f aca="false">IF(AND(P288&lt;&gt;"",L288&lt;&gt;""),P288*L288*100,"")</f>
        <v/>
      </c>
      <c r="T288" s="49" t="str">
        <f aca="false">IF(AND(Q288&lt;&gt;"",R288&lt;&gt;""),R288-Q288,"")</f>
        <v/>
      </c>
      <c r="U288" s="50" t="str">
        <f aca="false">IF(AND(Q288&lt;&gt;"",Q288&lt;&gt;0,T288&lt;&gt;""),T288/Q288,"")</f>
        <v/>
      </c>
      <c r="V288" s="51" t="str">
        <f aca="false">IF(AND(S288&lt;&gt;"",Q288&lt;&gt;""),S288-Q288,"")</f>
        <v/>
      </c>
      <c r="W288" s="52" t="str">
        <f aca="false">IF(AND(Q288&lt;&gt;"",Q288&lt;&gt;0,V288&lt;&gt;""),V288/Q288,"")</f>
        <v/>
      </c>
      <c r="X288" s="53" t="s">
        <v>37</v>
      </c>
      <c r="Y288" s="54" t="str">
        <f aca="false">IF(AND(O288&lt;&gt;"",M288&lt;&gt;"",O288&gt;M288),CONCATENATE("1 : ",TEXT((O288-M288)/M288,"0.00")),IF(AND(O288&lt;&gt;"",M288&lt;&gt;"",O288&lt;M288),CONCATENATE("-1 : ",TEXT((M288-O288)/M288,"0.00")),"—"))</f>
        <v>—</v>
      </c>
      <c r="Z288" s="55" t="str">
        <f aca="false">IF(AND(P288&lt;&gt;"",M288&lt;&gt;"",P288&gt;M288),CONCATENATE("1 : ",TEXT((P288-M288)/M288,"0.00")),"—")</f>
        <v>—</v>
      </c>
      <c r="AA288" s="56" t="str">
        <f aca="false">IF(AND(C288&lt;&gt;"",E288&lt;&gt;""),E288-C288,"")</f>
        <v/>
      </c>
      <c r="AB288" s="42"/>
      <c r="AC288" s="57"/>
      <c r="AD288" s="58"/>
      <c r="AE288" s="59" t="str">
        <f aca="false">IF(G288&lt;&gt;"",HYPERLINK("https://www.tradingview.com/chart/?symbol="&amp;G288&amp;"&amp;interval=60&amp;from="&amp;(AG288-10*3600)&amp;"&amp;to="&amp;(AG288+50*3600),"📈 1H"),"")</f>
        <v/>
      </c>
      <c r="AF288" s="60" t="str">
        <f aca="false">IF(G288&lt;&gt;"",HYPERLINK("https://www.tradingview.com/chart/?symbol="&amp;G288&amp;"&amp;interval=240&amp;from="&amp;(AG288-10*14400)&amp;"&amp;to="&amp;(AG288+50*14400),"📈 4H"),"")</f>
        <v/>
      </c>
      <c r="AG288" s="36" t="str">
        <f aca="false">IF(C288&lt;&gt;"",INT((C288+IF(D288&lt;&gt;"",D288,0)-DATE(1970,1,1))*86400),"")</f>
        <v/>
      </c>
    </row>
    <row r="289" customFormat="false" ht="19.5" hidden="false" customHeight="true" outlineLevel="0" collapsed="false">
      <c r="A289" s="12" t="n">
        <f aca="false">ROW()-4</f>
        <v>285</v>
      </c>
      <c r="B289" s="13"/>
      <c r="C289" s="14"/>
      <c r="D289" s="15"/>
      <c r="E289" s="14"/>
      <c r="F289" s="15"/>
      <c r="G289" s="16"/>
      <c r="H289" s="17"/>
      <c r="I289" s="18"/>
      <c r="J289" s="19"/>
      <c r="K289" s="14"/>
      <c r="L289" s="17"/>
      <c r="M289" s="19"/>
      <c r="N289" s="20"/>
      <c r="O289" s="19"/>
      <c r="P289" s="21"/>
      <c r="Q289" s="22" t="str">
        <f aca="false">IF(L289="","",IF(M289&lt;&gt;"",M289*L289*100,IF(AND(O289&lt;&gt;"",B289&lt;&gt;""),IFERROR(AVERAGEIF($B$5:$B$1004,B289,$M$5:$M$1004)*L289*100,""),"")))</f>
        <v/>
      </c>
      <c r="R289" s="22" t="str">
        <f aca="false">IF(AND(O289&lt;&gt;"",L289&lt;&gt;""),O289*L289*100,"")</f>
        <v/>
      </c>
      <c r="S289" s="23" t="str">
        <f aca="false">IF(AND(P289&lt;&gt;"",L289&lt;&gt;""),P289*L289*100,"")</f>
        <v/>
      </c>
      <c r="T289" s="24" t="str">
        <f aca="false">IF(AND(Q289&lt;&gt;"",R289&lt;&gt;""),R289-Q289,"")</f>
        <v/>
      </c>
      <c r="U289" s="25" t="str">
        <f aca="false">IF(AND(Q289&lt;&gt;"",Q289&lt;&gt;0,T289&lt;&gt;""),T289/Q289,"")</f>
        <v/>
      </c>
      <c r="V289" s="26" t="str">
        <f aca="false">IF(AND(S289&lt;&gt;"",Q289&lt;&gt;""),S289-Q289,"")</f>
        <v/>
      </c>
      <c r="W289" s="27" t="str">
        <f aca="false">IF(AND(Q289&lt;&gt;"",Q289&lt;&gt;0,V289&lt;&gt;""),V289/Q289,"")</f>
        <v/>
      </c>
      <c r="X289" s="28" t="s">
        <v>37</v>
      </c>
      <c r="Y289" s="29" t="str">
        <f aca="false">IF(AND(O289&lt;&gt;"",M289&lt;&gt;"",O289&gt;M289),CONCATENATE("1 : ",TEXT((O289-M289)/M289,"0.00")),IF(AND(O289&lt;&gt;"",M289&lt;&gt;"",O289&lt;M289),CONCATENATE("-1 : ",TEXT((M289-O289)/M289,"0.00")),"—"))</f>
        <v>—</v>
      </c>
      <c r="Z289" s="30" t="str">
        <f aca="false">IF(AND(P289&lt;&gt;"",M289&lt;&gt;"",P289&gt;M289),CONCATENATE("1 : ",TEXT((P289-M289)/M289,"0.00")),"—")</f>
        <v>—</v>
      </c>
      <c r="AA289" s="31" t="str">
        <f aca="false">IF(AND(C289&lt;&gt;"",E289&lt;&gt;""),E289-C289,"")</f>
        <v/>
      </c>
      <c r="AB289" s="17"/>
      <c r="AC289" s="32"/>
      <c r="AD289" s="33"/>
      <c r="AE289" s="34" t="str">
        <f aca="false">IF(G289&lt;&gt;"",HYPERLINK("https://www.tradingview.com/chart/?symbol="&amp;G289&amp;"&amp;interval=60&amp;from="&amp;(AG289-10*3600)&amp;"&amp;to="&amp;(AG289+50*3600),"📈 1H"),"")</f>
        <v/>
      </c>
      <c r="AF289" s="35" t="str">
        <f aca="false">IF(G289&lt;&gt;"",HYPERLINK("https://www.tradingview.com/chart/?symbol="&amp;G289&amp;"&amp;interval=240&amp;from="&amp;(AG289-10*14400)&amp;"&amp;to="&amp;(AG289+50*14400),"📈 4H"),"")</f>
        <v/>
      </c>
      <c r="AG289" s="36" t="str">
        <f aca="false">IF(C289&lt;&gt;"",INT((C289+IF(D289&lt;&gt;"",D289,0)-DATE(1970,1,1))*86400),"")</f>
        <v/>
      </c>
    </row>
    <row r="290" customFormat="false" ht="19.5" hidden="false" customHeight="true" outlineLevel="0" collapsed="false">
      <c r="A290" s="37" t="n">
        <f aca="false">ROW()-4</f>
        <v>286</v>
      </c>
      <c r="B290" s="38"/>
      <c r="C290" s="39"/>
      <c r="D290" s="40"/>
      <c r="E290" s="39"/>
      <c r="F290" s="40"/>
      <c r="G290" s="41"/>
      <c r="H290" s="42"/>
      <c r="I290" s="43"/>
      <c r="J290" s="44"/>
      <c r="K290" s="39"/>
      <c r="L290" s="42"/>
      <c r="M290" s="44"/>
      <c r="N290" s="45"/>
      <c r="O290" s="44"/>
      <c r="P290" s="46"/>
      <c r="Q290" s="47" t="str">
        <f aca="false">IF(L290="","",IF(M290&lt;&gt;"",M290*L290*100,IF(AND(O290&lt;&gt;"",B290&lt;&gt;""),IFERROR(AVERAGEIF($B$5:$B$1004,B290,$M$5:$M$1004)*L290*100,""),"")))</f>
        <v/>
      </c>
      <c r="R290" s="47" t="str">
        <f aca="false">IF(AND(O290&lt;&gt;"",L290&lt;&gt;""),O290*L290*100,"")</f>
        <v/>
      </c>
      <c r="S290" s="48" t="str">
        <f aca="false">IF(AND(P290&lt;&gt;"",L290&lt;&gt;""),P290*L290*100,"")</f>
        <v/>
      </c>
      <c r="T290" s="49" t="str">
        <f aca="false">IF(AND(Q290&lt;&gt;"",R290&lt;&gt;""),R290-Q290,"")</f>
        <v/>
      </c>
      <c r="U290" s="50" t="str">
        <f aca="false">IF(AND(Q290&lt;&gt;"",Q290&lt;&gt;0,T290&lt;&gt;""),T290/Q290,"")</f>
        <v/>
      </c>
      <c r="V290" s="51" t="str">
        <f aca="false">IF(AND(S290&lt;&gt;"",Q290&lt;&gt;""),S290-Q290,"")</f>
        <v/>
      </c>
      <c r="W290" s="52" t="str">
        <f aca="false">IF(AND(Q290&lt;&gt;"",Q290&lt;&gt;0,V290&lt;&gt;""),V290/Q290,"")</f>
        <v/>
      </c>
      <c r="X290" s="53" t="s">
        <v>37</v>
      </c>
      <c r="Y290" s="54" t="str">
        <f aca="false">IF(AND(O290&lt;&gt;"",M290&lt;&gt;"",O290&gt;M290),CONCATENATE("1 : ",TEXT((O290-M290)/M290,"0.00")),IF(AND(O290&lt;&gt;"",M290&lt;&gt;"",O290&lt;M290),CONCATENATE("-1 : ",TEXT((M290-O290)/M290,"0.00")),"—"))</f>
        <v>—</v>
      </c>
      <c r="Z290" s="55" t="str">
        <f aca="false">IF(AND(P290&lt;&gt;"",M290&lt;&gt;"",P290&gt;M290),CONCATENATE("1 : ",TEXT((P290-M290)/M290,"0.00")),"—")</f>
        <v>—</v>
      </c>
      <c r="AA290" s="56" t="str">
        <f aca="false">IF(AND(C290&lt;&gt;"",E290&lt;&gt;""),E290-C290,"")</f>
        <v/>
      </c>
      <c r="AB290" s="42"/>
      <c r="AC290" s="57"/>
      <c r="AD290" s="58"/>
      <c r="AE290" s="59" t="str">
        <f aca="false">IF(G290&lt;&gt;"",HYPERLINK("https://www.tradingview.com/chart/?symbol="&amp;G290&amp;"&amp;interval=60&amp;from="&amp;(AG290-10*3600)&amp;"&amp;to="&amp;(AG290+50*3600),"📈 1H"),"")</f>
        <v/>
      </c>
      <c r="AF290" s="60" t="str">
        <f aca="false">IF(G290&lt;&gt;"",HYPERLINK("https://www.tradingview.com/chart/?symbol="&amp;G290&amp;"&amp;interval=240&amp;from="&amp;(AG290-10*14400)&amp;"&amp;to="&amp;(AG290+50*14400),"📈 4H"),"")</f>
        <v/>
      </c>
      <c r="AG290" s="36" t="str">
        <f aca="false">IF(C290&lt;&gt;"",INT((C290+IF(D290&lt;&gt;"",D290,0)-DATE(1970,1,1))*86400),"")</f>
        <v/>
      </c>
    </row>
    <row r="291" customFormat="false" ht="19.5" hidden="false" customHeight="true" outlineLevel="0" collapsed="false">
      <c r="A291" s="12" t="n">
        <f aca="false">ROW()-4</f>
        <v>287</v>
      </c>
      <c r="B291" s="13"/>
      <c r="C291" s="14"/>
      <c r="D291" s="15"/>
      <c r="E291" s="14"/>
      <c r="F291" s="15"/>
      <c r="G291" s="16"/>
      <c r="H291" s="17"/>
      <c r="I291" s="18"/>
      <c r="J291" s="19"/>
      <c r="K291" s="14"/>
      <c r="L291" s="17"/>
      <c r="M291" s="19"/>
      <c r="N291" s="20"/>
      <c r="O291" s="19"/>
      <c r="P291" s="21"/>
      <c r="Q291" s="22" t="str">
        <f aca="false">IF(L291="","",IF(M291&lt;&gt;"",M291*L291*100,IF(AND(O291&lt;&gt;"",B291&lt;&gt;""),IFERROR(AVERAGEIF($B$5:$B$1004,B291,$M$5:$M$1004)*L291*100,""),"")))</f>
        <v/>
      </c>
      <c r="R291" s="22" t="str">
        <f aca="false">IF(AND(O291&lt;&gt;"",L291&lt;&gt;""),O291*L291*100,"")</f>
        <v/>
      </c>
      <c r="S291" s="23" t="str">
        <f aca="false">IF(AND(P291&lt;&gt;"",L291&lt;&gt;""),P291*L291*100,"")</f>
        <v/>
      </c>
      <c r="T291" s="24" t="str">
        <f aca="false">IF(AND(Q291&lt;&gt;"",R291&lt;&gt;""),R291-Q291,"")</f>
        <v/>
      </c>
      <c r="U291" s="25" t="str">
        <f aca="false">IF(AND(Q291&lt;&gt;"",Q291&lt;&gt;0,T291&lt;&gt;""),T291/Q291,"")</f>
        <v/>
      </c>
      <c r="V291" s="26" t="str">
        <f aca="false">IF(AND(S291&lt;&gt;"",Q291&lt;&gt;""),S291-Q291,"")</f>
        <v/>
      </c>
      <c r="W291" s="27" t="str">
        <f aca="false">IF(AND(Q291&lt;&gt;"",Q291&lt;&gt;0,V291&lt;&gt;""),V291/Q291,"")</f>
        <v/>
      </c>
      <c r="X291" s="28" t="s">
        <v>37</v>
      </c>
      <c r="Y291" s="29" t="str">
        <f aca="false">IF(AND(O291&lt;&gt;"",M291&lt;&gt;"",O291&gt;M291),CONCATENATE("1 : ",TEXT((O291-M291)/M291,"0.00")),IF(AND(O291&lt;&gt;"",M291&lt;&gt;"",O291&lt;M291),CONCATENATE("-1 : ",TEXT((M291-O291)/M291,"0.00")),"—"))</f>
        <v>—</v>
      </c>
      <c r="Z291" s="30" t="str">
        <f aca="false">IF(AND(P291&lt;&gt;"",M291&lt;&gt;"",P291&gt;M291),CONCATENATE("1 : ",TEXT((P291-M291)/M291,"0.00")),"—")</f>
        <v>—</v>
      </c>
      <c r="AA291" s="31" t="str">
        <f aca="false">IF(AND(C291&lt;&gt;"",E291&lt;&gt;""),E291-C291,"")</f>
        <v/>
      </c>
      <c r="AB291" s="17"/>
      <c r="AC291" s="32"/>
      <c r="AD291" s="33"/>
      <c r="AE291" s="34" t="str">
        <f aca="false">IF(G291&lt;&gt;"",HYPERLINK("https://www.tradingview.com/chart/?symbol="&amp;G291&amp;"&amp;interval=60&amp;from="&amp;(AG291-10*3600)&amp;"&amp;to="&amp;(AG291+50*3600),"📈 1H"),"")</f>
        <v/>
      </c>
      <c r="AF291" s="35" t="str">
        <f aca="false">IF(G291&lt;&gt;"",HYPERLINK("https://www.tradingview.com/chart/?symbol="&amp;G291&amp;"&amp;interval=240&amp;from="&amp;(AG291-10*14400)&amp;"&amp;to="&amp;(AG291+50*14400),"📈 4H"),"")</f>
        <v/>
      </c>
      <c r="AG291" s="36" t="str">
        <f aca="false">IF(C291&lt;&gt;"",INT((C291+IF(D291&lt;&gt;"",D291,0)-DATE(1970,1,1))*86400),"")</f>
        <v/>
      </c>
    </row>
    <row r="292" customFormat="false" ht="19.5" hidden="false" customHeight="true" outlineLevel="0" collapsed="false">
      <c r="A292" s="37" t="n">
        <f aca="false">ROW()-4</f>
        <v>288</v>
      </c>
      <c r="B292" s="38"/>
      <c r="C292" s="39"/>
      <c r="D292" s="40"/>
      <c r="E292" s="39"/>
      <c r="F292" s="40"/>
      <c r="G292" s="41"/>
      <c r="H292" s="42"/>
      <c r="I292" s="43"/>
      <c r="J292" s="44"/>
      <c r="K292" s="39"/>
      <c r="L292" s="42"/>
      <c r="M292" s="44"/>
      <c r="N292" s="45"/>
      <c r="O292" s="44"/>
      <c r="P292" s="46"/>
      <c r="Q292" s="47" t="str">
        <f aca="false">IF(L292="","",IF(M292&lt;&gt;"",M292*L292*100,IF(AND(O292&lt;&gt;"",B292&lt;&gt;""),IFERROR(AVERAGEIF($B$5:$B$1004,B292,$M$5:$M$1004)*L292*100,""),"")))</f>
        <v/>
      </c>
      <c r="R292" s="47" t="str">
        <f aca="false">IF(AND(O292&lt;&gt;"",L292&lt;&gt;""),O292*L292*100,"")</f>
        <v/>
      </c>
      <c r="S292" s="48" t="str">
        <f aca="false">IF(AND(P292&lt;&gt;"",L292&lt;&gt;""),P292*L292*100,"")</f>
        <v/>
      </c>
      <c r="T292" s="49" t="str">
        <f aca="false">IF(AND(Q292&lt;&gt;"",R292&lt;&gt;""),R292-Q292,"")</f>
        <v/>
      </c>
      <c r="U292" s="50" t="str">
        <f aca="false">IF(AND(Q292&lt;&gt;"",Q292&lt;&gt;0,T292&lt;&gt;""),T292/Q292,"")</f>
        <v/>
      </c>
      <c r="V292" s="51" t="str">
        <f aca="false">IF(AND(S292&lt;&gt;"",Q292&lt;&gt;""),S292-Q292,"")</f>
        <v/>
      </c>
      <c r="W292" s="52" t="str">
        <f aca="false">IF(AND(Q292&lt;&gt;"",Q292&lt;&gt;0,V292&lt;&gt;""),V292/Q292,"")</f>
        <v/>
      </c>
      <c r="X292" s="53" t="s">
        <v>37</v>
      </c>
      <c r="Y292" s="54" t="str">
        <f aca="false">IF(AND(O292&lt;&gt;"",M292&lt;&gt;"",O292&gt;M292),CONCATENATE("1 : ",TEXT((O292-M292)/M292,"0.00")),IF(AND(O292&lt;&gt;"",M292&lt;&gt;"",O292&lt;M292),CONCATENATE("-1 : ",TEXT((M292-O292)/M292,"0.00")),"—"))</f>
        <v>—</v>
      </c>
      <c r="Z292" s="55" t="str">
        <f aca="false">IF(AND(P292&lt;&gt;"",M292&lt;&gt;"",P292&gt;M292),CONCATENATE("1 : ",TEXT((P292-M292)/M292,"0.00")),"—")</f>
        <v>—</v>
      </c>
      <c r="AA292" s="56" t="str">
        <f aca="false">IF(AND(C292&lt;&gt;"",E292&lt;&gt;""),E292-C292,"")</f>
        <v/>
      </c>
      <c r="AB292" s="42"/>
      <c r="AC292" s="57"/>
      <c r="AD292" s="58"/>
      <c r="AE292" s="59" t="str">
        <f aca="false">IF(G292&lt;&gt;"",HYPERLINK("https://www.tradingview.com/chart/?symbol="&amp;G292&amp;"&amp;interval=60&amp;from="&amp;(AG292-10*3600)&amp;"&amp;to="&amp;(AG292+50*3600),"📈 1H"),"")</f>
        <v/>
      </c>
      <c r="AF292" s="60" t="str">
        <f aca="false">IF(G292&lt;&gt;"",HYPERLINK("https://www.tradingview.com/chart/?symbol="&amp;G292&amp;"&amp;interval=240&amp;from="&amp;(AG292-10*14400)&amp;"&amp;to="&amp;(AG292+50*14400),"📈 4H"),"")</f>
        <v/>
      </c>
      <c r="AG292" s="36" t="str">
        <f aca="false">IF(C292&lt;&gt;"",INT((C292+IF(D292&lt;&gt;"",D292,0)-DATE(1970,1,1))*86400),"")</f>
        <v/>
      </c>
    </row>
    <row r="293" customFormat="false" ht="19.5" hidden="false" customHeight="true" outlineLevel="0" collapsed="false">
      <c r="A293" s="12" t="n">
        <f aca="false">ROW()-4</f>
        <v>289</v>
      </c>
      <c r="B293" s="13"/>
      <c r="C293" s="14"/>
      <c r="D293" s="15"/>
      <c r="E293" s="14"/>
      <c r="F293" s="15"/>
      <c r="G293" s="16"/>
      <c r="H293" s="17"/>
      <c r="I293" s="18"/>
      <c r="J293" s="19"/>
      <c r="K293" s="14"/>
      <c r="L293" s="17"/>
      <c r="M293" s="19"/>
      <c r="N293" s="20"/>
      <c r="O293" s="19"/>
      <c r="P293" s="21"/>
      <c r="Q293" s="22" t="str">
        <f aca="false">IF(L293="","",IF(M293&lt;&gt;"",M293*L293*100,IF(AND(O293&lt;&gt;"",B293&lt;&gt;""),IFERROR(AVERAGEIF($B$5:$B$1004,B293,$M$5:$M$1004)*L293*100,""),"")))</f>
        <v/>
      </c>
      <c r="R293" s="22" t="str">
        <f aca="false">IF(AND(O293&lt;&gt;"",L293&lt;&gt;""),O293*L293*100,"")</f>
        <v/>
      </c>
      <c r="S293" s="23" t="str">
        <f aca="false">IF(AND(P293&lt;&gt;"",L293&lt;&gt;""),P293*L293*100,"")</f>
        <v/>
      </c>
      <c r="T293" s="24" t="str">
        <f aca="false">IF(AND(Q293&lt;&gt;"",R293&lt;&gt;""),R293-Q293,"")</f>
        <v/>
      </c>
      <c r="U293" s="25" t="str">
        <f aca="false">IF(AND(Q293&lt;&gt;"",Q293&lt;&gt;0,T293&lt;&gt;""),T293/Q293,"")</f>
        <v/>
      </c>
      <c r="V293" s="26" t="str">
        <f aca="false">IF(AND(S293&lt;&gt;"",Q293&lt;&gt;""),S293-Q293,"")</f>
        <v/>
      </c>
      <c r="W293" s="27" t="str">
        <f aca="false">IF(AND(Q293&lt;&gt;"",Q293&lt;&gt;0,V293&lt;&gt;""),V293/Q293,"")</f>
        <v/>
      </c>
      <c r="X293" s="28" t="s">
        <v>37</v>
      </c>
      <c r="Y293" s="29" t="str">
        <f aca="false">IF(AND(O293&lt;&gt;"",M293&lt;&gt;"",O293&gt;M293),CONCATENATE("1 : ",TEXT((O293-M293)/M293,"0.00")),IF(AND(O293&lt;&gt;"",M293&lt;&gt;"",O293&lt;M293),CONCATENATE("-1 : ",TEXT((M293-O293)/M293,"0.00")),"—"))</f>
        <v>—</v>
      </c>
      <c r="Z293" s="30" t="str">
        <f aca="false">IF(AND(P293&lt;&gt;"",M293&lt;&gt;"",P293&gt;M293),CONCATENATE("1 : ",TEXT((P293-M293)/M293,"0.00")),"—")</f>
        <v>—</v>
      </c>
      <c r="AA293" s="31" t="str">
        <f aca="false">IF(AND(C293&lt;&gt;"",E293&lt;&gt;""),E293-C293,"")</f>
        <v/>
      </c>
      <c r="AB293" s="17"/>
      <c r="AC293" s="32"/>
      <c r="AD293" s="33"/>
      <c r="AE293" s="34" t="str">
        <f aca="false">IF(G293&lt;&gt;"",HYPERLINK("https://www.tradingview.com/chart/?symbol="&amp;G293&amp;"&amp;interval=60&amp;from="&amp;(AG293-10*3600)&amp;"&amp;to="&amp;(AG293+50*3600),"📈 1H"),"")</f>
        <v/>
      </c>
      <c r="AF293" s="35" t="str">
        <f aca="false">IF(G293&lt;&gt;"",HYPERLINK("https://www.tradingview.com/chart/?symbol="&amp;G293&amp;"&amp;interval=240&amp;from="&amp;(AG293-10*14400)&amp;"&amp;to="&amp;(AG293+50*14400),"📈 4H"),"")</f>
        <v/>
      </c>
      <c r="AG293" s="36" t="str">
        <f aca="false">IF(C293&lt;&gt;"",INT((C293+IF(D293&lt;&gt;"",D293,0)-DATE(1970,1,1))*86400),"")</f>
        <v/>
      </c>
    </row>
    <row r="294" customFormat="false" ht="19.5" hidden="false" customHeight="true" outlineLevel="0" collapsed="false">
      <c r="A294" s="37" t="n">
        <f aca="false">ROW()-4</f>
        <v>290</v>
      </c>
      <c r="B294" s="38"/>
      <c r="C294" s="39"/>
      <c r="D294" s="40"/>
      <c r="E294" s="39"/>
      <c r="F294" s="40"/>
      <c r="G294" s="41"/>
      <c r="H294" s="42"/>
      <c r="I294" s="43"/>
      <c r="J294" s="44"/>
      <c r="K294" s="39"/>
      <c r="L294" s="42"/>
      <c r="M294" s="44"/>
      <c r="N294" s="45"/>
      <c r="O294" s="44"/>
      <c r="P294" s="46"/>
      <c r="Q294" s="47" t="str">
        <f aca="false">IF(L294="","",IF(M294&lt;&gt;"",M294*L294*100,IF(AND(O294&lt;&gt;"",B294&lt;&gt;""),IFERROR(AVERAGEIF($B$5:$B$1004,B294,$M$5:$M$1004)*L294*100,""),"")))</f>
        <v/>
      </c>
      <c r="R294" s="47" t="str">
        <f aca="false">IF(AND(O294&lt;&gt;"",L294&lt;&gt;""),O294*L294*100,"")</f>
        <v/>
      </c>
      <c r="S294" s="48" t="str">
        <f aca="false">IF(AND(P294&lt;&gt;"",L294&lt;&gt;""),P294*L294*100,"")</f>
        <v/>
      </c>
      <c r="T294" s="49" t="str">
        <f aca="false">IF(AND(Q294&lt;&gt;"",R294&lt;&gt;""),R294-Q294,"")</f>
        <v/>
      </c>
      <c r="U294" s="50" t="str">
        <f aca="false">IF(AND(Q294&lt;&gt;"",Q294&lt;&gt;0,T294&lt;&gt;""),T294/Q294,"")</f>
        <v/>
      </c>
      <c r="V294" s="51" t="str">
        <f aca="false">IF(AND(S294&lt;&gt;"",Q294&lt;&gt;""),S294-Q294,"")</f>
        <v/>
      </c>
      <c r="W294" s="52" t="str">
        <f aca="false">IF(AND(Q294&lt;&gt;"",Q294&lt;&gt;0,V294&lt;&gt;""),V294/Q294,"")</f>
        <v/>
      </c>
      <c r="X294" s="53" t="s">
        <v>37</v>
      </c>
      <c r="Y294" s="54" t="str">
        <f aca="false">IF(AND(O294&lt;&gt;"",M294&lt;&gt;"",O294&gt;M294),CONCATENATE("1 : ",TEXT((O294-M294)/M294,"0.00")),IF(AND(O294&lt;&gt;"",M294&lt;&gt;"",O294&lt;M294),CONCATENATE("-1 : ",TEXT((M294-O294)/M294,"0.00")),"—"))</f>
        <v>—</v>
      </c>
      <c r="Z294" s="55" t="str">
        <f aca="false">IF(AND(P294&lt;&gt;"",M294&lt;&gt;"",P294&gt;M294),CONCATENATE("1 : ",TEXT((P294-M294)/M294,"0.00")),"—")</f>
        <v>—</v>
      </c>
      <c r="AA294" s="56" t="str">
        <f aca="false">IF(AND(C294&lt;&gt;"",E294&lt;&gt;""),E294-C294,"")</f>
        <v/>
      </c>
      <c r="AB294" s="42"/>
      <c r="AC294" s="57"/>
      <c r="AD294" s="58"/>
      <c r="AE294" s="59" t="str">
        <f aca="false">IF(G294&lt;&gt;"",HYPERLINK("https://www.tradingview.com/chart/?symbol="&amp;G294&amp;"&amp;interval=60&amp;from="&amp;(AG294-10*3600)&amp;"&amp;to="&amp;(AG294+50*3600),"📈 1H"),"")</f>
        <v/>
      </c>
      <c r="AF294" s="60" t="str">
        <f aca="false">IF(G294&lt;&gt;"",HYPERLINK("https://www.tradingview.com/chart/?symbol="&amp;G294&amp;"&amp;interval=240&amp;from="&amp;(AG294-10*14400)&amp;"&amp;to="&amp;(AG294+50*14400),"📈 4H"),"")</f>
        <v/>
      </c>
      <c r="AG294" s="36" t="str">
        <f aca="false">IF(C294&lt;&gt;"",INT((C294+IF(D294&lt;&gt;"",D294,0)-DATE(1970,1,1))*86400),"")</f>
        <v/>
      </c>
    </row>
    <row r="295" customFormat="false" ht="19.5" hidden="false" customHeight="true" outlineLevel="0" collapsed="false">
      <c r="A295" s="12" t="n">
        <f aca="false">ROW()-4</f>
        <v>291</v>
      </c>
      <c r="B295" s="13"/>
      <c r="C295" s="14"/>
      <c r="D295" s="15"/>
      <c r="E295" s="14"/>
      <c r="F295" s="15"/>
      <c r="G295" s="16"/>
      <c r="H295" s="17"/>
      <c r="I295" s="18"/>
      <c r="J295" s="19"/>
      <c r="K295" s="14"/>
      <c r="L295" s="17"/>
      <c r="M295" s="19"/>
      <c r="N295" s="20"/>
      <c r="O295" s="19"/>
      <c r="P295" s="21"/>
      <c r="Q295" s="22" t="str">
        <f aca="false">IF(L295="","",IF(M295&lt;&gt;"",M295*L295*100,IF(AND(O295&lt;&gt;"",B295&lt;&gt;""),IFERROR(AVERAGEIF($B$5:$B$1004,B295,$M$5:$M$1004)*L295*100,""),"")))</f>
        <v/>
      </c>
      <c r="R295" s="22" t="str">
        <f aca="false">IF(AND(O295&lt;&gt;"",L295&lt;&gt;""),O295*L295*100,"")</f>
        <v/>
      </c>
      <c r="S295" s="23" t="str">
        <f aca="false">IF(AND(P295&lt;&gt;"",L295&lt;&gt;""),P295*L295*100,"")</f>
        <v/>
      </c>
      <c r="T295" s="24" t="str">
        <f aca="false">IF(AND(Q295&lt;&gt;"",R295&lt;&gt;""),R295-Q295,"")</f>
        <v/>
      </c>
      <c r="U295" s="25" t="str">
        <f aca="false">IF(AND(Q295&lt;&gt;"",Q295&lt;&gt;0,T295&lt;&gt;""),T295/Q295,"")</f>
        <v/>
      </c>
      <c r="V295" s="26" t="str">
        <f aca="false">IF(AND(S295&lt;&gt;"",Q295&lt;&gt;""),S295-Q295,"")</f>
        <v/>
      </c>
      <c r="W295" s="27" t="str">
        <f aca="false">IF(AND(Q295&lt;&gt;"",Q295&lt;&gt;0,V295&lt;&gt;""),V295/Q295,"")</f>
        <v/>
      </c>
      <c r="X295" s="28" t="s">
        <v>37</v>
      </c>
      <c r="Y295" s="29" t="str">
        <f aca="false">IF(AND(O295&lt;&gt;"",M295&lt;&gt;"",O295&gt;M295),CONCATENATE("1 : ",TEXT((O295-M295)/M295,"0.00")),IF(AND(O295&lt;&gt;"",M295&lt;&gt;"",O295&lt;M295),CONCATENATE("-1 : ",TEXT((M295-O295)/M295,"0.00")),"—"))</f>
        <v>—</v>
      </c>
      <c r="Z295" s="30" t="str">
        <f aca="false">IF(AND(P295&lt;&gt;"",M295&lt;&gt;"",P295&gt;M295),CONCATENATE("1 : ",TEXT((P295-M295)/M295,"0.00")),"—")</f>
        <v>—</v>
      </c>
      <c r="AA295" s="31" t="str">
        <f aca="false">IF(AND(C295&lt;&gt;"",E295&lt;&gt;""),E295-C295,"")</f>
        <v/>
      </c>
      <c r="AB295" s="17"/>
      <c r="AC295" s="32"/>
      <c r="AD295" s="33"/>
      <c r="AE295" s="34" t="str">
        <f aca="false">IF(G295&lt;&gt;"",HYPERLINK("https://www.tradingview.com/chart/?symbol="&amp;G295&amp;"&amp;interval=60&amp;from="&amp;(AG295-10*3600)&amp;"&amp;to="&amp;(AG295+50*3600),"📈 1H"),"")</f>
        <v/>
      </c>
      <c r="AF295" s="35" t="str">
        <f aca="false">IF(G295&lt;&gt;"",HYPERLINK("https://www.tradingview.com/chart/?symbol="&amp;G295&amp;"&amp;interval=240&amp;from="&amp;(AG295-10*14400)&amp;"&amp;to="&amp;(AG295+50*14400),"📈 4H"),"")</f>
        <v/>
      </c>
      <c r="AG295" s="36" t="str">
        <f aca="false">IF(C295&lt;&gt;"",INT((C295+IF(D295&lt;&gt;"",D295,0)-DATE(1970,1,1))*86400),"")</f>
        <v/>
      </c>
    </row>
    <row r="296" customFormat="false" ht="19.5" hidden="false" customHeight="true" outlineLevel="0" collapsed="false">
      <c r="A296" s="37" t="n">
        <f aca="false">ROW()-4</f>
        <v>292</v>
      </c>
      <c r="B296" s="38"/>
      <c r="C296" s="39"/>
      <c r="D296" s="40"/>
      <c r="E296" s="39"/>
      <c r="F296" s="40"/>
      <c r="G296" s="41"/>
      <c r="H296" s="42"/>
      <c r="I296" s="43"/>
      <c r="J296" s="44"/>
      <c r="K296" s="39"/>
      <c r="L296" s="42"/>
      <c r="M296" s="44"/>
      <c r="N296" s="45"/>
      <c r="O296" s="44"/>
      <c r="P296" s="46"/>
      <c r="Q296" s="47" t="str">
        <f aca="false">IF(L296="","",IF(M296&lt;&gt;"",M296*L296*100,IF(AND(O296&lt;&gt;"",B296&lt;&gt;""),IFERROR(AVERAGEIF($B$5:$B$1004,B296,$M$5:$M$1004)*L296*100,""),"")))</f>
        <v/>
      </c>
      <c r="R296" s="47" t="str">
        <f aca="false">IF(AND(O296&lt;&gt;"",L296&lt;&gt;""),O296*L296*100,"")</f>
        <v/>
      </c>
      <c r="S296" s="48" t="str">
        <f aca="false">IF(AND(P296&lt;&gt;"",L296&lt;&gt;""),P296*L296*100,"")</f>
        <v/>
      </c>
      <c r="T296" s="49" t="str">
        <f aca="false">IF(AND(Q296&lt;&gt;"",R296&lt;&gt;""),R296-Q296,"")</f>
        <v/>
      </c>
      <c r="U296" s="50" t="str">
        <f aca="false">IF(AND(Q296&lt;&gt;"",Q296&lt;&gt;0,T296&lt;&gt;""),T296/Q296,"")</f>
        <v/>
      </c>
      <c r="V296" s="51" t="str">
        <f aca="false">IF(AND(S296&lt;&gt;"",Q296&lt;&gt;""),S296-Q296,"")</f>
        <v/>
      </c>
      <c r="W296" s="52" t="str">
        <f aca="false">IF(AND(Q296&lt;&gt;"",Q296&lt;&gt;0,V296&lt;&gt;""),V296/Q296,"")</f>
        <v/>
      </c>
      <c r="X296" s="53" t="s">
        <v>37</v>
      </c>
      <c r="Y296" s="54" t="str">
        <f aca="false">IF(AND(O296&lt;&gt;"",M296&lt;&gt;"",O296&gt;M296),CONCATENATE("1 : ",TEXT((O296-M296)/M296,"0.00")),IF(AND(O296&lt;&gt;"",M296&lt;&gt;"",O296&lt;M296),CONCATENATE("-1 : ",TEXT((M296-O296)/M296,"0.00")),"—"))</f>
        <v>—</v>
      </c>
      <c r="Z296" s="55" t="str">
        <f aca="false">IF(AND(P296&lt;&gt;"",M296&lt;&gt;"",P296&gt;M296),CONCATENATE("1 : ",TEXT((P296-M296)/M296,"0.00")),"—")</f>
        <v>—</v>
      </c>
      <c r="AA296" s="56" t="str">
        <f aca="false">IF(AND(C296&lt;&gt;"",E296&lt;&gt;""),E296-C296,"")</f>
        <v/>
      </c>
      <c r="AB296" s="42"/>
      <c r="AC296" s="57"/>
      <c r="AD296" s="58"/>
      <c r="AE296" s="59" t="str">
        <f aca="false">IF(G296&lt;&gt;"",HYPERLINK("https://www.tradingview.com/chart/?symbol="&amp;G296&amp;"&amp;interval=60&amp;from="&amp;(AG296-10*3600)&amp;"&amp;to="&amp;(AG296+50*3600),"📈 1H"),"")</f>
        <v/>
      </c>
      <c r="AF296" s="60" t="str">
        <f aca="false">IF(G296&lt;&gt;"",HYPERLINK("https://www.tradingview.com/chart/?symbol="&amp;G296&amp;"&amp;interval=240&amp;from="&amp;(AG296-10*14400)&amp;"&amp;to="&amp;(AG296+50*14400),"📈 4H"),"")</f>
        <v/>
      </c>
      <c r="AG296" s="36" t="str">
        <f aca="false">IF(C296&lt;&gt;"",INT((C296+IF(D296&lt;&gt;"",D296,0)-DATE(1970,1,1))*86400),"")</f>
        <v/>
      </c>
    </row>
    <row r="297" customFormat="false" ht="19.5" hidden="false" customHeight="true" outlineLevel="0" collapsed="false">
      <c r="A297" s="12" t="n">
        <f aca="false">ROW()-4</f>
        <v>293</v>
      </c>
      <c r="B297" s="13"/>
      <c r="C297" s="14"/>
      <c r="D297" s="15"/>
      <c r="E297" s="14"/>
      <c r="F297" s="15"/>
      <c r="G297" s="16"/>
      <c r="H297" s="17"/>
      <c r="I297" s="18"/>
      <c r="J297" s="19"/>
      <c r="K297" s="14"/>
      <c r="L297" s="17"/>
      <c r="M297" s="19"/>
      <c r="N297" s="20"/>
      <c r="O297" s="19"/>
      <c r="P297" s="21"/>
      <c r="Q297" s="22" t="str">
        <f aca="false">IF(L297="","",IF(M297&lt;&gt;"",M297*L297*100,IF(AND(O297&lt;&gt;"",B297&lt;&gt;""),IFERROR(AVERAGEIF($B$5:$B$1004,B297,$M$5:$M$1004)*L297*100,""),"")))</f>
        <v/>
      </c>
      <c r="R297" s="22" t="str">
        <f aca="false">IF(AND(O297&lt;&gt;"",L297&lt;&gt;""),O297*L297*100,"")</f>
        <v/>
      </c>
      <c r="S297" s="23" t="str">
        <f aca="false">IF(AND(P297&lt;&gt;"",L297&lt;&gt;""),P297*L297*100,"")</f>
        <v/>
      </c>
      <c r="T297" s="24" t="str">
        <f aca="false">IF(AND(Q297&lt;&gt;"",R297&lt;&gt;""),R297-Q297,"")</f>
        <v/>
      </c>
      <c r="U297" s="25" t="str">
        <f aca="false">IF(AND(Q297&lt;&gt;"",Q297&lt;&gt;0,T297&lt;&gt;""),T297/Q297,"")</f>
        <v/>
      </c>
      <c r="V297" s="26" t="str">
        <f aca="false">IF(AND(S297&lt;&gt;"",Q297&lt;&gt;""),S297-Q297,"")</f>
        <v/>
      </c>
      <c r="W297" s="27" t="str">
        <f aca="false">IF(AND(Q297&lt;&gt;"",Q297&lt;&gt;0,V297&lt;&gt;""),V297/Q297,"")</f>
        <v/>
      </c>
      <c r="X297" s="28" t="s">
        <v>37</v>
      </c>
      <c r="Y297" s="29" t="str">
        <f aca="false">IF(AND(O297&lt;&gt;"",M297&lt;&gt;"",O297&gt;M297),CONCATENATE("1 : ",TEXT((O297-M297)/M297,"0.00")),IF(AND(O297&lt;&gt;"",M297&lt;&gt;"",O297&lt;M297),CONCATENATE("-1 : ",TEXT((M297-O297)/M297,"0.00")),"—"))</f>
        <v>—</v>
      </c>
      <c r="Z297" s="30" t="str">
        <f aca="false">IF(AND(P297&lt;&gt;"",M297&lt;&gt;"",P297&gt;M297),CONCATENATE("1 : ",TEXT((P297-M297)/M297,"0.00")),"—")</f>
        <v>—</v>
      </c>
      <c r="AA297" s="31" t="str">
        <f aca="false">IF(AND(C297&lt;&gt;"",E297&lt;&gt;""),E297-C297,"")</f>
        <v/>
      </c>
      <c r="AB297" s="17"/>
      <c r="AC297" s="32"/>
      <c r="AD297" s="33"/>
      <c r="AE297" s="34" t="str">
        <f aca="false">IF(G297&lt;&gt;"",HYPERLINK("https://www.tradingview.com/chart/?symbol="&amp;G297&amp;"&amp;interval=60&amp;from="&amp;(AG297-10*3600)&amp;"&amp;to="&amp;(AG297+50*3600),"📈 1H"),"")</f>
        <v/>
      </c>
      <c r="AF297" s="35" t="str">
        <f aca="false">IF(G297&lt;&gt;"",HYPERLINK("https://www.tradingview.com/chart/?symbol="&amp;G297&amp;"&amp;interval=240&amp;from="&amp;(AG297-10*14400)&amp;"&amp;to="&amp;(AG297+50*14400),"📈 4H"),"")</f>
        <v/>
      </c>
      <c r="AG297" s="36" t="str">
        <f aca="false">IF(C297&lt;&gt;"",INT((C297+IF(D297&lt;&gt;"",D297,0)-DATE(1970,1,1))*86400),"")</f>
        <v/>
      </c>
    </row>
    <row r="298" customFormat="false" ht="19.5" hidden="false" customHeight="true" outlineLevel="0" collapsed="false">
      <c r="A298" s="37" t="n">
        <f aca="false">ROW()-4</f>
        <v>294</v>
      </c>
      <c r="B298" s="38"/>
      <c r="C298" s="39"/>
      <c r="D298" s="40"/>
      <c r="E298" s="39"/>
      <c r="F298" s="40"/>
      <c r="G298" s="41"/>
      <c r="H298" s="42"/>
      <c r="I298" s="43"/>
      <c r="J298" s="44"/>
      <c r="K298" s="39"/>
      <c r="L298" s="42"/>
      <c r="M298" s="44"/>
      <c r="N298" s="45"/>
      <c r="O298" s="44"/>
      <c r="P298" s="46"/>
      <c r="Q298" s="47" t="str">
        <f aca="false">IF(L298="","",IF(M298&lt;&gt;"",M298*L298*100,IF(AND(O298&lt;&gt;"",B298&lt;&gt;""),IFERROR(AVERAGEIF($B$5:$B$1004,B298,$M$5:$M$1004)*L298*100,""),"")))</f>
        <v/>
      </c>
      <c r="R298" s="47" t="str">
        <f aca="false">IF(AND(O298&lt;&gt;"",L298&lt;&gt;""),O298*L298*100,"")</f>
        <v/>
      </c>
      <c r="S298" s="48" t="str">
        <f aca="false">IF(AND(P298&lt;&gt;"",L298&lt;&gt;""),P298*L298*100,"")</f>
        <v/>
      </c>
      <c r="T298" s="49" t="str">
        <f aca="false">IF(AND(Q298&lt;&gt;"",R298&lt;&gt;""),R298-Q298,"")</f>
        <v/>
      </c>
      <c r="U298" s="50" t="str">
        <f aca="false">IF(AND(Q298&lt;&gt;"",Q298&lt;&gt;0,T298&lt;&gt;""),T298/Q298,"")</f>
        <v/>
      </c>
      <c r="V298" s="51" t="str">
        <f aca="false">IF(AND(S298&lt;&gt;"",Q298&lt;&gt;""),S298-Q298,"")</f>
        <v/>
      </c>
      <c r="W298" s="52" t="str">
        <f aca="false">IF(AND(Q298&lt;&gt;"",Q298&lt;&gt;0,V298&lt;&gt;""),V298/Q298,"")</f>
        <v/>
      </c>
      <c r="X298" s="53" t="s">
        <v>37</v>
      </c>
      <c r="Y298" s="54" t="str">
        <f aca="false">IF(AND(O298&lt;&gt;"",M298&lt;&gt;"",O298&gt;M298),CONCATENATE("1 : ",TEXT((O298-M298)/M298,"0.00")),IF(AND(O298&lt;&gt;"",M298&lt;&gt;"",O298&lt;M298),CONCATENATE("-1 : ",TEXT((M298-O298)/M298,"0.00")),"—"))</f>
        <v>—</v>
      </c>
      <c r="Z298" s="55" t="str">
        <f aca="false">IF(AND(P298&lt;&gt;"",M298&lt;&gt;"",P298&gt;M298),CONCATENATE("1 : ",TEXT((P298-M298)/M298,"0.00")),"—")</f>
        <v>—</v>
      </c>
      <c r="AA298" s="56" t="str">
        <f aca="false">IF(AND(C298&lt;&gt;"",E298&lt;&gt;""),E298-C298,"")</f>
        <v/>
      </c>
      <c r="AB298" s="42"/>
      <c r="AC298" s="57"/>
      <c r="AD298" s="58"/>
      <c r="AE298" s="59" t="str">
        <f aca="false">IF(G298&lt;&gt;"",HYPERLINK("https://www.tradingview.com/chart/?symbol="&amp;G298&amp;"&amp;interval=60&amp;from="&amp;(AG298-10*3600)&amp;"&amp;to="&amp;(AG298+50*3600),"📈 1H"),"")</f>
        <v/>
      </c>
      <c r="AF298" s="60" t="str">
        <f aca="false">IF(G298&lt;&gt;"",HYPERLINK("https://www.tradingview.com/chart/?symbol="&amp;G298&amp;"&amp;interval=240&amp;from="&amp;(AG298-10*14400)&amp;"&amp;to="&amp;(AG298+50*14400),"📈 4H"),"")</f>
        <v/>
      </c>
      <c r="AG298" s="36" t="str">
        <f aca="false">IF(C298&lt;&gt;"",INT((C298+IF(D298&lt;&gt;"",D298,0)-DATE(1970,1,1))*86400),"")</f>
        <v/>
      </c>
    </row>
    <row r="299" customFormat="false" ht="19.5" hidden="false" customHeight="true" outlineLevel="0" collapsed="false">
      <c r="A299" s="12" t="n">
        <f aca="false">ROW()-4</f>
        <v>295</v>
      </c>
      <c r="B299" s="13"/>
      <c r="C299" s="14"/>
      <c r="D299" s="15"/>
      <c r="E299" s="14"/>
      <c r="F299" s="15"/>
      <c r="G299" s="16"/>
      <c r="H299" s="17"/>
      <c r="I299" s="18"/>
      <c r="J299" s="19"/>
      <c r="K299" s="14"/>
      <c r="L299" s="17"/>
      <c r="M299" s="19"/>
      <c r="N299" s="20"/>
      <c r="O299" s="19"/>
      <c r="P299" s="21"/>
      <c r="Q299" s="22" t="str">
        <f aca="false">IF(L299="","",IF(M299&lt;&gt;"",M299*L299*100,IF(AND(O299&lt;&gt;"",B299&lt;&gt;""),IFERROR(AVERAGEIF($B$5:$B$1004,B299,$M$5:$M$1004)*L299*100,""),"")))</f>
        <v/>
      </c>
      <c r="R299" s="22" t="str">
        <f aca="false">IF(AND(O299&lt;&gt;"",L299&lt;&gt;""),O299*L299*100,"")</f>
        <v/>
      </c>
      <c r="S299" s="23" t="str">
        <f aca="false">IF(AND(P299&lt;&gt;"",L299&lt;&gt;""),P299*L299*100,"")</f>
        <v/>
      </c>
      <c r="T299" s="24" t="str">
        <f aca="false">IF(AND(Q299&lt;&gt;"",R299&lt;&gt;""),R299-Q299,"")</f>
        <v/>
      </c>
      <c r="U299" s="25" t="str">
        <f aca="false">IF(AND(Q299&lt;&gt;"",Q299&lt;&gt;0,T299&lt;&gt;""),T299/Q299,"")</f>
        <v/>
      </c>
      <c r="V299" s="26" t="str">
        <f aca="false">IF(AND(S299&lt;&gt;"",Q299&lt;&gt;""),S299-Q299,"")</f>
        <v/>
      </c>
      <c r="W299" s="27" t="str">
        <f aca="false">IF(AND(Q299&lt;&gt;"",Q299&lt;&gt;0,V299&lt;&gt;""),V299/Q299,"")</f>
        <v/>
      </c>
      <c r="X299" s="28" t="s">
        <v>37</v>
      </c>
      <c r="Y299" s="29" t="str">
        <f aca="false">IF(AND(O299&lt;&gt;"",M299&lt;&gt;"",O299&gt;M299),CONCATENATE("1 : ",TEXT((O299-M299)/M299,"0.00")),IF(AND(O299&lt;&gt;"",M299&lt;&gt;"",O299&lt;M299),CONCATENATE("-1 : ",TEXT((M299-O299)/M299,"0.00")),"—"))</f>
        <v>—</v>
      </c>
      <c r="Z299" s="30" t="str">
        <f aca="false">IF(AND(P299&lt;&gt;"",M299&lt;&gt;"",P299&gt;M299),CONCATENATE("1 : ",TEXT((P299-M299)/M299,"0.00")),"—")</f>
        <v>—</v>
      </c>
      <c r="AA299" s="31" t="str">
        <f aca="false">IF(AND(C299&lt;&gt;"",E299&lt;&gt;""),E299-C299,"")</f>
        <v/>
      </c>
      <c r="AB299" s="17"/>
      <c r="AC299" s="32"/>
      <c r="AD299" s="33"/>
      <c r="AE299" s="34" t="str">
        <f aca="false">IF(G299&lt;&gt;"",HYPERLINK("https://www.tradingview.com/chart/?symbol="&amp;G299&amp;"&amp;interval=60&amp;from="&amp;(AG299-10*3600)&amp;"&amp;to="&amp;(AG299+50*3600),"📈 1H"),"")</f>
        <v/>
      </c>
      <c r="AF299" s="35" t="str">
        <f aca="false">IF(G299&lt;&gt;"",HYPERLINK("https://www.tradingview.com/chart/?symbol="&amp;G299&amp;"&amp;interval=240&amp;from="&amp;(AG299-10*14400)&amp;"&amp;to="&amp;(AG299+50*14400),"📈 4H"),"")</f>
        <v/>
      </c>
      <c r="AG299" s="36" t="str">
        <f aca="false">IF(C299&lt;&gt;"",INT((C299+IF(D299&lt;&gt;"",D299,0)-DATE(1970,1,1))*86400),"")</f>
        <v/>
      </c>
    </row>
    <row r="300" customFormat="false" ht="19.5" hidden="false" customHeight="true" outlineLevel="0" collapsed="false">
      <c r="A300" s="37" t="n">
        <f aca="false">ROW()-4</f>
        <v>296</v>
      </c>
      <c r="B300" s="38"/>
      <c r="C300" s="39"/>
      <c r="D300" s="40"/>
      <c r="E300" s="39"/>
      <c r="F300" s="40"/>
      <c r="G300" s="41"/>
      <c r="H300" s="42"/>
      <c r="I300" s="43"/>
      <c r="J300" s="44"/>
      <c r="K300" s="39"/>
      <c r="L300" s="42"/>
      <c r="M300" s="44"/>
      <c r="N300" s="45"/>
      <c r="O300" s="44"/>
      <c r="P300" s="46"/>
      <c r="Q300" s="47" t="str">
        <f aca="false">IF(L300="","",IF(M300&lt;&gt;"",M300*L300*100,IF(AND(O300&lt;&gt;"",B300&lt;&gt;""),IFERROR(AVERAGEIF($B$5:$B$1004,B300,$M$5:$M$1004)*L300*100,""),"")))</f>
        <v/>
      </c>
      <c r="R300" s="47" t="str">
        <f aca="false">IF(AND(O300&lt;&gt;"",L300&lt;&gt;""),O300*L300*100,"")</f>
        <v/>
      </c>
      <c r="S300" s="48" t="str">
        <f aca="false">IF(AND(P300&lt;&gt;"",L300&lt;&gt;""),P300*L300*100,"")</f>
        <v/>
      </c>
      <c r="T300" s="49" t="str">
        <f aca="false">IF(AND(Q300&lt;&gt;"",R300&lt;&gt;""),R300-Q300,"")</f>
        <v/>
      </c>
      <c r="U300" s="50" t="str">
        <f aca="false">IF(AND(Q300&lt;&gt;"",Q300&lt;&gt;0,T300&lt;&gt;""),T300/Q300,"")</f>
        <v/>
      </c>
      <c r="V300" s="51" t="str">
        <f aca="false">IF(AND(S300&lt;&gt;"",Q300&lt;&gt;""),S300-Q300,"")</f>
        <v/>
      </c>
      <c r="W300" s="52" t="str">
        <f aca="false">IF(AND(Q300&lt;&gt;"",Q300&lt;&gt;0,V300&lt;&gt;""),V300/Q300,"")</f>
        <v/>
      </c>
      <c r="X300" s="53" t="s">
        <v>37</v>
      </c>
      <c r="Y300" s="54" t="str">
        <f aca="false">IF(AND(O300&lt;&gt;"",M300&lt;&gt;"",O300&gt;M300),CONCATENATE("1 : ",TEXT((O300-M300)/M300,"0.00")),IF(AND(O300&lt;&gt;"",M300&lt;&gt;"",O300&lt;M300),CONCATENATE("-1 : ",TEXT((M300-O300)/M300,"0.00")),"—"))</f>
        <v>—</v>
      </c>
      <c r="Z300" s="55" t="str">
        <f aca="false">IF(AND(P300&lt;&gt;"",M300&lt;&gt;"",P300&gt;M300),CONCATENATE("1 : ",TEXT((P300-M300)/M300,"0.00")),"—")</f>
        <v>—</v>
      </c>
      <c r="AA300" s="56" t="str">
        <f aca="false">IF(AND(C300&lt;&gt;"",E300&lt;&gt;""),E300-C300,"")</f>
        <v/>
      </c>
      <c r="AB300" s="42"/>
      <c r="AC300" s="57"/>
      <c r="AD300" s="58"/>
      <c r="AE300" s="59" t="str">
        <f aca="false">IF(G300&lt;&gt;"",HYPERLINK("https://www.tradingview.com/chart/?symbol="&amp;G300&amp;"&amp;interval=60&amp;from="&amp;(AG300-10*3600)&amp;"&amp;to="&amp;(AG300+50*3600),"📈 1H"),"")</f>
        <v/>
      </c>
      <c r="AF300" s="60" t="str">
        <f aca="false">IF(G300&lt;&gt;"",HYPERLINK("https://www.tradingview.com/chart/?symbol="&amp;G300&amp;"&amp;interval=240&amp;from="&amp;(AG300-10*14400)&amp;"&amp;to="&amp;(AG300+50*14400),"📈 4H"),"")</f>
        <v/>
      </c>
      <c r="AG300" s="36" t="str">
        <f aca="false">IF(C300&lt;&gt;"",INT((C300+IF(D300&lt;&gt;"",D300,0)-DATE(1970,1,1))*86400),"")</f>
        <v/>
      </c>
    </row>
    <row r="301" customFormat="false" ht="19.5" hidden="false" customHeight="true" outlineLevel="0" collapsed="false">
      <c r="A301" s="12" t="n">
        <f aca="false">ROW()-4</f>
        <v>297</v>
      </c>
      <c r="B301" s="13"/>
      <c r="C301" s="14"/>
      <c r="D301" s="15"/>
      <c r="E301" s="14"/>
      <c r="F301" s="15"/>
      <c r="G301" s="16"/>
      <c r="H301" s="17"/>
      <c r="I301" s="18"/>
      <c r="J301" s="19"/>
      <c r="K301" s="14"/>
      <c r="L301" s="17"/>
      <c r="M301" s="19"/>
      <c r="N301" s="20"/>
      <c r="O301" s="19"/>
      <c r="P301" s="21"/>
      <c r="Q301" s="22" t="str">
        <f aca="false">IF(L301="","",IF(M301&lt;&gt;"",M301*L301*100,IF(AND(O301&lt;&gt;"",B301&lt;&gt;""),IFERROR(AVERAGEIF($B$5:$B$1004,B301,$M$5:$M$1004)*L301*100,""),"")))</f>
        <v/>
      </c>
      <c r="R301" s="22" t="str">
        <f aca="false">IF(AND(O301&lt;&gt;"",L301&lt;&gt;""),O301*L301*100,"")</f>
        <v/>
      </c>
      <c r="S301" s="23" t="str">
        <f aca="false">IF(AND(P301&lt;&gt;"",L301&lt;&gt;""),P301*L301*100,"")</f>
        <v/>
      </c>
      <c r="T301" s="24" t="str">
        <f aca="false">IF(AND(Q301&lt;&gt;"",R301&lt;&gt;""),R301-Q301,"")</f>
        <v/>
      </c>
      <c r="U301" s="25" t="str">
        <f aca="false">IF(AND(Q301&lt;&gt;"",Q301&lt;&gt;0,T301&lt;&gt;""),T301/Q301,"")</f>
        <v/>
      </c>
      <c r="V301" s="26" t="str">
        <f aca="false">IF(AND(S301&lt;&gt;"",Q301&lt;&gt;""),S301-Q301,"")</f>
        <v/>
      </c>
      <c r="W301" s="27" t="str">
        <f aca="false">IF(AND(Q301&lt;&gt;"",Q301&lt;&gt;0,V301&lt;&gt;""),V301/Q301,"")</f>
        <v/>
      </c>
      <c r="X301" s="28" t="s">
        <v>37</v>
      </c>
      <c r="Y301" s="29" t="str">
        <f aca="false">IF(AND(O301&lt;&gt;"",M301&lt;&gt;"",O301&gt;M301),CONCATENATE("1 : ",TEXT((O301-M301)/M301,"0.00")),IF(AND(O301&lt;&gt;"",M301&lt;&gt;"",O301&lt;M301),CONCATENATE("-1 : ",TEXT((M301-O301)/M301,"0.00")),"—"))</f>
        <v>—</v>
      </c>
      <c r="Z301" s="30" t="str">
        <f aca="false">IF(AND(P301&lt;&gt;"",M301&lt;&gt;"",P301&gt;M301),CONCATENATE("1 : ",TEXT((P301-M301)/M301,"0.00")),"—")</f>
        <v>—</v>
      </c>
      <c r="AA301" s="31" t="str">
        <f aca="false">IF(AND(C301&lt;&gt;"",E301&lt;&gt;""),E301-C301,"")</f>
        <v/>
      </c>
      <c r="AB301" s="17"/>
      <c r="AC301" s="32"/>
      <c r="AD301" s="33"/>
      <c r="AE301" s="34" t="str">
        <f aca="false">IF(G301&lt;&gt;"",HYPERLINK("https://www.tradingview.com/chart/?symbol="&amp;G301&amp;"&amp;interval=60&amp;from="&amp;(AG301-10*3600)&amp;"&amp;to="&amp;(AG301+50*3600),"📈 1H"),"")</f>
        <v/>
      </c>
      <c r="AF301" s="35" t="str">
        <f aca="false">IF(G301&lt;&gt;"",HYPERLINK("https://www.tradingview.com/chart/?symbol="&amp;G301&amp;"&amp;interval=240&amp;from="&amp;(AG301-10*14400)&amp;"&amp;to="&amp;(AG301+50*14400),"📈 4H"),"")</f>
        <v/>
      </c>
      <c r="AG301" s="36" t="str">
        <f aca="false">IF(C301&lt;&gt;"",INT((C301+IF(D301&lt;&gt;"",D301,0)-DATE(1970,1,1))*86400),"")</f>
        <v/>
      </c>
    </row>
    <row r="302" customFormat="false" ht="19.5" hidden="false" customHeight="true" outlineLevel="0" collapsed="false">
      <c r="A302" s="37" t="n">
        <f aca="false">ROW()-4</f>
        <v>298</v>
      </c>
      <c r="B302" s="38"/>
      <c r="C302" s="39"/>
      <c r="D302" s="40"/>
      <c r="E302" s="39"/>
      <c r="F302" s="40"/>
      <c r="G302" s="41"/>
      <c r="H302" s="42"/>
      <c r="I302" s="43"/>
      <c r="J302" s="44"/>
      <c r="K302" s="39"/>
      <c r="L302" s="42"/>
      <c r="M302" s="44"/>
      <c r="N302" s="45"/>
      <c r="O302" s="44"/>
      <c r="P302" s="46"/>
      <c r="Q302" s="47" t="str">
        <f aca="false">IF(L302="","",IF(M302&lt;&gt;"",M302*L302*100,IF(AND(O302&lt;&gt;"",B302&lt;&gt;""),IFERROR(AVERAGEIF($B$5:$B$1004,B302,$M$5:$M$1004)*L302*100,""),"")))</f>
        <v/>
      </c>
      <c r="R302" s="47" t="str">
        <f aca="false">IF(AND(O302&lt;&gt;"",L302&lt;&gt;""),O302*L302*100,"")</f>
        <v/>
      </c>
      <c r="S302" s="48" t="str">
        <f aca="false">IF(AND(P302&lt;&gt;"",L302&lt;&gt;""),P302*L302*100,"")</f>
        <v/>
      </c>
      <c r="T302" s="49" t="str">
        <f aca="false">IF(AND(Q302&lt;&gt;"",R302&lt;&gt;""),R302-Q302,"")</f>
        <v/>
      </c>
      <c r="U302" s="50" t="str">
        <f aca="false">IF(AND(Q302&lt;&gt;"",Q302&lt;&gt;0,T302&lt;&gt;""),T302/Q302,"")</f>
        <v/>
      </c>
      <c r="V302" s="51" t="str">
        <f aca="false">IF(AND(S302&lt;&gt;"",Q302&lt;&gt;""),S302-Q302,"")</f>
        <v/>
      </c>
      <c r="W302" s="52" t="str">
        <f aca="false">IF(AND(Q302&lt;&gt;"",Q302&lt;&gt;0,V302&lt;&gt;""),V302/Q302,"")</f>
        <v/>
      </c>
      <c r="X302" s="53" t="s">
        <v>37</v>
      </c>
      <c r="Y302" s="54" t="str">
        <f aca="false">IF(AND(O302&lt;&gt;"",M302&lt;&gt;"",O302&gt;M302),CONCATENATE("1 : ",TEXT((O302-M302)/M302,"0.00")),IF(AND(O302&lt;&gt;"",M302&lt;&gt;"",O302&lt;M302),CONCATENATE("-1 : ",TEXT((M302-O302)/M302,"0.00")),"—"))</f>
        <v>—</v>
      </c>
      <c r="Z302" s="55" t="str">
        <f aca="false">IF(AND(P302&lt;&gt;"",M302&lt;&gt;"",P302&gt;M302),CONCATENATE("1 : ",TEXT((P302-M302)/M302,"0.00")),"—")</f>
        <v>—</v>
      </c>
      <c r="AA302" s="56" t="str">
        <f aca="false">IF(AND(C302&lt;&gt;"",E302&lt;&gt;""),E302-C302,"")</f>
        <v/>
      </c>
      <c r="AB302" s="42"/>
      <c r="AC302" s="57"/>
      <c r="AD302" s="58"/>
      <c r="AE302" s="59" t="str">
        <f aca="false">IF(G302&lt;&gt;"",HYPERLINK("https://www.tradingview.com/chart/?symbol="&amp;G302&amp;"&amp;interval=60&amp;from="&amp;(AG302-10*3600)&amp;"&amp;to="&amp;(AG302+50*3600),"📈 1H"),"")</f>
        <v/>
      </c>
      <c r="AF302" s="60" t="str">
        <f aca="false">IF(G302&lt;&gt;"",HYPERLINK("https://www.tradingview.com/chart/?symbol="&amp;G302&amp;"&amp;interval=240&amp;from="&amp;(AG302-10*14400)&amp;"&amp;to="&amp;(AG302+50*14400),"📈 4H"),"")</f>
        <v/>
      </c>
      <c r="AG302" s="36" t="str">
        <f aca="false">IF(C302&lt;&gt;"",INT((C302+IF(D302&lt;&gt;"",D302,0)-DATE(1970,1,1))*86400),"")</f>
        <v/>
      </c>
    </row>
    <row r="303" customFormat="false" ht="19.5" hidden="false" customHeight="true" outlineLevel="0" collapsed="false">
      <c r="A303" s="12" t="n">
        <f aca="false">ROW()-4</f>
        <v>299</v>
      </c>
      <c r="B303" s="13"/>
      <c r="C303" s="14"/>
      <c r="D303" s="15"/>
      <c r="E303" s="14"/>
      <c r="F303" s="15"/>
      <c r="G303" s="16"/>
      <c r="H303" s="17"/>
      <c r="I303" s="18"/>
      <c r="J303" s="19"/>
      <c r="K303" s="14"/>
      <c r="L303" s="17"/>
      <c r="M303" s="19"/>
      <c r="N303" s="20"/>
      <c r="O303" s="19"/>
      <c r="P303" s="21"/>
      <c r="Q303" s="22" t="str">
        <f aca="false">IF(L303="","",IF(M303&lt;&gt;"",M303*L303*100,IF(AND(O303&lt;&gt;"",B303&lt;&gt;""),IFERROR(AVERAGEIF($B$5:$B$1004,B303,$M$5:$M$1004)*L303*100,""),"")))</f>
        <v/>
      </c>
      <c r="R303" s="22" t="str">
        <f aca="false">IF(AND(O303&lt;&gt;"",L303&lt;&gt;""),O303*L303*100,"")</f>
        <v/>
      </c>
      <c r="S303" s="23" t="str">
        <f aca="false">IF(AND(P303&lt;&gt;"",L303&lt;&gt;""),P303*L303*100,"")</f>
        <v/>
      </c>
      <c r="T303" s="24" t="str">
        <f aca="false">IF(AND(Q303&lt;&gt;"",R303&lt;&gt;""),R303-Q303,"")</f>
        <v/>
      </c>
      <c r="U303" s="25" t="str">
        <f aca="false">IF(AND(Q303&lt;&gt;"",Q303&lt;&gt;0,T303&lt;&gt;""),T303/Q303,"")</f>
        <v/>
      </c>
      <c r="V303" s="26" t="str">
        <f aca="false">IF(AND(S303&lt;&gt;"",Q303&lt;&gt;""),S303-Q303,"")</f>
        <v/>
      </c>
      <c r="W303" s="27" t="str">
        <f aca="false">IF(AND(Q303&lt;&gt;"",Q303&lt;&gt;0,V303&lt;&gt;""),V303/Q303,"")</f>
        <v/>
      </c>
      <c r="X303" s="28" t="s">
        <v>37</v>
      </c>
      <c r="Y303" s="29" t="str">
        <f aca="false">IF(AND(O303&lt;&gt;"",M303&lt;&gt;"",O303&gt;M303),CONCATENATE("1 : ",TEXT((O303-M303)/M303,"0.00")),IF(AND(O303&lt;&gt;"",M303&lt;&gt;"",O303&lt;M303),CONCATENATE("-1 : ",TEXT((M303-O303)/M303,"0.00")),"—"))</f>
        <v>—</v>
      </c>
      <c r="Z303" s="30" t="str">
        <f aca="false">IF(AND(P303&lt;&gt;"",M303&lt;&gt;"",P303&gt;M303),CONCATENATE("1 : ",TEXT((P303-M303)/M303,"0.00")),"—")</f>
        <v>—</v>
      </c>
      <c r="AA303" s="31" t="str">
        <f aca="false">IF(AND(C303&lt;&gt;"",E303&lt;&gt;""),E303-C303,"")</f>
        <v/>
      </c>
      <c r="AB303" s="17"/>
      <c r="AC303" s="32"/>
      <c r="AD303" s="33"/>
      <c r="AE303" s="34" t="str">
        <f aca="false">IF(G303&lt;&gt;"",HYPERLINK("https://www.tradingview.com/chart/?symbol="&amp;G303&amp;"&amp;interval=60&amp;from="&amp;(AG303-10*3600)&amp;"&amp;to="&amp;(AG303+50*3600),"📈 1H"),"")</f>
        <v/>
      </c>
      <c r="AF303" s="35" t="str">
        <f aca="false">IF(G303&lt;&gt;"",HYPERLINK("https://www.tradingview.com/chart/?symbol="&amp;G303&amp;"&amp;interval=240&amp;from="&amp;(AG303-10*14400)&amp;"&amp;to="&amp;(AG303+50*14400),"📈 4H"),"")</f>
        <v/>
      </c>
      <c r="AG303" s="36" t="str">
        <f aca="false">IF(C303&lt;&gt;"",INT((C303+IF(D303&lt;&gt;"",D303,0)-DATE(1970,1,1))*86400),"")</f>
        <v/>
      </c>
    </row>
    <row r="304" customFormat="false" ht="19.5" hidden="false" customHeight="true" outlineLevel="0" collapsed="false">
      <c r="A304" s="37" t="n">
        <f aca="false">ROW()-4</f>
        <v>300</v>
      </c>
      <c r="B304" s="38"/>
      <c r="C304" s="39"/>
      <c r="D304" s="40"/>
      <c r="E304" s="39"/>
      <c r="F304" s="40"/>
      <c r="G304" s="41"/>
      <c r="H304" s="42"/>
      <c r="I304" s="43"/>
      <c r="J304" s="44"/>
      <c r="K304" s="39"/>
      <c r="L304" s="42"/>
      <c r="M304" s="44"/>
      <c r="N304" s="45"/>
      <c r="O304" s="44"/>
      <c r="P304" s="46"/>
      <c r="Q304" s="47" t="str">
        <f aca="false">IF(L304="","",IF(M304&lt;&gt;"",M304*L304*100,IF(AND(O304&lt;&gt;"",B304&lt;&gt;""),IFERROR(AVERAGEIF($B$5:$B$1004,B304,$M$5:$M$1004)*L304*100,""),"")))</f>
        <v/>
      </c>
      <c r="R304" s="47" t="str">
        <f aca="false">IF(AND(O304&lt;&gt;"",L304&lt;&gt;""),O304*L304*100,"")</f>
        <v/>
      </c>
      <c r="S304" s="48" t="str">
        <f aca="false">IF(AND(P304&lt;&gt;"",L304&lt;&gt;""),P304*L304*100,"")</f>
        <v/>
      </c>
      <c r="T304" s="49" t="str">
        <f aca="false">IF(AND(Q304&lt;&gt;"",R304&lt;&gt;""),R304-Q304,"")</f>
        <v/>
      </c>
      <c r="U304" s="50" t="str">
        <f aca="false">IF(AND(Q304&lt;&gt;"",Q304&lt;&gt;0,T304&lt;&gt;""),T304/Q304,"")</f>
        <v/>
      </c>
      <c r="V304" s="51" t="str">
        <f aca="false">IF(AND(S304&lt;&gt;"",Q304&lt;&gt;""),S304-Q304,"")</f>
        <v/>
      </c>
      <c r="W304" s="52" t="str">
        <f aca="false">IF(AND(Q304&lt;&gt;"",Q304&lt;&gt;0,V304&lt;&gt;""),V304/Q304,"")</f>
        <v/>
      </c>
      <c r="X304" s="53" t="s">
        <v>37</v>
      </c>
      <c r="Y304" s="54" t="str">
        <f aca="false">IF(AND(O304&lt;&gt;"",M304&lt;&gt;"",O304&gt;M304),CONCATENATE("1 : ",TEXT((O304-M304)/M304,"0.00")),IF(AND(O304&lt;&gt;"",M304&lt;&gt;"",O304&lt;M304),CONCATENATE("-1 : ",TEXT((M304-O304)/M304,"0.00")),"—"))</f>
        <v>—</v>
      </c>
      <c r="Z304" s="55" t="str">
        <f aca="false">IF(AND(P304&lt;&gt;"",M304&lt;&gt;"",P304&gt;M304),CONCATENATE("1 : ",TEXT((P304-M304)/M304,"0.00")),"—")</f>
        <v>—</v>
      </c>
      <c r="AA304" s="56" t="str">
        <f aca="false">IF(AND(C304&lt;&gt;"",E304&lt;&gt;""),E304-C304,"")</f>
        <v/>
      </c>
      <c r="AB304" s="42"/>
      <c r="AC304" s="57"/>
      <c r="AD304" s="58"/>
      <c r="AE304" s="59" t="str">
        <f aca="false">IF(G304&lt;&gt;"",HYPERLINK("https://www.tradingview.com/chart/?symbol="&amp;G304&amp;"&amp;interval=60&amp;from="&amp;(AG304-10*3600)&amp;"&amp;to="&amp;(AG304+50*3600),"📈 1H"),"")</f>
        <v/>
      </c>
      <c r="AF304" s="60" t="str">
        <f aca="false">IF(G304&lt;&gt;"",HYPERLINK("https://www.tradingview.com/chart/?symbol="&amp;G304&amp;"&amp;interval=240&amp;from="&amp;(AG304-10*14400)&amp;"&amp;to="&amp;(AG304+50*14400),"📈 4H"),"")</f>
        <v/>
      </c>
      <c r="AG304" s="36" t="str">
        <f aca="false">IF(C304&lt;&gt;"",INT((C304+IF(D304&lt;&gt;"",D304,0)-DATE(1970,1,1))*86400),"")</f>
        <v/>
      </c>
    </row>
    <row r="305" customFormat="false" ht="19.5" hidden="false" customHeight="true" outlineLevel="0" collapsed="false">
      <c r="A305" s="12" t="n">
        <f aca="false">ROW()-4</f>
        <v>301</v>
      </c>
      <c r="B305" s="13"/>
      <c r="C305" s="14"/>
      <c r="D305" s="15"/>
      <c r="E305" s="14"/>
      <c r="F305" s="15"/>
      <c r="G305" s="16"/>
      <c r="H305" s="17"/>
      <c r="I305" s="18"/>
      <c r="J305" s="19"/>
      <c r="K305" s="14"/>
      <c r="L305" s="17"/>
      <c r="M305" s="19"/>
      <c r="N305" s="20"/>
      <c r="O305" s="19"/>
      <c r="P305" s="21"/>
      <c r="Q305" s="22" t="str">
        <f aca="false">IF(L305="","",IF(M305&lt;&gt;"",M305*L305*100,IF(AND(O305&lt;&gt;"",B305&lt;&gt;""),IFERROR(AVERAGEIF($B$5:$B$1004,B305,$M$5:$M$1004)*L305*100,""),"")))</f>
        <v/>
      </c>
      <c r="R305" s="22" t="str">
        <f aca="false">IF(AND(O305&lt;&gt;"",L305&lt;&gt;""),O305*L305*100,"")</f>
        <v/>
      </c>
      <c r="S305" s="23" t="str">
        <f aca="false">IF(AND(P305&lt;&gt;"",L305&lt;&gt;""),P305*L305*100,"")</f>
        <v/>
      </c>
      <c r="T305" s="24" t="str">
        <f aca="false">IF(AND(Q305&lt;&gt;"",R305&lt;&gt;""),R305-Q305,"")</f>
        <v/>
      </c>
      <c r="U305" s="25" t="str">
        <f aca="false">IF(AND(Q305&lt;&gt;"",Q305&lt;&gt;0,T305&lt;&gt;""),T305/Q305,"")</f>
        <v/>
      </c>
      <c r="V305" s="26" t="str">
        <f aca="false">IF(AND(S305&lt;&gt;"",Q305&lt;&gt;""),S305-Q305,"")</f>
        <v/>
      </c>
      <c r="W305" s="27" t="str">
        <f aca="false">IF(AND(Q305&lt;&gt;"",Q305&lt;&gt;0,V305&lt;&gt;""),V305/Q305,"")</f>
        <v/>
      </c>
      <c r="X305" s="28" t="s">
        <v>37</v>
      </c>
      <c r="Y305" s="29" t="str">
        <f aca="false">IF(AND(O305&lt;&gt;"",M305&lt;&gt;"",O305&gt;M305),CONCATENATE("1 : ",TEXT((O305-M305)/M305,"0.00")),IF(AND(O305&lt;&gt;"",M305&lt;&gt;"",O305&lt;M305),CONCATENATE("-1 : ",TEXT((M305-O305)/M305,"0.00")),"—"))</f>
        <v>—</v>
      </c>
      <c r="Z305" s="30" t="str">
        <f aca="false">IF(AND(P305&lt;&gt;"",M305&lt;&gt;"",P305&gt;M305),CONCATENATE("1 : ",TEXT((P305-M305)/M305,"0.00")),"—")</f>
        <v>—</v>
      </c>
      <c r="AA305" s="31" t="str">
        <f aca="false">IF(AND(C305&lt;&gt;"",E305&lt;&gt;""),E305-C305,"")</f>
        <v/>
      </c>
      <c r="AB305" s="17"/>
      <c r="AC305" s="32"/>
      <c r="AD305" s="33"/>
      <c r="AE305" s="34" t="str">
        <f aca="false">IF(G305&lt;&gt;"",HYPERLINK("https://www.tradingview.com/chart/?symbol="&amp;G305&amp;"&amp;interval=60&amp;from="&amp;(AG305-10*3600)&amp;"&amp;to="&amp;(AG305+50*3600),"📈 1H"),"")</f>
        <v/>
      </c>
      <c r="AF305" s="35" t="str">
        <f aca="false">IF(G305&lt;&gt;"",HYPERLINK("https://www.tradingview.com/chart/?symbol="&amp;G305&amp;"&amp;interval=240&amp;from="&amp;(AG305-10*14400)&amp;"&amp;to="&amp;(AG305+50*14400),"📈 4H"),"")</f>
        <v/>
      </c>
      <c r="AG305" s="36" t="str">
        <f aca="false">IF(C305&lt;&gt;"",INT((C305+IF(D305&lt;&gt;"",D305,0)-DATE(1970,1,1))*86400),"")</f>
        <v/>
      </c>
    </row>
    <row r="306" customFormat="false" ht="19.5" hidden="false" customHeight="true" outlineLevel="0" collapsed="false">
      <c r="A306" s="37" t="n">
        <f aca="false">ROW()-4</f>
        <v>302</v>
      </c>
      <c r="B306" s="38"/>
      <c r="C306" s="39"/>
      <c r="D306" s="40"/>
      <c r="E306" s="39"/>
      <c r="F306" s="40"/>
      <c r="G306" s="41"/>
      <c r="H306" s="42"/>
      <c r="I306" s="43"/>
      <c r="J306" s="44"/>
      <c r="K306" s="39"/>
      <c r="L306" s="42"/>
      <c r="M306" s="44"/>
      <c r="N306" s="45"/>
      <c r="O306" s="44"/>
      <c r="P306" s="46"/>
      <c r="Q306" s="47" t="str">
        <f aca="false">IF(L306="","",IF(M306&lt;&gt;"",M306*L306*100,IF(AND(O306&lt;&gt;"",B306&lt;&gt;""),IFERROR(AVERAGEIF($B$5:$B$1004,B306,$M$5:$M$1004)*L306*100,""),"")))</f>
        <v/>
      </c>
      <c r="R306" s="47" t="str">
        <f aca="false">IF(AND(O306&lt;&gt;"",L306&lt;&gt;""),O306*L306*100,"")</f>
        <v/>
      </c>
      <c r="S306" s="48" t="str">
        <f aca="false">IF(AND(P306&lt;&gt;"",L306&lt;&gt;""),P306*L306*100,"")</f>
        <v/>
      </c>
      <c r="T306" s="49" t="str">
        <f aca="false">IF(AND(Q306&lt;&gt;"",R306&lt;&gt;""),R306-Q306,"")</f>
        <v/>
      </c>
      <c r="U306" s="50" t="str">
        <f aca="false">IF(AND(Q306&lt;&gt;"",Q306&lt;&gt;0,T306&lt;&gt;""),T306/Q306,"")</f>
        <v/>
      </c>
      <c r="V306" s="51" t="str">
        <f aca="false">IF(AND(S306&lt;&gt;"",Q306&lt;&gt;""),S306-Q306,"")</f>
        <v/>
      </c>
      <c r="W306" s="52" t="str">
        <f aca="false">IF(AND(Q306&lt;&gt;"",Q306&lt;&gt;0,V306&lt;&gt;""),V306/Q306,"")</f>
        <v/>
      </c>
      <c r="X306" s="53" t="s">
        <v>37</v>
      </c>
      <c r="Y306" s="54" t="str">
        <f aca="false">IF(AND(O306&lt;&gt;"",M306&lt;&gt;"",O306&gt;M306),CONCATENATE("1 : ",TEXT((O306-M306)/M306,"0.00")),IF(AND(O306&lt;&gt;"",M306&lt;&gt;"",O306&lt;M306),CONCATENATE("-1 : ",TEXT((M306-O306)/M306,"0.00")),"—"))</f>
        <v>—</v>
      </c>
      <c r="Z306" s="55" t="str">
        <f aca="false">IF(AND(P306&lt;&gt;"",M306&lt;&gt;"",P306&gt;M306),CONCATENATE("1 : ",TEXT((P306-M306)/M306,"0.00")),"—")</f>
        <v>—</v>
      </c>
      <c r="AA306" s="56" t="str">
        <f aca="false">IF(AND(C306&lt;&gt;"",E306&lt;&gt;""),E306-C306,"")</f>
        <v/>
      </c>
      <c r="AB306" s="42"/>
      <c r="AC306" s="57"/>
      <c r="AD306" s="58"/>
      <c r="AE306" s="59" t="str">
        <f aca="false">IF(G306&lt;&gt;"",HYPERLINK("https://www.tradingview.com/chart/?symbol="&amp;G306&amp;"&amp;interval=60&amp;from="&amp;(AG306-10*3600)&amp;"&amp;to="&amp;(AG306+50*3600),"📈 1H"),"")</f>
        <v/>
      </c>
      <c r="AF306" s="60" t="str">
        <f aca="false">IF(G306&lt;&gt;"",HYPERLINK("https://www.tradingview.com/chart/?symbol="&amp;G306&amp;"&amp;interval=240&amp;from="&amp;(AG306-10*14400)&amp;"&amp;to="&amp;(AG306+50*14400),"📈 4H"),"")</f>
        <v/>
      </c>
      <c r="AG306" s="36" t="str">
        <f aca="false">IF(C306&lt;&gt;"",INT((C306+IF(D306&lt;&gt;"",D306,0)-DATE(1970,1,1))*86400),"")</f>
        <v/>
      </c>
    </row>
    <row r="307" customFormat="false" ht="19.5" hidden="false" customHeight="true" outlineLevel="0" collapsed="false">
      <c r="A307" s="12" t="n">
        <f aca="false">ROW()-4</f>
        <v>303</v>
      </c>
      <c r="B307" s="13"/>
      <c r="C307" s="14"/>
      <c r="D307" s="15"/>
      <c r="E307" s="14"/>
      <c r="F307" s="15"/>
      <c r="G307" s="16"/>
      <c r="H307" s="17"/>
      <c r="I307" s="18"/>
      <c r="J307" s="19"/>
      <c r="K307" s="14"/>
      <c r="L307" s="17"/>
      <c r="M307" s="19"/>
      <c r="N307" s="20"/>
      <c r="O307" s="19"/>
      <c r="P307" s="21"/>
      <c r="Q307" s="22" t="str">
        <f aca="false">IF(L307="","",IF(M307&lt;&gt;"",M307*L307*100,IF(AND(O307&lt;&gt;"",B307&lt;&gt;""),IFERROR(AVERAGEIF($B$5:$B$1004,B307,$M$5:$M$1004)*L307*100,""),"")))</f>
        <v/>
      </c>
      <c r="R307" s="22" t="str">
        <f aca="false">IF(AND(O307&lt;&gt;"",L307&lt;&gt;""),O307*L307*100,"")</f>
        <v/>
      </c>
      <c r="S307" s="23" t="str">
        <f aca="false">IF(AND(P307&lt;&gt;"",L307&lt;&gt;""),P307*L307*100,"")</f>
        <v/>
      </c>
      <c r="T307" s="24" t="str">
        <f aca="false">IF(AND(Q307&lt;&gt;"",R307&lt;&gt;""),R307-Q307,"")</f>
        <v/>
      </c>
      <c r="U307" s="25" t="str">
        <f aca="false">IF(AND(Q307&lt;&gt;"",Q307&lt;&gt;0,T307&lt;&gt;""),T307/Q307,"")</f>
        <v/>
      </c>
      <c r="V307" s="26" t="str">
        <f aca="false">IF(AND(S307&lt;&gt;"",Q307&lt;&gt;""),S307-Q307,"")</f>
        <v/>
      </c>
      <c r="W307" s="27" t="str">
        <f aca="false">IF(AND(Q307&lt;&gt;"",Q307&lt;&gt;0,V307&lt;&gt;""),V307/Q307,"")</f>
        <v/>
      </c>
      <c r="X307" s="28" t="s">
        <v>37</v>
      </c>
      <c r="Y307" s="29" t="str">
        <f aca="false">IF(AND(O307&lt;&gt;"",M307&lt;&gt;"",O307&gt;M307),CONCATENATE("1 : ",TEXT((O307-M307)/M307,"0.00")),IF(AND(O307&lt;&gt;"",M307&lt;&gt;"",O307&lt;M307),CONCATENATE("-1 : ",TEXT((M307-O307)/M307,"0.00")),"—"))</f>
        <v>—</v>
      </c>
      <c r="Z307" s="30" t="str">
        <f aca="false">IF(AND(P307&lt;&gt;"",M307&lt;&gt;"",P307&gt;M307),CONCATENATE("1 : ",TEXT((P307-M307)/M307,"0.00")),"—")</f>
        <v>—</v>
      </c>
      <c r="AA307" s="31" t="str">
        <f aca="false">IF(AND(C307&lt;&gt;"",E307&lt;&gt;""),E307-C307,"")</f>
        <v/>
      </c>
      <c r="AB307" s="17"/>
      <c r="AC307" s="32"/>
      <c r="AD307" s="33"/>
      <c r="AE307" s="34" t="str">
        <f aca="false">IF(G307&lt;&gt;"",HYPERLINK("https://www.tradingview.com/chart/?symbol="&amp;G307&amp;"&amp;interval=60&amp;from="&amp;(AG307-10*3600)&amp;"&amp;to="&amp;(AG307+50*3600),"📈 1H"),"")</f>
        <v/>
      </c>
      <c r="AF307" s="35" t="str">
        <f aca="false">IF(G307&lt;&gt;"",HYPERLINK("https://www.tradingview.com/chart/?symbol="&amp;G307&amp;"&amp;interval=240&amp;from="&amp;(AG307-10*14400)&amp;"&amp;to="&amp;(AG307+50*14400),"📈 4H"),"")</f>
        <v/>
      </c>
      <c r="AG307" s="36" t="str">
        <f aca="false">IF(C307&lt;&gt;"",INT((C307+IF(D307&lt;&gt;"",D307,0)-DATE(1970,1,1))*86400),"")</f>
        <v/>
      </c>
    </row>
    <row r="308" customFormat="false" ht="19.5" hidden="false" customHeight="true" outlineLevel="0" collapsed="false">
      <c r="A308" s="37" t="n">
        <f aca="false">ROW()-4</f>
        <v>304</v>
      </c>
      <c r="B308" s="38"/>
      <c r="C308" s="39"/>
      <c r="D308" s="40"/>
      <c r="E308" s="39"/>
      <c r="F308" s="40"/>
      <c r="G308" s="41"/>
      <c r="H308" s="42"/>
      <c r="I308" s="43"/>
      <c r="J308" s="44"/>
      <c r="K308" s="39"/>
      <c r="L308" s="42"/>
      <c r="M308" s="44"/>
      <c r="N308" s="45"/>
      <c r="O308" s="44"/>
      <c r="P308" s="46"/>
      <c r="Q308" s="47" t="str">
        <f aca="false">IF(L308="","",IF(M308&lt;&gt;"",M308*L308*100,IF(AND(O308&lt;&gt;"",B308&lt;&gt;""),IFERROR(AVERAGEIF($B$5:$B$1004,B308,$M$5:$M$1004)*L308*100,""),"")))</f>
        <v/>
      </c>
      <c r="R308" s="47" t="str">
        <f aca="false">IF(AND(O308&lt;&gt;"",L308&lt;&gt;""),O308*L308*100,"")</f>
        <v/>
      </c>
      <c r="S308" s="48" t="str">
        <f aca="false">IF(AND(P308&lt;&gt;"",L308&lt;&gt;""),P308*L308*100,"")</f>
        <v/>
      </c>
      <c r="T308" s="49" t="str">
        <f aca="false">IF(AND(Q308&lt;&gt;"",R308&lt;&gt;""),R308-Q308,"")</f>
        <v/>
      </c>
      <c r="U308" s="50" t="str">
        <f aca="false">IF(AND(Q308&lt;&gt;"",Q308&lt;&gt;0,T308&lt;&gt;""),T308/Q308,"")</f>
        <v/>
      </c>
      <c r="V308" s="51" t="str">
        <f aca="false">IF(AND(S308&lt;&gt;"",Q308&lt;&gt;""),S308-Q308,"")</f>
        <v/>
      </c>
      <c r="W308" s="52" t="str">
        <f aca="false">IF(AND(Q308&lt;&gt;"",Q308&lt;&gt;0,V308&lt;&gt;""),V308/Q308,"")</f>
        <v/>
      </c>
      <c r="X308" s="53" t="s">
        <v>37</v>
      </c>
      <c r="Y308" s="54" t="str">
        <f aca="false">IF(AND(O308&lt;&gt;"",M308&lt;&gt;"",O308&gt;M308),CONCATENATE("1 : ",TEXT((O308-M308)/M308,"0.00")),IF(AND(O308&lt;&gt;"",M308&lt;&gt;"",O308&lt;M308),CONCATENATE("-1 : ",TEXT((M308-O308)/M308,"0.00")),"—"))</f>
        <v>—</v>
      </c>
      <c r="Z308" s="55" t="str">
        <f aca="false">IF(AND(P308&lt;&gt;"",M308&lt;&gt;"",P308&gt;M308),CONCATENATE("1 : ",TEXT((P308-M308)/M308,"0.00")),"—")</f>
        <v>—</v>
      </c>
      <c r="AA308" s="56" t="str">
        <f aca="false">IF(AND(C308&lt;&gt;"",E308&lt;&gt;""),E308-C308,"")</f>
        <v/>
      </c>
      <c r="AB308" s="42"/>
      <c r="AC308" s="57"/>
      <c r="AD308" s="58"/>
      <c r="AE308" s="59" t="str">
        <f aca="false">IF(G308&lt;&gt;"",HYPERLINK("https://www.tradingview.com/chart/?symbol="&amp;G308&amp;"&amp;interval=60&amp;from="&amp;(AG308-10*3600)&amp;"&amp;to="&amp;(AG308+50*3600),"📈 1H"),"")</f>
        <v/>
      </c>
      <c r="AF308" s="60" t="str">
        <f aca="false">IF(G308&lt;&gt;"",HYPERLINK("https://www.tradingview.com/chart/?symbol="&amp;G308&amp;"&amp;interval=240&amp;from="&amp;(AG308-10*14400)&amp;"&amp;to="&amp;(AG308+50*14400),"📈 4H"),"")</f>
        <v/>
      </c>
      <c r="AG308" s="36" t="str">
        <f aca="false">IF(C308&lt;&gt;"",INT((C308+IF(D308&lt;&gt;"",D308,0)-DATE(1970,1,1))*86400),"")</f>
        <v/>
      </c>
    </row>
    <row r="309" customFormat="false" ht="19.5" hidden="false" customHeight="true" outlineLevel="0" collapsed="false">
      <c r="A309" s="12" t="n">
        <f aca="false">ROW()-4</f>
        <v>305</v>
      </c>
      <c r="B309" s="13"/>
      <c r="C309" s="14"/>
      <c r="D309" s="15"/>
      <c r="E309" s="14"/>
      <c r="F309" s="15"/>
      <c r="G309" s="16"/>
      <c r="H309" s="17"/>
      <c r="I309" s="18"/>
      <c r="J309" s="19"/>
      <c r="K309" s="14"/>
      <c r="L309" s="17"/>
      <c r="M309" s="19"/>
      <c r="N309" s="20"/>
      <c r="O309" s="19"/>
      <c r="P309" s="21"/>
      <c r="Q309" s="22" t="str">
        <f aca="false">IF(L309="","",IF(M309&lt;&gt;"",M309*L309*100,IF(AND(O309&lt;&gt;"",B309&lt;&gt;""),IFERROR(AVERAGEIF($B$5:$B$1004,B309,$M$5:$M$1004)*L309*100,""),"")))</f>
        <v/>
      </c>
      <c r="R309" s="22" t="str">
        <f aca="false">IF(AND(O309&lt;&gt;"",L309&lt;&gt;""),O309*L309*100,"")</f>
        <v/>
      </c>
      <c r="S309" s="23" t="str">
        <f aca="false">IF(AND(P309&lt;&gt;"",L309&lt;&gt;""),P309*L309*100,"")</f>
        <v/>
      </c>
      <c r="T309" s="24" t="str">
        <f aca="false">IF(AND(Q309&lt;&gt;"",R309&lt;&gt;""),R309-Q309,"")</f>
        <v/>
      </c>
      <c r="U309" s="25" t="str">
        <f aca="false">IF(AND(Q309&lt;&gt;"",Q309&lt;&gt;0,T309&lt;&gt;""),T309/Q309,"")</f>
        <v/>
      </c>
      <c r="V309" s="26" t="str">
        <f aca="false">IF(AND(S309&lt;&gt;"",Q309&lt;&gt;""),S309-Q309,"")</f>
        <v/>
      </c>
      <c r="W309" s="27" t="str">
        <f aca="false">IF(AND(Q309&lt;&gt;"",Q309&lt;&gt;0,V309&lt;&gt;""),V309/Q309,"")</f>
        <v/>
      </c>
      <c r="X309" s="28" t="s">
        <v>37</v>
      </c>
      <c r="Y309" s="29" t="str">
        <f aca="false">IF(AND(O309&lt;&gt;"",M309&lt;&gt;"",O309&gt;M309),CONCATENATE("1 : ",TEXT((O309-M309)/M309,"0.00")),IF(AND(O309&lt;&gt;"",M309&lt;&gt;"",O309&lt;M309),CONCATENATE("-1 : ",TEXT((M309-O309)/M309,"0.00")),"—"))</f>
        <v>—</v>
      </c>
      <c r="Z309" s="30" t="str">
        <f aca="false">IF(AND(P309&lt;&gt;"",M309&lt;&gt;"",P309&gt;M309),CONCATENATE("1 : ",TEXT((P309-M309)/M309,"0.00")),"—")</f>
        <v>—</v>
      </c>
      <c r="AA309" s="31" t="str">
        <f aca="false">IF(AND(C309&lt;&gt;"",E309&lt;&gt;""),E309-C309,"")</f>
        <v/>
      </c>
      <c r="AB309" s="17"/>
      <c r="AC309" s="32"/>
      <c r="AD309" s="33"/>
      <c r="AE309" s="34" t="str">
        <f aca="false">IF(G309&lt;&gt;"",HYPERLINK("https://www.tradingview.com/chart/?symbol="&amp;G309&amp;"&amp;interval=60&amp;from="&amp;(AG309-10*3600)&amp;"&amp;to="&amp;(AG309+50*3600),"📈 1H"),"")</f>
        <v/>
      </c>
      <c r="AF309" s="35" t="str">
        <f aca="false">IF(G309&lt;&gt;"",HYPERLINK("https://www.tradingview.com/chart/?symbol="&amp;G309&amp;"&amp;interval=240&amp;from="&amp;(AG309-10*14400)&amp;"&amp;to="&amp;(AG309+50*14400),"📈 4H"),"")</f>
        <v/>
      </c>
      <c r="AG309" s="36" t="str">
        <f aca="false">IF(C309&lt;&gt;"",INT((C309+IF(D309&lt;&gt;"",D309,0)-DATE(1970,1,1))*86400),"")</f>
        <v/>
      </c>
    </row>
    <row r="310" customFormat="false" ht="19.5" hidden="false" customHeight="true" outlineLevel="0" collapsed="false">
      <c r="A310" s="37" t="n">
        <f aca="false">ROW()-4</f>
        <v>306</v>
      </c>
      <c r="B310" s="38"/>
      <c r="C310" s="39"/>
      <c r="D310" s="40"/>
      <c r="E310" s="39"/>
      <c r="F310" s="40"/>
      <c r="G310" s="41"/>
      <c r="H310" s="42"/>
      <c r="I310" s="43"/>
      <c r="J310" s="44"/>
      <c r="K310" s="39"/>
      <c r="L310" s="42"/>
      <c r="M310" s="44"/>
      <c r="N310" s="45"/>
      <c r="O310" s="44"/>
      <c r="P310" s="46"/>
      <c r="Q310" s="47" t="str">
        <f aca="false">IF(L310="","",IF(M310&lt;&gt;"",M310*L310*100,IF(AND(O310&lt;&gt;"",B310&lt;&gt;""),IFERROR(AVERAGEIF($B$5:$B$1004,B310,$M$5:$M$1004)*L310*100,""),"")))</f>
        <v/>
      </c>
      <c r="R310" s="47" t="str">
        <f aca="false">IF(AND(O310&lt;&gt;"",L310&lt;&gt;""),O310*L310*100,"")</f>
        <v/>
      </c>
      <c r="S310" s="48" t="str">
        <f aca="false">IF(AND(P310&lt;&gt;"",L310&lt;&gt;""),P310*L310*100,"")</f>
        <v/>
      </c>
      <c r="T310" s="49" t="str">
        <f aca="false">IF(AND(Q310&lt;&gt;"",R310&lt;&gt;""),R310-Q310,"")</f>
        <v/>
      </c>
      <c r="U310" s="50" t="str">
        <f aca="false">IF(AND(Q310&lt;&gt;"",Q310&lt;&gt;0,T310&lt;&gt;""),T310/Q310,"")</f>
        <v/>
      </c>
      <c r="V310" s="51" t="str">
        <f aca="false">IF(AND(S310&lt;&gt;"",Q310&lt;&gt;""),S310-Q310,"")</f>
        <v/>
      </c>
      <c r="W310" s="52" t="str">
        <f aca="false">IF(AND(Q310&lt;&gt;"",Q310&lt;&gt;0,V310&lt;&gt;""),V310/Q310,"")</f>
        <v/>
      </c>
      <c r="X310" s="53" t="s">
        <v>37</v>
      </c>
      <c r="Y310" s="54" t="str">
        <f aca="false">IF(AND(O310&lt;&gt;"",M310&lt;&gt;"",O310&gt;M310),CONCATENATE("1 : ",TEXT((O310-M310)/M310,"0.00")),IF(AND(O310&lt;&gt;"",M310&lt;&gt;"",O310&lt;M310),CONCATENATE("-1 : ",TEXT((M310-O310)/M310,"0.00")),"—"))</f>
        <v>—</v>
      </c>
      <c r="Z310" s="55" t="str">
        <f aca="false">IF(AND(P310&lt;&gt;"",M310&lt;&gt;"",P310&gt;M310),CONCATENATE("1 : ",TEXT((P310-M310)/M310,"0.00")),"—")</f>
        <v>—</v>
      </c>
      <c r="AA310" s="56" t="str">
        <f aca="false">IF(AND(C310&lt;&gt;"",E310&lt;&gt;""),E310-C310,"")</f>
        <v/>
      </c>
      <c r="AB310" s="42"/>
      <c r="AC310" s="57"/>
      <c r="AD310" s="58"/>
      <c r="AE310" s="59" t="str">
        <f aca="false">IF(G310&lt;&gt;"",HYPERLINK("https://www.tradingview.com/chart/?symbol="&amp;G310&amp;"&amp;interval=60&amp;from="&amp;(AG310-10*3600)&amp;"&amp;to="&amp;(AG310+50*3600),"📈 1H"),"")</f>
        <v/>
      </c>
      <c r="AF310" s="60" t="str">
        <f aca="false">IF(G310&lt;&gt;"",HYPERLINK("https://www.tradingview.com/chart/?symbol="&amp;G310&amp;"&amp;interval=240&amp;from="&amp;(AG310-10*14400)&amp;"&amp;to="&amp;(AG310+50*14400),"📈 4H"),"")</f>
        <v/>
      </c>
      <c r="AG310" s="36" t="str">
        <f aca="false">IF(C310&lt;&gt;"",INT((C310+IF(D310&lt;&gt;"",D310,0)-DATE(1970,1,1))*86400),"")</f>
        <v/>
      </c>
    </row>
    <row r="311" customFormat="false" ht="19.5" hidden="false" customHeight="true" outlineLevel="0" collapsed="false">
      <c r="A311" s="12" t="n">
        <f aca="false">ROW()-4</f>
        <v>307</v>
      </c>
      <c r="B311" s="13"/>
      <c r="C311" s="14"/>
      <c r="D311" s="15"/>
      <c r="E311" s="14"/>
      <c r="F311" s="15"/>
      <c r="G311" s="16"/>
      <c r="H311" s="17"/>
      <c r="I311" s="18"/>
      <c r="J311" s="19"/>
      <c r="K311" s="14"/>
      <c r="L311" s="17"/>
      <c r="M311" s="19"/>
      <c r="N311" s="20"/>
      <c r="O311" s="19"/>
      <c r="P311" s="21"/>
      <c r="Q311" s="22" t="str">
        <f aca="false">IF(L311="","",IF(M311&lt;&gt;"",M311*L311*100,IF(AND(O311&lt;&gt;"",B311&lt;&gt;""),IFERROR(AVERAGEIF($B$5:$B$1004,B311,$M$5:$M$1004)*L311*100,""),"")))</f>
        <v/>
      </c>
      <c r="R311" s="22" t="str">
        <f aca="false">IF(AND(O311&lt;&gt;"",L311&lt;&gt;""),O311*L311*100,"")</f>
        <v/>
      </c>
      <c r="S311" s="23" t="str">
        <f aca="false">IF(AND(P311&lt;&gt;"",L311&lt;&gt;""),P311*L311*100,"")</f>
        <v/>
      </c>
      <c r="T311" s="24" t="str">
        <f aca="false">IF(AND(Q311&lt;&gt;"",R311&lt;&gt;""),R311-Q311,"")</f>
        <v/>
      </c>
      <c r="U311" s="25" t="str">
        <f aca="false">IF(AND(Q311&lt;&gt;"",Q311&lt;&gt;0,T311&lt;&gt;""),T311/Q311,"")</f>
        <v/>
      </c>
      <c r="V311" s="26" t="str">
        <f aca="false">IF(AND(S311&lt;&gt;"",Q311&lt;&gt;""),S311-Q311,"")</f>
        <v/>
      </c>
      <c r="W311" s="27" t="str">
        <f aca="false">IF(AND(Q311&lt;&gt;"",Q311&lt;&gt;0,V311&lt;&gt;""),V311/Q311,"")</f>
        <v/>
      </c>
      <c r="X311" s="28" t="s">
        <v>37</v>
      </c>
      <c r="Y311" s="29" t="str">
        <f aca="false">IF(AND(O311&lt;&gt;"",M311&lt;&gt;"",O311&gt;M311),CONCATENATE("1 : ",TEXT((O311-M311)/M311,"0.00")),IF(AND(O311&lt;&gt;"",M311&lt;&gt;"",O311&lt;M311),CONCATENATE("-1 : ",TEXT((M311-O311)/M311,"0.00")),"—"))</f>
        <v>—</v>
      </c>
      <c r="Z311" s="30" t="str">
        <f aca="false">IF(AND(P311&lt;&gt;"",M311&lt;&gt;"",P311&gt;M311),CONCATENATE("1 : ",TEXT((P311-M311)/M311,"0.00")),"—")</f>
        <v>—</v>
      </c>
      <c r="AA311" s="31" t="str">
        <f aca="false">IF(AND(C311&lt;&gt;"",E311&lt;&gt;""),E311-C311,"")</f>
        <v/>
      </c>
      <c r="AB311" s="17"/>
      <c r="AC311" s="32"/>
      <c r="AD311" s="33"/>
      <c r="AE311" s="34" t="str">
        <f aca="false">IF(G311&lt;&gt;"",HYPERLINK("https://www.tradingview.com/chart/?symbol="&amp;G311&amp;"&amp;interval=60&amp;from="&amp;(AG311-10*3600)&amp;"&amp;to="&amp;(AG311+50*3600),"📈 1H"),"")</f>
        <v/>
      </c>
      <c r="AF311" s="35" t="str">
        <f aca="false">IF(G311&lt;&gt;"",HYPERLINK("https://www.tradingview.com/chart/?symbol="&amp;G311&amp;"&amp;interval=240&amp;from="&amp;(AG311-10*14400)&amp;"&amp;to="&amp;(AG311+50*14400),"📈 4H"),"")</f>
        <v/>
      </c>
      <c r="AG311" s="36" t="str">
        <f aca="false">IF(C311&lt;&gt;"",INT((C311+IF(D311&lt;&gt;"",D311,0)-DATE(1970,1,1))*86400),"")</f>
        <v/>
      </c>
    </row>
    <row r="312" customFormat="false" ht="19.5" hidden="false" customHeight="true" outlineLevel="0" collapsed="false">
      <c r="A312" s="37" t="n">
        <f aca="false">ROW()-4</f>
        <v>308</v>
      </c>
      <c r="B312" s="38"/>
      <c r="C312" s="39"/>
      <c r="D312" s="40"/>
      <c r="E312" s="39"/>
      <c r="F312" s="40"/>
      <c r="G312" s="41"/>
      <c r="H312" s="42"/>
      <c r="I312" s="43"/>
      <c r="J312" s="44"/>
      <c r="K312" s="39"/>
      <c r="L312" s="42"/>
      <c r="M312" s="44"/>
      <c r="N312" s="45"/>
      <c r="O312" s="44"/>
      <c r="P312" s="46"/>
      <c r="Q312" s="47" t="str">
        <f aca="false">IF(L312="","",IF(M312&lt;&gt;"",M312*L312*100,IF(AND(O312&lt;&gt;"",B312&lt;&gt;""),IFERROR(AVERAGEIF($B$5:$B$1004,B312,$M$5:$M$1004)*L312*100,""),"")))</f>
        <v/>
      </c>
      <c r="R312" s="47" t="str">
        <f aca="false">IF(AND(O312&lt;&gt;"",L312&lt;&gt;""),O312*L312*100,"")</f>
        <v/>
      </c>
      <c r="S312" s="48" t="str">
        <f aca="false">IF(AND(P312&lt;&gt;"",L312&lt;&gt;""),P312*L312*100,"")</f>
        <v/>
      </c>
      <c r="T312" s="49" t="str">
        <f aca="false">IF(AND(Q312&lt;&gt;"",R312&lt;&gt;""),R312-Q312,"")</f>
        <v/>
      </c>
      <c r="U312" s="50" t="str">
        <f aca="false">IF(AND(Q312&lt;&gt;"",Q312&lt;&gt;0,T312&lt;&gt;""),T312/Q312,"")</f>
        <v/>
      </c>
      <c r="V312" s="51" t="str">
        <f aca="false">IF(AND(S312&lt;&gt;"",Q312&lt;&gt;""),S312-Q312,"")</f>
        <v/>
      </c>
      <c r="W312" s="52" t="str">
        <f aca="false">IF(AND(Q312&lt;&gt;"",Q312&lt;&gt;0,V312&lt;&gt;""),V312/Q312,"")</f>
        <v/>
      </c>
      <c r="X312" s="53" t="s">
        <v>37</v>
      </c>
      <c r="Y312" s="54" t="str">
        <f aca="false">IF(AND(O312&lt;&gt;"",M312&lt;&gt;"",O312&gt;M312),CONCATENATE("1 : ",TEXT((O312-M312)/M312,"0.00")),IF(AND(O312&lt;&gt;"",M312&lt;&gt;"",O312&lt;M312),CONCATENATE("-1 : ",TEXT((M312-O312)/M312,"0.00")),"—"))</f>
        <v>—</v>
      </c>
      <c r="Z312" s="55" t="str">
        <f aca="false">IF(AND(P312&lt;&gt;"",M312&lt;&gt;"",P312&gt;M312),CONCATENATE("1 : ",TEXT((P312-M312)/M312,"0.00")),"—")</f>
        <v>—</v>
      </c>
      <c r="AA312" s="56" t="str">
        <f aca="false">IF(AND(C312&lt;&gt;"",E312&lt;&gt;""),E312-C312,"")</f>
        <v/>
      </c>
      <c r="AB312" s="42"/>
      <c r="AC312" s="57"/>
      <c r="AD312" s="58"/>
      <c r="AE312" s="59" t="str">
        <f aca="false">IF(G312&lt;&gt;"",HYPERLINK("https://www.tradingview.com/chart/?symbol="&amp;G312&amp;"&amp;interval=60&amp;from="&amp;(AG312-10*3600)&amp;"&amp;to="&amp;(AG312+50*3600),"📈 1H"),"")</f>
        <v/>
      </c>
      <c r="AF312" s="60" t="str">
        <f aca="false">IF(G312&lt;&gt;"",HYPERLINK("https://www.tradingview.com/chart/?symbol="&amp;G312&amp;"&amp;interval=240&amp;from="&amp;(AG312-10*14400)&amp;"&amp;to="&amp;(AG312+50*14400),"📈 4H"),"")</f>
        <v/>
      </c>
      <c r="AG312" s="36" t="str">
        <f aca="false">IF(C312&lt;&gt;"",INT((C312+IF(D312&lt;&gt;"",D312,0)-DATE(1970,1,1))*86400),"")</f>
        <v/>
      </c>
    </row>
    <row r="313" customFormat="false" ht="19.5" hidden="false" customHeight="true" outlineLevel="0" collapsed="false">
      <c r="A313" s="12" t="n">
        <f aca="false">ROW()-4</f>
        <v>309</v>
      </c>
      <c r="B313" s="13"/>
      <c r="C313" s="14"/>
      <c r="D313" s="15"/>
      <c r="E313" s="14"/>
      <c r="F313" s="15"/>
      <c r="G313" s="16"/>
      <c r="H313" s="17"/>
      <c r="I313" s="18"/>
      <c r="J313" s="19"/>
      <c r="K313" s="14"/>
      <c r="L313" s="17"/>
      <c r="M313" s="19"/>
      <c r="N313" s="20"/>
      <c r="O313" s="19"/>
      <c r="P313" s="21"/>
      <c r="Q313" s="22" t="str">
        <f aca="false">IF(L313="","",IF(M313&lt;&gt;"",M313*L313*100,IF(AND(O313&lt;&gt;"",B313&lt;&gt;""),IFERROR(AVERAGEIF($B$5:$B$1004,B313,$M$5:$M$1004)*L313*100,""),"")))</f>
        <v/>
      </c>
      <c r="R313" s="22" t="str">
        <f aca="false">IF(AND(O313&lt;&gt;"",L313&lt;&gt;""),O313*L313*100,"")</f>
        <v/>
      </c>
      <c r="S313" s="23" t="str">
        <f aca="false">IF(AND(P313&lt;&gt;"",L313&lt;&gt;""),P313*L313*100,"")</f>
        <v/>
      </c>
      <c r="T313" s="24" t="str">
        <f aca="false">IF(AND(Q313&lt;&gt;"",R313&lt;&gt;""),R313-Q313,"")</f>
        <v/>
      </c>
      <c r="U313" s="25" t="str">
        <f aca="false">IF(AND(Q313&lt;&gt;"",Q313&lt;&gt;0,T313&lt;&gt;""),T313/Q313,"")</f>
        <v/>
      </c>
      <c r="V313" s="26" t="str">
        <f aca="false">IF(AND(S313&lt;&gt;"",Q313&lt;&gt;""),S313-Q313,"")</f>
        <v/>
      </c>
      <c r="W313" s="27" t="str">
        <f aca="false">IF(AND(Q313&lt;&gt;"",Q313&lt;&gt;0,V313&lt;&gt;""),V313/Q313,"")</f>
        <v/>
      </c>
      <c r="X313" s="28" t="s">
        <v>37</v>
      </c>
      <c r="Y313" s="29" t="str">
        <f aca="false">IF(AND(O313&lt;&gt;"",M313&lt;&gt;"",O313&gt;M313),CONCATENATE("1 : ",TEXT((O313-M313)/M313,"0.00")),IF(AND(O313&lt;&gt;"",M313&lt;&gt;"",O313&lt;M313),CONCATENATE("-1 : ",TEXT((M313-O313)/M313,"0.00")),"—"))</f>
        <v>—</v>
      </c>
      <c r="Z313" s="30" t="str">
        <f aca="false">IF(AND(P313&lt;&gt;"",M313&lt;&gt;"",P313&gt;M313),CONCATENATE("1 : ",TEXT((P313-M313)/M313,"0.00")),"—")</f>
        <v>—</v>
      </c>
      <c r="AA313" s="31" t="str">
        <f aca="false">IF(AND(C313&lt;&gt;"",E313&lt;&gt;""),E313-C313,"")</f>
        <v/>
      </c>
      <c r="AB313" s="17"/>
      <c r="AC313" s="32"/>
      <c r="AD313" s="33"/>
      <c r="AE313" s="34" t="str">
        <f aca="false">IF(G313&lt;&gt;"",HYPERLINK("https://www.tradingview.com/chart/?symbol="&amp;G313&amp;"&amp;interval=60&amp;from="&amp;(AG313-10*3600)&amp;"&amp;to="&amp;(AG313+50*3600),"📈 1H"),"")</f>
        <v/>
      </c>
      <c r="AF313" s="35" t="str">
        <f aca="false">IF(G313&lt;&gt;"",HYPERLINK("https://www.tradingview.com/chart/?symbol="&amp;G313&amp;"&amp;interval=240&amp;from="&amp;(AG313-10*14400)&amp;"&amp;to="&amp;(AG313+50*14400),"📈 4H"),"")</f>
        <v/>
      </c>
      <c r="AG313" s="36" t="str">
        <f aca="false">IF(C313&lt;&gt;"",INT((C313+IF(D313&lt;&gt;"",D313,0)-DATE(1970,1,1))*86400),"")</f>
        <v/>
      </c>
    </row>
    <row r="314" customFormat="false" ht="19.5" hidden="false" customHeight="true" outlineLevel="0" collapsed="false">
      <c r="A314" s="37" t="n">
        <f aca="false">ROW()-4</f>
        <v>310</v>
      </c>
      <c r="B314" s="38"/>
      <c r="C314" s="39"/>
      <c r="D314" s="40"/>
      <c r="E314" s="39"/>
      <c r="F314" s="40"/>
      <c r="G314" s="41"/>
      <c r="H314" s="42"/>
      <c r="I314" s="43"/>
      <c r="J314" s="44"/>
      <c r="K314" s="39"/>
      <c r="L314" s="42"/>
      <c r="M314" s="44"/>
      <c r="N314" s="45"/>
      <c r="O314" s="44"/>
      <c r="P314" s="46"/>
      <c r="Q314" s="47" t="str">
        <f aca="false">IF(L314="","",IF(M314&lt;&gt;"",M314*L314*100,IF(AND(O314&lt;&gt;"",B314&lt;&gt;""),IFERROR(AVERAGEIF($B$5:$B$1004,B314,$M$5:$M$1004)*L314*100,""),"")))</f>
        <v/>
      </c>
      <c r="R314" s="47" t="str">
        <f aca="false">IF(AND(O314&lt;&gt;"",L314&lt;&gt;""),O314*L314*100,"")</f>
        <v/>
      </c>
      <c r="S314" s="48" t="str">
        <f aca="false">IF(AND(P314&lt;&gt;"",L314&lt;&gt;""),P314*L314*100,"")</f>
        <v/>
      </c>
      <c r="T314" s="49" t="str">
        <f aca="false">IF(AND(Q314&lt;&gt;"",R314&lt;&gt;""),R314-Q314,"")</f>
        <v/>
      </c>
      <c r="U314" s="50" t="str">
        <f aca="false">IF(AND(Q314&lt;&gt;"",Q314&lt;&gt;0,T314&lt;&gt;""),T314/Q314,"")</f>
        <v/>
      </c>
      <c r="V314" s="51" t="str">
        <f aca="false">IF(AND(S314&lt;&gt;"",Q314&lt;&gt;""),S314-Q314,"")</f>
        <v/>
      </c>
      <c r="W314" s="52" t="str">
        <f aca="false">IF(AND(Q314&lt;&gt;"",Q314&lt;&gt;0,V314&lt;&gt;""),V314/Q314,"")</f>
        <v/>
      </c>
      <c r="X314" s="53" t="s">
        <v>37</v>
      </c>
      <c r="Y314" s="54" t="str">
        <f aca="false">IF(AND(O314&lt;&gt;"",M314&lt;&gt;"",O314&gt;M314),CONCATENATE("1 : ",TEXT((O314-M314)/M314,"0.00")),IF(AND(O314&lt;&gt;"",M314&lt;&gt;"",O314&lt;M314),CONCATENATE("-1 : ",TEXT((M314-O314)/M314,"0.00")),"—"))</f>
        <v>—</v>
      </c>
      <c r="Z314" s="55" t="str">
        <f aca="false">IF(AND(P314&lt;&gt;"",M314&lt;&gt;"",P314&gt;M314),CONCATENATE("1 : ",TEXT((P314-M314)/M314,"0.00")),"—")</f>
        <v>—</v>
      </c>
      <c r="AA314" s="56" t="str">
        <f aca="false">IF(AND(C314&lt;&gt;"",E314&lt;&gt;""),E314-C314,"")</f>
        <v/>
      </c>
      <c r="AB314" s="42"/>
      <c r="AC314" s="57"/>
      <c r="AD314" s="58"/>
      <c r="AE314" s="59" t="str">
        <f aca="false">IF(G314&lt;&gt;"",HYPERLINK("https://www.tradingview.com/chart/?symbol="&amp;G314&amp;"&amp;interval=60&amp;from="&amp;(AG314-10*3600)&amp;"&amp;to="&amp;(AG314+50*3600),"📈 1H"),"")</f>
        <v/>
      </c>
      <c r="AF314" s="60" t="str">
        <f aca="false">IF(G314&lt;&gt;"",HYPERLINK("https://www.tradingview.com/chart/?symbol="&amp;G314&amp;"&amp;interval=240&amp;from="&amp;(AG314-10*14400)&amp;"&amp;to="&amp;(AG314+50*14400),"📈 4H"),"")</f>
        <v/>
      </c>
      <c r="AG314" s="36" t="str">
        <f aca="false">IF(C314&lt;&gt;"",INT((C314+IF(D314&lt;&gt;"",D314,0)-DATE(1970,1,1))*86400),"")</f>
        <v/>
      </c>
    </row>
    <row r="315" customFormat="false" ht="19.5" hidden="false" customHeight="true" outlineLevel="0" collapsed="false">
      <c r="A315" s="12" t="n">
        <f aca="false">ROW()-4</f>
        <v>311</v>
      </c>
      <c r="B315" s="13"/>
      <c r="C315" s="14"/>
      <c r="D315" s="15"/>
      <c r="E315" s="14"/>
      <c r="F315" s="15"/>
      <c r="G315" s="16"/>
      <c r="H315" s="17"/>
      <c r="I315" s="18"/>
      <c r="J315" s="19"/>
      <c r="K315" s="14"/>
      <c r="L315" s="17"/>
      <c r="M315" s="19"/>
      <c r="N315" s="20"/>
      <c r="O315" s="19"/>
      <c r="P315" s="21"/>
      <c r="Q315" s="22" t="str">
        <f aca="false">IF(L315="","",IF(M315&lt;&gt;"",M315*L315*100,IF(AND(O315&lt;&gt;"",B315&lt;&gt;""),IFERROR(AVERAGEIF($B$5:$B$1004,B315,$M$5:$M$1004)*L315*100,""),"")))</f>
        <v/>
      </c>
      <c r="R315" s="22" t="str">
        <f aca="false">IF(AND(O315&lt;&gt;"",L315&lt;&gt;""),O315*L315*100,"")</f>
        <v/>
      </c>
      <c r="S315" s="23" t="str">
        <f aca="false">IF(AND(P315&lt;&gt;"",L315&lt;&gt;""),P315*L315*100,"")</f>
        <v/>
      </c>
      <c r="T315" s="24" t="str">
        <f aca="false">IF(AND(Q315&lt;&gt;"",R315&lt;&gt;""),R315-Q315,"")</f>
        <v/>
      </c>
      <c r="U315" s="25" t="str">
        <f aca="false">IF(AND(Q315&lt;&gt;"",Q315&lt;&gt;0,T315&lt;&gt;""),T315/Q315,"")</f>
        <v/>
      </c>
      <c r="V315" s="26" t="str">
        <f aca="false">IF(AND(S315&lt;&gt;"",Q315&lt;&gt;""),S315-Q315,"")</f>
        <v/>
      </c>
      <c r="W315" s="27" t="str">
        <f aca="false">IF(AND(Q315&lt;&gt;"",Q315&lt;&gt;0,V315&lt;&gt;""),V315/Q315,"")</f>
        <v/>
      </c>
      <c r="X315" s="28" t="s">
        <v>37</v>
      </c>
      <c r="Y315" s="29" t="str">
        <f aca="false">IF(AND(O315&lt;&gt;"",M315&lt;&gt;"",O315&gt;M315),CONCATENATE("1 : ",TEXT((O315-M315)/M315,"0.00")),IF(AND(O315&lt;&gt;"",M315&lt;&gt;"",O315&lt;M315),CONCATENATE("-1 : ",TEXT((M315-O315)/M315,"0.00")),"—"))</f>
        <v>—</v>
      </c>
      <c r="Z315" s="30" t="str">
        <f aca="false">IF(AND(P315&lt;&gt;"",M315&lt;&gt;"",P315&gt;M315),CONCATENATE("1 : ",TEXT((P315-M315)/M315,"0.00")),"—")</f>
        <v>—</v>
      </c>
      <c r="AA315" s="31" t="str">
        <f aca="false">IF(AND(C315&lt;&gt;"",E315&lt;&gt;""),E315-C315,"")</f>
        <v/>
      </c>
      <c r="AB315" s="17"/>
      <c r="AC315" s="32"/>
      <c r="AD315" s="33"/>
      <c r="AE315" s="34" t="str">
        <f aca="false">IF(G315&lt;&gt;"",HYPERLINK("https://www.tradingview.com/chart/?symbol="&amp;G315&amp;"&amp;interval=60&amp;from="&amp;(AG315-10*3600)&amp;"&amp;to="&amp;(AG315+50*3600),"📈 1H"),"")</f>
        <v/>
      </c>
      <c r="AF315" s="35" t="str">
        <f aca="false">IF(G315&lt;&gt;"",HYPERLINK("https://www.tradingview.com/chart/?symbol="&amp;G315&amp;"&amp;interval=240&amp;from="&amp;(AG315-10*14400)&amp;"&amp;to="&amp;(AG315+50*14400),"📈 4H"),"")</f>
        <v/>
      </c>
      <c r="AG315" s="36" t="str">
        <f aca="false">IF(C315&lt;&gt;"",INT((C315+IF(D315&lt;&gt;"",D315,0)-DATE(1970,1,1))*86400),"")</f>
        <v/>
      </c>
    </row>
    <row r="316" customFormat="false" ht="19.5" hidden="false" customHeight="true" outlineLevel="0" collapsed="false">
      <c r="A316" s="37" t="n">
        <f aca="false">ROW()-4</f>
        <v>312</v>
      </c>
      <c r="B316" s="38"/>
      <c r="C316" s="39"/>
      <c r="D316" s="40"/>
      <c r="E316" s="39"/>
      <c r="F316" s="40"/>
      <c r="G316" s="41"/>
      <c r="H316" s="42"/>
      <c r="I316" s="43"/>
      <c r="J316" s="44"/>
      <c r="K316" s="39"/>
      <c r="L316" s="42"/>
      <c r="M316" s="44"/>
      <c r="N316" s="45"/>
      <c r="O316" s="44"/>
      <c r="P316" s="46"/>
      <c r="Q316" s="47" t="str">
        <f aca="false">IF(L316="","",IF(M316&lt;&gt;"",M316*L316*100,IF(AND(O316&lt;&gt;"",B316&lt;&gt;""),IFERROR(AVERAGEIF($B$5:$B$1004,B316,$M$5:$M$1004)*L316*100,""),"")))</f>
        <v/>
      </c>
      <c r="R316" s="47" t="str">
        <f aca="false">IF(AND(O316&lt;&gt;"",L316&lt;&gt;""),O316*L316*100,"")</f>
        <v/>
      </c>
      <c r="S316" s="48" t="str">
        <f aca="false">IF(AND(P316&lt;&gt;"",L316&lt;&gt;""),P316*L316*100,"")</f>
        <v/>
      </c>
      <c r="T316" s="49" t="str">
        <f aca="false">IF(AND(Q316&lt;&gt;"",R316&lt;&gt;""),R316-Q316,"")</f>
        <v/>
      </c>
      <c r="U316" s="50" t="str">
        <f aca="false">IF(AND(Q316&lt;&gt;"",Q316&lt;&gt;0,T316&lt;&gt;""),T316/Q316,"")</f>
        <v/>
      </c>
      <c r="V316" s="51" t="str">
        <f aca="false">IF(AND(S316&lt;&gt;"",Q316&lt;&gt;""),S316-Q316,"")</f>
        <v/>
      </c>
      <c r="W316" s="52" t="str">
        <f aca="false">IF(AND(Q316&lt;&gt;"",Q316&lt;&gt;0,V316&lt;&gt;""),V316/Q316,"")</f>
        <v/>
      </c>
      <c r="X316" s="53" t="s">
        <v>37</v>
      </c>
      <c r="Y316" s="54" t="str">
        <f aca="false">IF(AND(O316&lt;&gt;"",M316&lt;&gt;"",O316&gt;M316),CONCATENATE("1 : ",TEXT((O316-M316)/M316,"0.00")),IF(AND(O316&lt;&gt;"",M316&lt;&gt;"",O316&lt;M316),CONCATENATE("-1 : ",TEXT((M316-O316)/M316,"0.00")),"—"))</f>
        <v>—</v>
      </c>
      <c r="Z316" s="55" t="str">
        <f aca="false">IF(AND(P316&lt;&gt;"",M316&lt;&gt;"",P316&gt;M316),CONCATENATE("1 : ",TEXT((P316-M316)/M316,"0.00")),"—")</f>
        <v>—</v>
      </c>
      <c r="AA316" s="56" t="str">
        <f aca="false">IF(AND(C316&lt;&gt;"",E316&lt;&gt;""),E316-C316,"")</f>
        <v/>
      </c>
      <c r="AB316" s="42"/>
      <c r="AC316" s="57"/>
      <c r="AD316" s="58"/>
      <c r="AE316" s="59" t="str">
        <f aca="false">IF(G316&lt;&gt;"",HYPERLINK("https://www.tradingview.com/chart/?symbol="&amp;G316&amp;"&amp;interval=60&amp;from="&amp;(AG316-10*3600)&amp;"&amp;to="&amp;(AG316+50*3600),"📈 1H"),"")</f>
        <v/>
      </c>
      <c r="AF316" s="60" t="str">
        <f aca="false">IF(G316&lt;&gt;"",HYPERLINK("https://www.tradingview.com/chart/?symbol="&amp;G316&amp;"&amp;interval=240&amp;from="&amp;(AG316-10*14400)&amp;"&amp;to="&amp;(AG316+50*14400),"📈 4H"),"")</f>
        <v/>
      </c>
      <c r="AG316" s="36" t="str">
        <f aca="false">IF(C316&lt;&gt;"",INT((C316+IF(D316&lt;&gt;"",D316,0)-DATE(1970,1,1))*86400),"")</f>
        <v/>
      </c>
    </row>
    <row r="317" customFormat="false" ht="19.5" hidden="false" customHeight="true" outlineLevel="0" collapsed="false">
      <c r="A317" s="12" t="n">
        <f aca="false">ROW()-4</f>
        <v>313</v>
      </c>
      <c r="B317" s="13"/>
      <c r="C317" s="14"/>
      <c r="D317" s="15"/>
      <c r="E317" s="14"/>
      <c r="F317" s="15"/>
      <c r="G317" s="16"/>
      <c r="H317" s="17"/>
      <c r="I317" s="18"/>
      <c r="J317" s="19"/>
      <c r="K317" s="14"/>
      <c r="L317" s="17"/>
      <c r="M317" s="19"/>
      <c r="N317" s="20"/>
      <c r="O317" s="19"/>
      <c r="P317" s="21"/>
      <c r="Q317" s="22" t="str">
        <f aca="false">IF(L317="","",IF(M317&lt;&gt;"",M317*L317*100,IF(AND(O317&lt;&gt;"",B317&lt;&gt;""),IFERROR(AVERAGEIF($B$5:$B$1004,B317,$M$5:$M$1004)*L317*100,""),"")))</f>
        <v/>
      </c>
      <c r="R317" s="22" t="str">
        <f aca="false">IF(AND(O317&lt;&gt;"",L317&lt;&gt;""),O317*L317*100,"")</f>
        <v/>
      </c>
      <c r="S317" s="23" t="str">
        <f aca="false">IF(AND(P317&lt;&gt;"",L317&lt;&gt;""),P317*L317*100,"")</f>
        <v/>
      </c>
      <c r="T317" s="24" t="str">
        <f aca="false">IF(AND(Q317&lt;&gt;"",R317&lt;&gt;""),R317-Q317,"")</f>
        <v/>
      </c>
      <c r="U317" s="25" t="str">
        <f aca="false">IF(AND(Q317&lt;&gt;"",Q317&lt;&gt;0,T317&lt;&gt;""),T317/Q317,"")</f>
        <v/>
      </c>
      <c r="V317" s="26" t="str">
        <f aca="false">IF(AND(S317&lt;&gt;"",Q317&lt;&gt;""),S317-Q317,"")</f>
        <v/>
      </c>
      <c r="W317" s="27" t="str">
        <f aca="false">IF(AND(Q317&lt;&gt;"",Q317&lt;&gt;0,V317&lt;&gt;""),V317/Q317,"")</f>
        <v/>
      </c>
      <c r="X317" s="28" t="s">
        <v>37</v>
      </c>
      <c r="Y317" s="29" t="str">
        <f aca="false">IF(AND(O317&lt;&gt;"",M317&lt;&gt;"",O317&gt;M317),CONCATENATE("1 : ",TEXT((O317-M317)/M317,"0.00")),IF(AND(O317&lt;&gt;"",M317&lt;&gt;"",O317&lt;M317),CONCATENATE("-1 : ",TEXT((M317-O317)/M317,"0.00")),"—"))</f>
        <v>—</v>
      </c>
      <c r="Z317" s="30" t="str">
        <f aca="false">IF(AND(P317&lt;&gt;"",M317&lt;&gt;"",P317&gt;M317),CONCATENATE("1 : ",TEXT((P317-M317)/M317,"0.00")),"—")</f>
        <v>—</v>
      </c>
      <c r="AA317" s="31" t="str">
        <f aca="false">IF(AND(C317&lt;&gt;"",E317&lt;&gt;""),E317-C317,"")</f>
        <v/>
      </c>
      <c r="AB317" s="17"/>
      <c r="AC317" s="32"/>
      <c r="AD317" s="33"/>
      <c r="AE317" s="34" t="str">
        <f aca="false">IF(G317&lt;&gt;"",HYPERLINK("https://www.tradingview.com/chart/?symbol="&amp;G317&amp;"&amp;interval=60&amp;from="&amp;(AG317-10*3600)&amp;"&amp;to="&amp;(AG317+50*3600),"📈 1H"),"")</f>
        <v/>
      </c>
      <c r="AF317" s="35" t="str">
        <f aca="false">IF(G317&lt;&gt;"",HYPERLINK("https://www.tradingview.com/chart/?symbol="&amp;G317&amp;"&amp;interval=240&amp;from="&amp;(AG317-10*14400)&amp;"&amp;to="&amp;(AG317+50*14400),"📈 4H"),"")</f>
        <v/>
      </c>
      <c r="AG317" s="36" t="str">
        <f aca="false">IF(C317&lt;&gt;"",INT((C317+IF(D317&lt;&gt;"",D317,0)-DATE(1970,1,1))*86400),"")</f>
        <v/>
      </c>
    </row>
    <row r="318" customFormat="false" ht="19.5" hidden="false" customHeight="true" outlineLevel="0" collapsed="false">
      <c r="A318" s="37" t="n">
        <f aca="false">ROW()-4</f>
        <v>314</v>
      </c>
      <c r="B318" s="38"/>
      <c r="C318" s="39"/>
      <c r="D318" s="40"/>
      <c r="E318" s="39"/>
      <c r="F318" s="40"/>
      <c r="G318" s="41"/>
      <c r="H318" s="42"/>
      <c r="I318" s="43"/>
      <c r="J318" s="44"/>
      <c r="K318" s="39"/>
      <c r="L318" s="42"/>
      <c r="M318" s="44"/>
      <c r="N318" s="45"/>
      <c r="O318" s="44"/>
      <c r="P318" s="46"/>
      <c r="Q318" s="47" t="str">
        <f aca="false">IF(L318="","",IF(M318&lt;&gt;"",M318*L318*100,IF(AND(O318&lt;&gt;"",B318&lt;&gt;""),IFERROR(AVERAGEIF($B$5:$B$1004,B318,$M$5:$M$1004)*L318*100,""),"")))</f>
        <v/>
      </c>
      <c r="R318" s="47" t="str">
        <f aca="false">IF(AND(O318&lt;&gt;"",L318&lt;&gt;""),O318*L318*100,"")</f>
        <v/>
      </c>
      <c r="S318" s="48" t="str">
        <f aca="false">IF(AND(P318&lt;&gt;"",L318&lt;&gt;""),P318*L318*100,"")</f>
        <v/>
      </c>
      <c r="T318" s="49" t="str">
        <f aca="false">IF(AND(Q318&lt;&gt;"",R318&lt;&gt;""),R318-Q318,"")</f>
        <v/>
      </c>
      <c r="U318" s="50" t="str">
        <f aca="false">IF(AND(Q318&lt;&gt;"",Q318&lt;&gt;0,T318&lt;&gt;""),T318/Q318,"")</f>
        <v/>
      </c>
      <c r="V318" s="51" t="str">
        <f aca="false">IF(AND(S318&lt;&gt;"",Q318&lt;&gt;""),S318-Q318,"")</f>
        <v/>
      </c>
      <c r="W318" s="52" t="str">
        <f aca="false">IF(AND(Q318&lt;&gt;"",Q318&lt;&gt;0,V318&lt;&gt;""),V318/Q318,"")</f>
        <v/>
      </c>
      <c r="X318" s="53" t="s">
        <v>37</v>
      </c>
      <c r="Y318" s="54" t="str">
        <f aca="false">IF(AND(O318&lt;&gt;"",M318&lt;&gt;"",O318&gt;M318),CONCATENATE("1 : ",TEXT((O318-M318)/M318,"0.00")),IF(AND(O318&lt;&gt;"",M318&lt;&gt;"",O318&lt;M318),CONCATENATE("-1 : ",TEXT((M318-O318)/M318,"0.00")),"—"))</f>
        <v>—</v>
      </c>
      <c r="Z318" s="55" t="str">
        <f aca="false">IF(AND(P318&lt;&gt;"",M318&lt;&gt;"",P318&gt;M318),CONCATENATE("1 : ",TEXT((P318-M318)/M318,"0.00")),"—")</f>
        <v>—</v>
      </c>
      <c r="AA318" s="56" t="str">
        <f aca="false">IF(AND(C318&lt;&gt;"",E318&lt;&gt;""),E318-C318,"")</f>
        <v/>
      </c>
      <c r="AB318" s="42"/>
      <c r="AC318" s="57"/>
      <c r="AD318" s="58"/>
      <c r="AE318" s="59" t="str">
        <f aca="false">IF(G318&lt;&gt;"",HYPERLINK("https://www.tradingview.com/chart/?symbol="&amp;G318&amp;"&amp;interval=60&amp;from="&amp;(AG318-10*3600)&amp;"&amp;to="&amp;(AG318+50*3600),"📈 1H"),"")</f>
        <v/>
      </c>
      <c r="AF318" s="60" t="str">
        <f aca="false">IF(G318&lt;&gt;"",HYPERLINK("https://www.tradingview.com/chart/?symbol="&amp;G318&amp;"&amp;interval=240&amp;from="&amp;(AG318-10*14400)&amp;"&amp;to="&amp;(AG318+50*14400),"📈 4H"),"")</f>
        <v/>
      </c>
      <c r="AG318" s="36" t="str">
        <f aca="false">IF(C318&lt;&gt;"",INT((C318+IF(D318&lt;&gt;"",D318,0)-DATE(1970,1,1))*86400),"")</f>
        <v/>
      </c>
    </row>
    <row r="319" customFormat="false" ht="19.5" hidden="false" customHeight="true" outlineLevel="0" collapsed="false">
      <c r="A319" s="12" t="n">
        <f aca="false">ROW()-4</f>
        <v>315</v>
      </c>
      <c r="B319" s="13"/>
      <c r="C319" s="14"/>
      <c r="D319" s="15"/>
      <c r="E319" s="14"/>
      <c r="F319" s="15"/>
      <c r="G319" s="16"/>
      <c r="H319" s="17"/>
      <c r="I319" s="18"/>
      <c r="J319" s="19"/>
      <c r="K319" s="14"/>
      <c r="L319" s="17"/>
      <c r="M319" s="19"/>
      <c r="N319" s="20"/>
      <c r="O319" s="19"/>
      <c r="P319" s="21"/>
      <c r="Q319" s="22" t="str">
        <f aca="false">IF(L319="","",IF(M319&lt;&gt;"",M319*L319*100,IF(AND(O319&lt;&gt;"",B319&lt;&gt;""),IFERROR(AVERAGEIF($B$5:$B$1004,B319,$M$5:$M$1004)*L319*100,""),"")))</f>
        <v/>
      </c>
      <c r="R319" s="22" t="str">
        <f aca="false">IF(AND(O319&lt;&gt;"",L319&lt;&gt;""),O319*L319*100,"")</f>
        <v/>
      </c>
      <c r="S319" s="23" t="str">
        <f aca="false">IF(AND(P319&lt;&gt;"",L319&lt;&gt;""),P319*L319*100,"")</f>
        <v/>
      </c>
      <c r="T319" s="24" t="str">
        <f aca="false">IF(AND(Q319&lt;&gt;"",R319&lt;&gt;""),R319-Q319,"")</f>
        <v/>
      </c>
      <c r="U319" s="25" t="str">
        <f aca="false">IF(AND(Q319&lt;&gt;"",Q319&lt;&gt;0,T319&lt;&gt;""),T319/Q319,"")</f>
        <v/>
      </c>
      <c r="V319" s="26" t="str">
        <f aca="false">IF(AND(S319&lt;&gt;"",Q319&lt;&gt;""),S319-Q319,"")</f>
        <v/>
      </c>
      <c r="W319" s="27" t="str">
        <f aca="false">IF(AND(Q319&lt;&gt;"",Q319&lt;&gt;0,V319&lt;&gt;""),V319/Q319,"")</f>
        <v/>
      </c>
      <c r="X319" s="28" t="s">
        <v>37</v>
      </c>
      <c r="Y319" s="29" t="str">
        <f aca="false">IF(AND(O319&lt;&gt;"",M319&lt;&gt;"",O319&gt;M319),CONCATENATE("1 : ",TEXT((O319-M319)/M319,"0.00")),IF(AND(O319&lt;&gt;"",M319&lt;&gt;"",O319&lt;M319),CONCATENATE("-1 : ",TEXT((M319-O319)/M319,"0.00")),"—"))</f>
        <v>—</v>
      </c>
      <c r="Z319" s="30" t="str">
        <f aca="false">IF(AND(P319&lt;&gt;"",M319&lt;&gt;"",P319&gt;M319),CONCATENATE("1 : ",TEXT((P319-M319)/M319,"0.00")),"—")</f>
        <v>—</v>
      </c>
      <c r="AA319" s="31" t="str">
        <f aca="false">IF(AND(C319&lt;&gt;"",E319&lt;&gt;""),E319-C319,"")</f>
        <v/>
      </c>
      <c r="AB319" s="17"/>
      <c r="AC319" s="32"/>
      <c r="AD319" s="33"/>
      <c r="AE319" s="34" t="str">
        <f aca="false">IF(G319&lt;&gt;"",HYPERLINK("https://www.tradingview.com/chart/?symbol="&amp;G319&amp;"&amp;interval=60&amp;from="&amp;(AG319-10*3600)&amp;"&amp;to="&amp;(AG319+50*3600),"📈 1H"),"")</f>
        <v/>
      </c>
      <c r="AF319" s="35" t="str">
        <f aca="false">IF(G319&lt;&gt;"",HYPERLINK("https://www.tradingview.com/chart/?symbol="&amp;G319&amp;"&amp;interval=240&amp;from="&amp;(AG319-10*14400)&amp;"&amp;to="&amp;(AG319+50*14400),"📈 4H"),"")</f>
        <v/>
      </c>
      <c r="AG319" s="36" t="str">
        <f aca="false">IF(C319&lt;&gt;"",INT((C319+IF(D319&lt;&gt;"",D319,0)-DATE(1970,1,1))*86400),"")</f>
        <v/>
      </c>
    </row>
    <row r="320" customFormat="false" ht="19.5" hidden="false" customHeight="true" outlineLevel="0" collapsed="false">
      <c r="A320" s="37" t="n">
        <f aca="false">ROW()-4</f>
        <v>316</v>
      </c>
      <c r="B320" s="38"/>
      <c r="C320" s="39"/>
      <c r="D320" s="40"/>
      <c r="E320" s="39"/>
      <c r="F320" s="40"/>
      <c r="G320" s="41"/>
      <c r="H320" s="42"/>
      <c r="I320" s="43"/>
      <c r="J320" s="44"/>
      <c r="K320" s="39"/>
      <c r="L320" s="42"/>
      <c r="M320" s="44"/>
      <c r="N320" s="45"/>
      <c r="O320" s="44"/>
      <c r="P320" s="46"/>
      <c r="Q320" s="47" t="str">
        <f aca="false">IF(L320="","",IF(M320&lt;&gt;"",M320*L320*100,IF(AND(O320&lt;&gt;"",B320&lt;&gt;""),IFERROR(AVERAGEIF($B$5:$B$1004,B320,$M$5:$M$1004)*L320*100,""),"")))</f>
        <v/>
      </c>
      <c r="R320" s="47" t="str">
        <f aca="false">IF(AND(O320&lt;&gt;"",L320&lt;&gt;""),O320*L320*100,"")</f>
        <v/>
      </c>
      <c r="S320" s="48" t="str">
        <f aca="false">IF(AND(P320&lt;&gt;"",L320&lt;&gt;""),P320*L320*100,"")</f>
        <v/>
      </c>
      <c r="T320" s="49" t="str">
        <f aca="false">IF(AND(Q320&lt;&gt;"",R320&lt;&gt;""),R320-Q320,"")</f>
        <v/>
      </c>
      <c r="U320" s="50" t="str">
        <f aca="false">IF(AND(Q320&lt;&gt;"",Q320&lt;&gt;0,T320&lt;&gt;""),T320/Q320,"")</f>
        <v/>
      </c>
      <c r="V320" s="51" t="str">
        <f aca="false">IF(AND(S320&lt;&gt;"",Q320&lt;&gt;""),S320-Q320,"")</f>
        <v/>
      </c>
      <c r="W320" s="52" t="str">
        <f aca="false">IF(AND(Q320&lt;&gt;"",Q320&lt;&gt;0,V320&lt;&gt;""),V320/Q320,"")</f>
        <v/>
      </c>
      <c r="X320" s="53" t="s">
        <v>37</v>
      </c>
      <c r="Y320" s="54" t="str">
        <f aca="false">IF(AND(O320&lt;&gt;"",M320&lt;&gt;"",O320&gt;M320),CONCATENATE("1 : ",TEXT((O320-M320)/M320,"0.00")),IF(AND(O320&lt;&gt;"",M320&lt;&gt;"",O320&lt;M320),CONCATENATE("-1 : ",TEXT((M320-O320)/M320,"0.00")),"—"))</f>
        <v>—</v>
      </c>
      <c r="Z320" s="55" t="str">
        <f aca="false">IF(AND(P320&lt;&gt;"",M320&lt;&gt;"",P320&gt;M320),CONCATENATE("1 : ",TEXT((P320-M320)/M320,"0.00")),"—")</f>
        <v>—</v>
      </c>
      <c r="AA320" s="56" t="str">
        <f aca="false">IF(AND(C320&lt;&gt;"",E320&lt;&gt;""),E320-C320,"")</f>
        <v/>
      </c>
      <c r="AB320" s="42"/>
      <c r="AC320" s="57"/>
      <c r="AD320" s="58"/>
      <c r="AE320" s="59" t="str">
        <f aca="false">IF(G320&lt;&gt;"",HYPERLINK("https://www.tradingview.com/chart/?symbol="&amp;G320&amp;"&amp;interval=60&amp;from="&amp;(AG320-10*3600)&amp;"&amp;to="&amp;(AG320+50*3600),"📈 1H"),"")</f>
        <v/>
      </c>
      <c r="AF320" s="60" t="str">
        <f aca="false">IF(G320&lt;&gt;"",HYPERLINK("https://www.tradingview.com/chart/?symbol="&amp;G320&amp;"&amp;interval=240&amp;from="&amp;(AG320-10*14400)&amp;"&amp;to="&amp;(AG320+50*14400),"📈 4H"),"")</f>
        <v/>
      </c>
      <c r="AG320" s="36" t="str">
        <f aca="false">IF(C320&lt;&gt;"",INT((C320+IF(D320&lt;&gt;"",D320,0)-DATE(1970,1,1))*86400),"")</f>
        <v/>
      </c>
    </row>
    <row r="321" customFormat="false" ht="19.5" hidden="false" customHeight="true" outlineLevel="0" collapsed="false">
      <c r="A321" s="12" t="n">
        <f aca="false">ROW()-4</f>
        <v>317</v>
      </c>
      <c r="B321" s="13"/>
      <c r="C321" s="14"/>
      <c r="D321" s="15"/>
      <c r="E321" s="14"/>
      <c r="F321" s="15"/>
      <c r="G321" s="16"/>
      <c r="H321" s="17"/>
      <c r="I321" s="18"/>
      <c r="J321" s="19"/>
      <c r="K321" s="14"/>
      <c r="L321" s="17"/>
      <c r="M321" s="19"/>
      <c r="N321" s="20"/>
      <c r="O321" s="19"/>
      <c r="P321" s="21"/>
      <c r="Q321" s="22" t="str">
        <f aca="false">IF(L321="","",IF(M321&lt;&gt;"",M321*L321*100,IF(AND(O321&lt;&gt;"",B321&lt;&gt;""),IFERROR(AVERAGEIF($B$5:$B$1004,B321,$M$5:$M$1004)*L321*100,""),"")))</f>
        <v/>
      </c>
      <c r="R321" s="22" t="str">
        <f aca="false">IF(AND(O321&lt;&gt;"",L321&lt;&gt;""),O321*L321*100,"")</f>
        <v/>
      </c>
      <c r="S321" s="23" t="str">
        <f aca="false">IF(AND(P321&lt;&gt;"",L321&lt;&gt;""),P321*L321*100,"")</f>
        <v/>
      </c>
      <c r="T321" s="24" t="str">
        <f aca="false">IF(AND(Q321&lt;&gt;"",R321&lt;&gt;""),R321-Q321,"")</f>
        <v/>
      </c>
      <c r="U321" s="25" t="str">
        <f aca="false">IF(AND(Q321&lt;&gt;"",Q321&lt;&gt;0,T321&lt;&gt;""),T321/Q321,"")</f>
        <v/>
      </c>
      <c r="V321" s="26" t="str">
        <f aca="false">IF(AND(S321&lt;&gt;"",Q321&lt;&gt;""),S321-Q321,"")</f>
        <v/>
      </c>
      <c r="W321" s="27" t="str">
        <f aca="false">IF(AND(Q321&lt;&gt;"",Q321&lt;&gt;0,V321&lt;&gt;""),V321/Q321,"")</f>
        <v/>
      </c>
      <c r="X321" s="28" t="s">
        <v>37</v>
      </c>
      <c r="Y321" s="29" t="str">
        <f aca="false">IF(AND(O321&lt;&gt;"",M321&lt;&gt;"",O321&gt;M321),CONCATENATE("1 : ",TEXT((O321-M321)/M321,"0.00")),IF(AND(O321&lt;&gt;"",M321&lt;&gt;"",O321&lt;M321),CONCATENATE("-1 : ",TEXT((M321-O321)/M321,"0.00")),"—"))</f>
        <v>—</v>
      </c>
      <c r="Z321" s="30" t="str">
        <f aca="false">IF(AND(P321&lt;&gt;"",M321&lt;&gt;"",P321&gt;M321),CONCATENATE("1 : ",TEXT((P321-M321)/M321,"0.00")),"—")</f>
        <v>—</v>
      </c>
      <c r="AA321" s="31" t="str">
        <f aca="false">IF(AND(C321&lt;&gt;"",E321&lt;&gt;""),E321-C321,"")</f>
        <v/>
      </c>
      <c r="AB321" s="17"/>
      <c r="AC321" s="32"/>
      <c r="AD321" s="33"/>
      <c r="AE321" s="34" t="str">
        <f aca="false">IF(G321&lt;&gt;"",HYPERLINK("https://www.tradingview.com/chart/?symbol="&amp;G321&amp;"&amp;interval=60&amp;from="&amp;(AG321-10*3600)&amp;"&amp;to="&amp;(AG321+50*3600),"📈 1H"),"")</f>
        <v/>
      </c>
      <c r="AF321" s="35" t="str">
        <f aca="false">IF(G321&lt;&gt;"",HYPERLINK("https://www.tradingview.com/chart/?symbol="&amp;G321&amp;"&amp;interval=240&amp;from="&amp;(AG321-10*14400)&amp;"&amp;to="&amp;(AG321+50*14400),"📈 4H"),"")</f>
        <v/>
      </c>
      <c r="AG321" s="36" t="str">
        <f aca="false">IF(C321&lt;&gt;"",INT((C321+IF(D321&lt;&gt;"",D321,0)-DATE(1970,1,1))*86400),"")</f>
        <v/>
      </c>
    </row>
    <row r="322" customFormat="false" ht="19.5" hidden="false" customHeight="true" outlineLevel="0" collapsed="false">
      <c r="A322" s="37" t="n">
        <f aca="false">ROW()-4</f>
        <v>318</v>
      </c>
      <c r="B322" s="38"/>
      <c r="C322" s="39"/>
      <c r="D322" s="40"/>
      <c r="E322" s="39"/>
      <c r="F322" s="40"/>
      <c r="G322" s="41"/>
      <c r="H322" s="42"/>
      <c r="I322" s="43"/>
      <c r="J322" s="44"/>
      <c r="K322" s="39"/>
      <c r="L322" s="42"/>
      <c r="M322" s="44"/>
      <c r="N322" s="45"/>
      <c r="O322" s="44"/>
      <c r="P322" s="46"/>
      <c r="Q322" s="47" t="str">
        <f aca="false">IF(L322="","",IF(M322&lt;&gt;"",M322*L322*100,IF(AND(O322&lt;&gt;"",B322&lt;&gt;""),IFERROR(AVERAGEIF($B$5:$B$1004,B322,$M$5:$M$1004)*L322*100,""),"")))</f>
        <v/>
      </c>
      <c r="R322" s="47" t="str">
        <f aca="false">IF(AND(O322&lt;&gt;"",L322&lt;&gt;""),O322*L322*100,"")</f>
        <v/>
      </c>
      <c r="S322" s="48" t="str">
        <f aca="false">IF(AND(P322&lt;&gt;"",L322&lt;&gt;""),P322*L322*100,"")</f>
        <v/>
      </c>
      <c r="T322" s="49" t="str">
        <f aca="false">IF(AND(Q322&lt;&gt;"",R322&lt;&gt;""),R322-Q322,"")</f>
        <v/>
      </c>
      <c r="U322" s="50" t="str">
        <f aca="false">IF(AND(Q322&lt;&gt;"",Q322&lt;&gt;0,T322&lt;&gt;""),T322/Q322,"")</f>
        <v/>
      </c>
      <c r="V322" s="51" t="str">
        <f aca="false">IF(AND(S322&lt;&gt;"",Q322&lt;&gt;""),S322-Q322,"")</f>
        <v/>
      </c>
      <c r="W322" s="52" t="str">
        <f aca="false">IF(AND(Q322&lt;&gt;"",Q322&lt;&gt;0,V322&lt;&gt;""),V322/Q322,"")</f>
        <v/>
      </c>
      <c r="X322" s="53" t="s">
        <v>37</v>
      </c>
      <c r="Y322" s="54" t="str">
        <f aca="false">IF(AND(O322&lt;&gt;"",M322&lt;&gt;"",O322&gt;M322),CONCATENATE("1 : ",TEXT((O322-M322)/M322,"0.00")),IF(AND(O322&lt;&gt;"",M322&lt;&gt;"",O322&lt;M322),CONCATENATE("-1 : ",TEXT((M322-O322)/M322,"0.00")),"—"))</f>
        <v>—</v>
      </c>
      <c r="Z322" s="55" t="str">
        <f aca="false">IF(AND(P322&lt;&gt;"",M322&lt;&gt;"",P322&gt;M322),CONCATENATE("1 : ",TEXT((P322-M322)/M322,"0.00")),"—")</f>
        <v>—</v>
      </c>
      <c r="AA322" s="56" t="str">
        <f aca="false">IF(AND(C322&lt;&gt;"",E322&lt;&gt;""),E322-C322,"")</f>
        <v/>
      </c>
      <c r="AB322" s="42"/>
      <c r="AC322" s="57"/>
      <c r="AD322" s="58"/>
      <c r="AE322" s="59" t="str">
        <f aca="false">IF(G322&lt;&gt;"",HYPERLINK("https://www.tradingview.com/chart/?symbol="&amp;G322&amp;"&amp;interval=60&amp;from="&amp;(AG322-10*3600)&amp;"&amp;to="&amp;(AG322+50*3600),"📈 1H"),"")</f>
        <v/>
      </c>
      <c r="AF322" s="60" t="str">
        <f aca="false">IF(G322&lt;&gt;"",HYPERLINK("https://www.tradingview.com/chart/?symbol="&amp;G322&amp;"&amp;interval=240&amp;from="&amp;(AG322-10*14400)&amp;"&amp;to="&amp;(AG322+50*14400),"📈 4H"),"")</f>
        <v/>
      </c>
      <c r="AG322" s="36" t="str">
        <f aca="false">IF(C322&lt;&gt;"",INT((C322+IF(D322&lt;&gt;"",D322,0)-DATE(1970,1,1))*86400),"")</f>
        <v/>
      </c>
    </row>
    <row r="323" customFormat="false" ht="19.5" hidden="false" customHeight="true" outlineLevel="0" collapsed="false">
      <c r="A323" s="12" t="n">
        <f aca="false">ROW()-4</f>
        <v>319</v>
      </c>
      <c r="B323" s="13"/>
      <c r="C323" s="14"/>
      <c r="D323" s="15"/>
      <c r="E323" s="14"/>
      <c r="F323" s="15"/>
      <c r="G323" s="16"/>
      <c r="H323" s="17"/>
      <c r="I323" s="18"/>
      <c r="J323" s="19"/>
      <c r="K323" s="14"/>
      <c r="L323" s="17"/>
      <c r="M323" s="19"/>
      <c r="N323" s="20"/>
      <c r="O323" s="19"/>
      <c r="P323" s="21"/>
      <c r="Q323" s="22" t="str">
        <f aca="false">IF(L323="","",IF(M323&lt;&gt;"",M323*L323*100,IF(AND(O323&lt;&gt;"",B323&lt;&gt;""),IFERROR(AVERAGEIF($B$5:$B$1004,B323,$M$5:$M$1004)*L323*100,""),"")))</f>
        <v/>
      </c>
      <c r="R323" s="22" t="str">
        <f aca="false">IF(AND(O323&lt;&gt;"",L323&lt;&gt;""),O323*L323*100,"")</f>
        <v/>
      </c>
      <c r="S323" s="23" t="str">
        <f aca="false">IF(AND(P323&lt;&gt;"",L323&lt;&gt;""),P323*L323*100,"")</f>
        <v/>
      </c>
      <c r="T323" s="24" t="str">
        <f aca="false">IF(AND(Q323&lt;&gt;"",R323&lt;&gt;""),R323-Q323,"")</f>
        <v/>
      </c>
      <c r="U323" s="25" t="str">
        <f aca="false">IF(AND(Q323&lt;&gt;"",Q323&lt;&gt;0,T323&lt;&gt;""),T323/Q323,"")</f>
        <v/>
      </c>
      <c r="V323" s="26" t="str">
        <f aca="false">IF(AND(S323&lt;&gt;"",Q323&lt;&gt;""),S323-Q323,"")</f>
        <v/>
      </c>
      <c r="W323" s="27" t="str">
        <f aca="false">IF(AND(Q323&lt;&gt;"",Q323&lt;&gt;0,V323&lt;&gt;""),V323/Q323,"")</f>
        <v/>
      </c>
      <c r="X323" s="28" t="s">
        <v>37</v>
      </c>
      <c r="Y323" s="29" t="str">
        <f aca="false">IF(AND(O323&lt;&gt;"",M323&lt;&gt;"",O323&gt;M323),CONCATENATE("1 : ",TEXT((O323-M323)/M323,"0.00")),IF(AND(O323&lt;&gt;"",M323&lt;&gt;"",O323&lt;M323),CONCATENATE("-1 : ",TEXT((M323-O323)/M323,"0.00")),"—"))</f>
        <v>—</v>
      </c>
      <c r="Z323" s="30" t="str">
        <f aca="false">IF(AND(P323&lt;&gt;"",M323&lt;&gt;"",P323&gt;M323),CONCATENATE("1 : ",TEXT((P323-M323)/M323,"0.00")),"—")</f>
        <v>—</v>
      </c>
      <c r="AA323" s="31" t="str">
        <f aca="false">IF(AND(C323&lt;&gt;"",E323&lt;&gt;""),E323-C323,"")</f>
        <v/>
      </c>
      <c r="AB323" s="17"/>
      <c r="AC323" s="32"/>
      <c r="AD323" s="33"/>
      <c r="AE323" s="34" t="str">
        <f aca="false">IF(G323&lt;&gt;"",HYPERLINK("https://www.tradingview.com/chart/?symbol="&amp;G323&amp;"&amp;interval=60&amp;from="&amp;(AG323-10*3600)&amp;"&amp;to="&amp;(AG323+50*3600),"📈 1H"),"")</f>
        <v/>
      </c>
      <c r="AF323" s="35" t="str">
        <f aca="false">IF(G323&lt;&gt;"",HYPERLINK("https://www.tradingview.com/chart/?symbol="&amp;G323&amp;"&amp;interval=240&amp;from="&amp;(AG323-10*14400)&amp;"&amp;to="&amp;(AG323+50*14400),"📈 4H"),"")</f>
        <v/>
      </c>
      <c r="AG323" s="36" t="str">
        <f aca="false">IF(C323&lt;&gt;"",INT((C323+IF(D323&lt;&gt;"",D323,0)-DATE(1970,1,1))*86400),"")</f>
        <v/>
      </c>
    </row>
    <row r="324" customFormat="false" ht="19.5" hidden="false" customHeight="true" outlineLevel="0" collapsed="false">
      <c r="A324" s="37" t="n">
        <f aca="false">ROW()-4</f>
        <v>320</v>
      </c>
      <c r="B324" s="38"/>
      <c r="C324" s="39"/>
      <c r="D324" s="40"/>
      <c r="E324" s="39"/>
      <c r="F324" s="40"/>
      <c r="G324" s="41"/>
      <c r="H324" s="42"/>
      <c r="I324" s="43"/>
      <c r="J324" s="44"/>
      <c r="K324" s="39"/>
      <c r="L324" s="42"/>
      <c r="M324" s="44"/>
      <c r="N324" s="45"/>
      <c r="O324" s="44"/>
      <c r="P324" s="46"/>
      <c r="Q324" s="47" t="str">
        <f aca="false">IF(L324="","",IF(M324&lt;&gt;"",M324*L324*100,IF(AND(O324&lt;&gt;"",B324&lt;&gt;""),IFERROR(AVERAGEIF($B$5:$B$1004,B324,$M$5:$M$1004)*L324*100,""),"")))</f>
        <v/>
      </c>
      <c r="R324" s="47" t="str">
        <f aca="false">IF(AND(O324&lt;&gt;"",L324&lt;&gt;""),O324*L324*100,"")</f>
        <v/>
      </c>
      <c r="S324" s="48" t="str">
        <f aca="false">IF(AND(P324&lt;&gt;"",L324&lt;&gt;""),P324*L324*100,"")</f>
        <v/>
      </c>
      <c r="T324" s="49" t="str">
        <f aca="false">IF(AND(Q324&lt;&gt;"",R324&lt;&gt;""),R324-Q324,"")</f>
        <v/>
      </c>
      <c r="U324" s="50" t="str">
        <f aca="false">IF(AND(Q324&lt;&gt;"",Q324&lt;&gt;0,T324&lt;&gt;""),T324/Q324,"")</f>
        <v/>
      </c>
      <c r="V324" s="51" t="str">
        <f aca="false">IF(AND(S324&lt;&gt;"",Q324&lt;&gt;""),S324-Q324,"")</f>
        <v/>
      </c>
      <c r="W324" s="52" t="str">
        <f aca="false">IF(AND(Q324&lt;&gt;"",Q324&lt;&gt;0,V324&lt;&gt;""),V324/Q324,"")</f>
        <v/>
      </c>
      <c r="X324" s="53" t="s">
        <v>37</v>
      </c>
      <c r="Y324" s="54" t="str">
        <f aca="false">IF(AND(O324&lt;&gt;"",M324&lt;&gt;"",O324&gt;M324),CONCATENATE("1 : ",TEXT((O324-M324)/M324,"0.00")),IF(AND(O324&lt;&gt;"",M324&lt;&gt;"",O324&lt;M324),CONCATENATE("-1 : ",TEXT((M324-O324)/M324,"0.00")),"—"))</f>
        <v>—</v>
      </c>
      <c r="Z324" s="55" t="str">
        <f aca="false">IF(AND(P324&lt;&gt;"",M324&lt;&gt;"",P324&gt;M324),CONCATENATE("1 : ",TEXT((P324-M324)/M324,"0.00")),"—")</f>
        <v>—</v>
      </c>
      <c r="AA324" s="56" t="str">
        <f aca="false">IF(AND(C324&lt;&gt;"",E324&lt;&gt;""),E324-C324,"")</f>
        <v/>
      </c>
      <c r="AB324" s="42"/>
      <c r="AC324" s="57"/>
      <c r="AD324" s="58"/>
      <c r="AE324" s="59" t="str">
        <f aca="false">IF(G324&lt;&gt;"",HYPERLINK("https://www.tradingview.com/chart/?symbol="&amp;G324&amp;"&amp;interval=60&amp;from="&amp;(AG324-10*3600)&amp;"&amp;to="&amp;(AG324+50*3600),"📈 1H"),"")</f>
        <v/>
      </c>
      <c r="AF324" s="60" t="str">
        <f aca="false">IF(G324&lt;&gt;"",HYPERLINK("https://www.tradingview.com/chart/?symbol="&amp;G324&amp;"&amp;interval=240&amp;from="&amp;(AG324-10*14400)&amp;"&amp;to="&amp;(AG324+50*14400),"📈 4H"),"")</f>
        <v/>
      </c>
      <c r="AG324" s="36" t="str">
        <f aca="false">IF(C324&lt;&gt;"",INT((C324+IF(D324&lt;&gt;"",D324,0)-DATE(1970,1,1))*86400),"")</f>
        <v/>
      </c>
    </row>
    <row r="325" customFormat="false" ht="19.5" hidden="false" customHeight="true" outlineLevel="0" collapsed="false">
      <c r="A325" s="12" t="n">
        <f aca="false">ROW()-4</f>
        <v>321</v>
      </c>
      <c r="B325" s="13"/>
      <c r="C325" s="14"/>
      <c r="D325" s="15"/>
      <c r="E325" s="14"/>
      <c r="F325" s="15"/>
      <c r="G325" s="16"/>
      <c r="H325" s="17"/>
      <c r="I325" s="18"/>
      <c r="J325" s="19"/>
      <c r="K325" s="14"/>
      <c r="L325" s="17"/>
      <c r="M325" s="19"/>
      <c r="N325" s="20"/>
      <c r="O325" s="19"/>
      <c r="P325" s="21"/>
      <c r="Q325" s="22" t="str">
        <f aca="false">IF(L325="","",IF(M325&lt;&gt;"",M325*L325*100,IF(AND(O325&lt;&gt;"",B325&lt;&gt;""),IFERROR(AVERAGEIF($B$5:$B$1004,B325,$M$5:$M$1004)*L325*100,""),"")))</f>
        <v/>
      </c>
      <c r="R325" s="22" t="str">
        <f aca="false">IF(AND(O325&lt;&gt;"",L325&lt;&gt;""),O325*L325*100,"")</f>
        <v/>
      </c>
      <c r="S325" s="23" t="str">
        <f aca="false">IF(AND(P325&lt;&gt;"",L325&lt;&gt;""),P325*L325*100,"")</f>
        <v/>
      </c>
      <c r="T325" s="24" t="str">
        <f aca="false">IF(AND(Q325&lt;&gt;"",R325&lt;&gt;""),R325-Q325,"")</f>
        <v/>
      </c>
      <c r="U325" s="25" t="str">
        <f aca="false">IF(AND(Q325&lt;&gt;"",Q325&lt;&gt;0,T325&lt;&gt;""),T325/Q325,"")</f>
        <v/>
      </c>
      <c r="V325" s="26" t="str">
        <f aca="false">IF(AND(S325&lt;&gt;"",Q325&lt;&gt;""),S325-Q325,"")</f>
        <v/>
      </c>
      <c r="W325" s="27" t="str">
        <f aca="false">IF(AND(Q325&lt;&gt;"",Q325&lt;&gt;0,V325&lt;&gt;""),V325/Q325,"")</f>
        <v/>
      </c>
      <c r="X325" s="28" t="s">
        <v>37</v>
      </c>
      <c r="Y325" s="29" t="str">
        <f aca="false">IF(AND(O325&lt;&gt;"",M325&lt;&gt;"",O325&gt;M325),CONCATENATE("1 : ",TEXT((O325-M325)/M325,"0.00")),IF(AND(O325&lt;&gt;"",M325&lt;&gt;"",O325&lt;M325),CONCATENATE("-1 : ",TEXT((M325-O325)/M325,"0.00")),"—"))</f>
        <v>—</v>
      </c>
      <c r="Z325" s="30" t="str">
        <f aca="false">IF(AND(P325&lt;&gt;"",M325&lt;&gt;"",P325&gt;M325),CONCATENATE("1 : ",TEXT((P325-M325)/M325,"0.00")),"—")</f>
        <v>—</v>
      </c>
      <c r="AA325" s="31" t="str">
        <f aca="false">IF(AND(C325&lt;&gt;"",E325&lt;&gt;""),E325-C325,"")</f>
        <v/>
      </c>
      <c r="AB325" s="17"/>
      <c r="AC325" s="32"/>
      <c r="AD325" s="33"/>
      <c r="AE325" s="34" t="str">
        <f aca="false">IF(G325&lt;&gt;"",HYPERLINK("https://www.tradingview.com/chart/?symbol="&amp;G325&amp;"&amp;interval=60&amp;from="&amp;(AG325-10*3600)&amp;"&amp;to="&amp;(AG325+50*3600),"📈 1H"),"")</f>
        <v/>
      </c>
      <c r="AF325" s="35" t="str">
        <f aca="false">IF(G325&lt;&gt;"",HYPERLINK("https://www.tradingview.com/chart/?symbol="&amp;G325&amp;"&amp;interval=240&amp;from="&amp;(AG325-10*14400)&amp;"&amp;to="&amp;(AG325+50*14400),"📈 4H"),"")</f>
        <v/>
      </c>
      <c r="AG325" s="36" t="str">
        <f aca="false">IF(C325&lt;&gt;"",INT((C325+IF(D325&lt;&gt;"",D325,0)-DATE(1970,1,1))*86400),"")</f>
        <v/>
      </c>
    </row>
    <row r="326" customFormat="false" ht="19.5" hidden="false" customHeight="true" outlineLevel="0" collapsed="false">
      <c r="A326" s="37" t="n">
        <f aca="false">ROW()-4</f>
        <v>322</v>
      </c>
      <c r="B326" s="38"/>
      <c r="C326" s="39"/>
      <c r="D326" s="40"/>
      <c r="E326" s="39"/>
      <c r="F326" s="40"/>
      <c r="G326" s="41"/>
      <c r="H326" s="42"/>
      <c r="I326" s="43"/>
      <c r="J326" s="44"/>
      <c r="K326" s="39"/>
      <c r="L326" s="42"/>
      <c r="M326" s="44"/>
      <c r="N326" s="45"/>
      <c r="O326" s="44"/>
      <c r="P326" s="46"/>
      <c r="Q326" s="47" t="str">
        <f aca="false">IF(L326="","",IF(M326&lt;&gt;"",M326*L326*100,IF(AND(O326&lt;&gt;"",B326&lt;&gt;""),IFERROR(AVERAGEIF($B$5:$B$1004,B326,$M$5:$M$1004)*L326*100,""),"")))</f>
        <v/>
      </c>
      <c r="R326" s="47" t="str">
        <f aca="false">IF(AND(O326&lt;&gt;"",L326&lt;&gt;""),O326*L326*100,"")</f>
        <v/>
      </c>
      <c r="S326" s="48" t="str">
        <f aca="false">IF(AND(P326&lt;&gt;"",L326&lt;&gt;""),P326*L326*100,"")</f>
        <v/>
      </c>
      <c r="T326" s="49" t="str">
        <f aca="false">IF(AND(Q326&lt;&gt;"",R326&lt;&gt;""),R326-Q326,"")</f>
        <v/>
      </c>
      <c r="U326" s="50" t="str">
        <f aca="false">IF(AND(Q326&lt;&gt;"",Q326&lt;&gt;0,T326&lt;&gt;""),T326/Q326,"")</f>
        <v/>
      </c>
      <c r="V326" s="51" t="str">
        <f aca="false">IF(AND(S326&lt;&gt;"",Q326&lt;&gt;""),S326-Q326,"")</f>
        <v/>
      </c>
      <c r="W326" s="52" t="str">
        <f aca="false">IF(AND(Q326&lt;&gt;"",Q326&lt;&gt;0,V326&lt;&gt;""),V326/Q326,"")</f>
        <v/>
      </c>
      <c r="X326" s="53" t="s">
        <v>37</v>
      </c>
      <c r="Y326" s="54" t="str">
        <f aca="false">IF(AND(O326&lt;&gt;"",M326&lt;&gt;"",O326&gt;M326),CONCATENATE("1 : ",TEXT((O326-M326)/M326,"0.00")),IF(AND(O326&lt;&gt;"",M326&lt;&gt;"",O326&lt;M326),CONCATENATE("-1 : ",TEXT((M326-O326)/M326,"0.00")),"—"))</f>
        <v>—</v>
      </c>
      <c r="Z326" s="55" t="str">
        <f aca="false">IF(AND(P326&lt;&gt;"",M326&lt;&gt;"",P326&gt;M326),CONCATENATE("1 : ",TEXT((P326-M326)/M326,"0.00")),"—")</f>
        <v>—</v>
      </c>
      <c r="AA326" s="56" t="str">
        <f aca="false">IF(AND(C326&lt;&gt;"",E326&lt;&gt;""),E326-C326,"")</f>
        <v/>
      </c>
      <c r="AB326" s="42"/>
      <c r="AC326" s="57"/>
      <c r="AD326" s="58"/>
      <c r="AE326" s="59" t="str">
        <f aca="false">IF(G326&lt;&gt;"",HYPERLINK("https://www.tradingview.com/chart/?symbol="&amp;G326&amp;"&amp;interval=60&amp;from="&amp;(AG326-10*3600)&amp;"&amp;to="&amp;(AG326+50*3600),"📈 1H"),"")</f>
        <v/>
      </c>
      <c r="AF326" s="60" t="str">
        <f aca="false">IF(G326&lt;&gt;"",HYPERLINK("https://www.tradingview.com/chart/?symbol="&amp;G326&amp;"&amp;interval=240&amp;from="&amp;(AG326-10*14400)&amp;"&amp;to="&amp;(AG326+50*14400),"📈 4H"),"")</f>
        <v/>
      </c>
      <c r="AG326" s="36" t="str">
        <f aca="false">IF(C326&lt;&gt;"",INT((C326+IF(D326&lt;&gt;"",D326,0)-DATE(1970,1,1))*86400),"")</f>
        <v/>
      </c>
    </row>
    <row r="327" customFormat="false" ht="19.5" hidden="false" customHeight="true" outlineLevel="0" collapsed="false">
      <c r="A327" s="12" t="n">
        <f aca="false">ROW()-4</f>
        <v>323</v>
      </c>
      <c r="B327" s="13"/>
      <c r="C327" s="14"/>
      <c r="D327" s="15"/>
      <c r="E327" s="14"/>
      <c r="F327" s="15"/>
      <c r="G327" s="16"/>
      <c r="H327" s="17"/>
      <c r="I327" s="18"/>
      <c r="J327" s="19"/>
      <c r="K327" s="14"/>
      <c r="L327" s="17"/>
      <c r="M327" s="19"/>
      <c r="N327" s="20"/>
      <c r="O327" s="19"/>
      <c r="P327" s="21"/>
      <c r="Q327" s="22" t="str">
        <f aca="false">IF(L327="","",IF(M327&lt;&gt;"",M327*L327*100,IF(AND(O327&lt;&gt;"",B327&lt;&gt;""),IFERROR(AVERAGEIF($B$5:$B$1004,B327,$M$5:$M$1004)*L327*100,""),"")))</f>
        <v/>
      </c>
      <c r="R327" s="22" t="str">
        <f aca="false">IF(AND(O327&lt;&gt;"",L327&lt;&gt;""),O327*L327*100,"")</f>
        <v/>
      </c>
      <c r="S327" s="23" t="str">
        <f aca="false">IF(AND(P327&lt;&gt;"",L327&lt;&gt;""),P327*L327*100,"")</f>
        <v/>
      </c>
      <c r="T327" s="24" t="str">
        <f aca="false">IF(AND(Q327&lt;&gt;"",R327&lt;&gt;""),R327-Q327,"")</f>
        <v/>
      </c>
      <c r="U327" s="25" t="str">
        <f aca="false">IF(AND(Q327&lt;&gt;"",Q327&lt;&gt;0,T327&lt;&gt;""),T327/Q327,"")</f>
        <v/>
      </c>
      <c r="V327" s="26" t="str">
        <f aca="false">IF(AND(S327&lt;&gt;"",Q327&lt;&gt;""),S327-Q327,"")</f>
        <v/>
      </c>
      <c r="W327" s="27" t="str">
        <f aca="false">IF(AND(Q327&lt;&gt;"",Q327&lt;&gt;0,V327&lt;&gt;""),V327/Q327,"")</f>
        <v/>
      </c>
      <c r="X327" s="28" t="s">
        <v>37</v>
      </c>
      <c r="Y327" s="29" t="str">
        <f aca="false">IF(AND(O327&lt;&gt;"",M327&lt;&gt;"",O327&gt;M327),CONCATENATE("1 : ",TEXT((O327-M327)/M327,"0.00")),IF(AND(O327&lt;&gt;"",M327&lt;&gt;"",O327&lt;M327),CONCATENATE("-1 : ",TEXT((M327-O327)/M327,"0.00")),"—"))</f>
        <v>—</v>
      </c>
      <c r="Z327" s="30" t="str">
        <f aca="false">IF(AND(P327&lt;&gt;"",M327&lt;&gt;"",P327&gt;M327),CONCATENATE("1 : ",TEXT((P327-M327)/M327,"0.00")),"—")</f>
        <v>—</v>
      </c>
      <c r="AA327" s="31" t="str">
        <f aca="false">IF(AND(C327&lt;&gt;"",E327&lt;&gt;""),E327-C327,"")</f>
        <v/>
      </c>
      <c r="AB327" s="17"/>
      <c r="AC327" s="32"/>
      <c r="AD327" s="33"/>
      <c r="AE327" s="34" t="str">
        <f aca="false">IF(G327&lt;&gt;"",HYPERLINK("https://www.tradingview.com/chart/?symbol="&amp;G327&amp;"&amp;interval=60&amp;from="&amp;(AG327-10*3600)&amp;"&amp;to="&amp;(AG327+50*3600),"📈 1H"),"")</f>
        <v/>
      </c>
      <c r="AF327" s="35" t="str">
        <f aca="false">IF(G327&lt;&gt;"",HYPERLINK("https://www.tradingview.com/chart/?symbol="&amp;G327&amp;"&amp;interval=240&amp;from="&amp;(AG327-10*14400)&amp;"&amp;to="&amp;(AG327+50*14400),"📈 4H"),"")</f>
        <v/>
      </c>
      <c r="AG327" s="36" t="str">
        <f aca="false">IF(C327&lt;&gt;"",INT((C327+IF(D327&lt;&gt;"",D327,0)-DATE(1970,1,1))*86400),"")</f>
        <v/>
      </c>
    </row>
    <row r="328" customFormat="false" ht="19.5" hidden="false" customHeight="true" outlineLevel="0" collapsed="false">
      <c r="A328" s="37" t="n">
        <f aca="false">ROW()-4</f>
        <v>324</v>
      </c>
      <c r="B328" s="38"/>
      <c r="C328" s="39"/>
      <c r="D328" s="40"/>
      <c r="E328" s="39"/>
      <c r="F328" s="40"/>
      <c r="G328" s="41"/>
      <c r="H328" s="42"/>
      <c r="I328" s="43"/>
      <c r="J328" s="44"/>
      <c r="K328" s="39"/>
      <c r="L328" s="42"/>
      <c r="M328" s="44"/>
      <c r="N328" s="45"/>
      <c r="O328" s="44"/>
      <c r="P328" s="46"/>
      <c r="Q328" s="47" t="str">
        <f aca="false">IF(L328="","",IF(M328&lt;&gt;"",M328*L328*100,IF(AND(O328&lt;&gt;"",B328&lt;&gt;""),IFERROR(AVERAGEIF($B$5:$B$1004,B328,$M$5:$M$1004)*L328*100,""),"")))</f>
        <v/>
      </c>
      <c r="R328" s="47" t="str">
        <f aca="false">IF(AND(O328&lt;&gt;"",L328&lt;&gt;""),O328*L328*100,"")</f>
        <v/>
      </c>
      <c r="S328" s="48" t="str">
        <f aca="false">IF(AND(P328&lt;&gt;"",L328&lt;&gt;""),P328*L328*100,"")</f>
        <v/>
      </c>
      <c r="T328" s="49" t="str">
        <f aca="false">IF(AND(Q328&lt;&gt;"",R328&lt;&gt;""),R328-Q328,"")</f>
        <v/>
      </c>
      <c r="U328" s="50" t="str">
        <f aca="false">IF(AND(Q328&lt;&gt;"",Q328&lt;&gt;0,T328&lt;&gt;""),T328/Q328,"")</f>
        <v/>
      </c>
      <c r="V328" s="51" t="str">
        <f aca="false">IF(AND(S328&lt;&gt;"",Q328&lt;&gt;""),S328-Q328,"")</f>
        <v/>
      </c>
      <c r="W328" s="52" t="str">
        <f aca="false">IF(AND(Q328&lt;&gt;"",Q328&lt;&gt;0,V328&lt;&gt;""),V328/Q328,"")</f>
        <v/>
      </c>
      <c r="X328" s="53" t="s">
        <v>37</v>
      </c>
      <c r="Y328" s="54" t="str">
        <f aca="false">IF(AND(O328&lt;&gt;"",M328&lt;&gt;"",O328&gt;M328),CONCATENATE("1 : ",TEXT((O328-M328)/M328,"0.00")),IF(AND(O328&lt;&gt;"",M328&lt;&gt;"",O328&lt;M328),CONCATENATE("-1 : ",TEXT((M328-O328)/M328,"0.00")),"—"))</f>
        <v>—</v>
      </c>
      <c r="Z328" s="55" t="str">
        <f aca="false">IF(AND(P328&lt;&gt;"",M328&lt;&gt;"",P328&gt;M328),CONCATENATE("1 : ",TEXT((P328-M328)/M328,"0.00")),"—")</f>
        <v>—</v>
      </c>
      <c r="AA328" s="56" t="str">
        <f aca="false">IF(AND(C328&lt;&gt;"",E328&lt;&gt;""),E328-C328,"")</f>
        <v/>
      </c>
      <c r="AB328" s="42"/>
      <c r="AC328" s="57"/>
      <c r="AD328" s="58"/>
      <c r="AE328" s="59" t="str">
        <f aca="false">IF(G328&lt;&gt;"",HYPERLINK("https://www.tradingview.com/chart/?symbol="&amp;G328&amp;"&amp;interval=60&amp;from="&amp;(AG328-10*3600)&amp;"&amp;to="&amp;(AG328+50*3600),"📈 1H"),"")</f>
        <v/>
      </c>
      <c r="AF328" s="60" t="str">
        <f aca="false">IF(G328&lt;&gt;"",HYPERLINK("https://www.tradingview.com/chart/?symbol="&amp;G328&amp;"&amp;interval=240&amp;from="&amp;(AG328-10*14400)&amp;"&amp;to="&amp;(AG328+50*14400),"📈 4H"),"")</f>
        <v/>
      </c>
      <c r="AG328" s="36" t="str">
        <f aca="false">IF(C328&lt;&gt;"",INT((C328+IF(D328&lt;&gt;"",D328,0)-DATE(1970,1,1))*86400),"")</f>
        <v/>
      </c>
    </row>
    <row r="329" customFormat="false" ht="19.5" hidden="false" customHeight="true" outlineLevel="0" collapsed="false">
      <c r="A329" s="12" t="n">
        <f aca="false">ROW()-4</f>
        <v>325</v>
      </c>
      <c r="B329" s="13"/>
      <c r="C329" s="14"/>
      <c r="D329" s="15"/>
      <c r="E329" s="14"/>
      <c r="F329" s="15"/>
      <c r="G329" s="16"/>
      <c r="H329" s="17"/>
      <c r="I329" s="18"/>
      <c r="J329" s="19"/>
      <c r="K329" s="14"/>
      <c r="L329" s="17"/>
      <c r="M329" s="19"/>
      <c r="N329" s="20"/>
      <c r="O329" s="19"/>
      <c r="P329" s="21"/>
      <c r="Q329" s="22" t="str">
        <f aca="false">IF(L329="","",IF(M329&lt;&gt;"",M329*L329*100,IF(AND(O329&lt;&gt;"",B329&lt;&gt;""),IFERROR(AVERAGEIF($B$5:$B$1004,B329,$M$5:$M$1004)*L329*100,""),"")))</f>
        <v/>
      </c>
      <c r="R329" s="22" t="str">
        <f aca="false">IF(AND(O329&lt;&gt;"",L329&lt;&gt;""),O329*L329*100,"")</f>
        <v/>
      </c>
      <c r="S329" s="23" t="str">
        <f aca="false">IF(AND(P329&lt;&gt;"",L329&lt;&gt;""),P329*L329*100,"")</f>
        <v/>
      </c>
      <c r="T329" s="24" t="str">
        <f aca="false">IF(AND(Q329&lt;&gt;"",R329&lt;&gt;""),R329-Q329,"")</f>
        <v/>
      </c>
      <c r="U329" s="25" t="str">
        <f aca="false">IF(AND(Q329&lt;&gt;"",Q329&lt;&gt;0,T329&lt;&gt;""),T329/Q329,"")</f>
        <v/>
      </c>
      <c r="V329" s="26" t="str">
        <f aca="false">IF(AND(S329&lt;&gt;"",Q329&lt;&gt;""),S329-Q329,"")</f>
        <v/>
      </c>
      <c r="W329" s="27" t="str">
        <f aca="false">IF(AND(Q329&lt;&gt;"",Q329&lt;&gt;0,V329&lt;&gt;""),V329/Q329,"")</f>
        <v/>
      </c>
      <c r="X329" s="28" t="s">
        <v>37</v>
      </c>
      <c r="Y329" s="29" t="str">
        <f aca="false">IF(AND(O329&lt;&gt;"",M329&lt;&gt;"",O329&gt;M329),CONCATENATE("1 : ",TEXT((O329-M329)/M329,"0.00")),IF(AND(O329&lt;&gt;"",M329&lt;&gt;"",O329&lt;M329),CONCATENATE("-1 : ",TEXT((M329-O329)/M329,"0.00")),"—"))</f>
        <v>—</v>
      </c>
      <c r="Z329" s="30" t="str">
        <f aca="false">IF(AND(P329&lt;&gt;"",M329&lt;&gt;"",P329&gt;M329),CONCATENATE("1 : ",TEXT((P329-M329)/M329,"0.00")),"—")</f>
        <v>—</v>
      </c>
      <c r="AA329" s="31" t="str">
        <f aca="false">IF(AND(C329&lt;&gt;"",E329&lt;&gt;""),E329-C329,"")</f>
        <v/>
      </c>
      <c r="AB329" s="17"/>
      <c r="AC329" s="32"/>
      <c r="AD329" s="33"/>
      <c r="AE329" s="34" t="str">
        <f aca="false">IF(G329&lt;&gt;"",HYPERLINK("https://www.tradingview.com/chart/?symbol="&amp;G329&amp;"&amp;interval=60&amp;from="&amp;(AG329-10*3600)&amp;"&amp;to="&amp;(AG329+50*3600),"📈 1H"),"")</f>
        <v/>
      </c>
      <c r="AF329" s="35" t="str">
        <f aca="false">IF(G329&lt;&gt;"",HYPERLINK("https://www.tradingview.com/chart/?symbol="&amp;G329&amp;"&amp;interval=240&amp;from="&amp;(AG329-10*14400)&amp;"&amp;to="&amp;(AG329+50*14400),"📈 4H"),"")</f>
        <v/>
      </c>
      <c r="AG329" s="36" t="str">
        <f aca="false">IF(C329&lt;&gt;"",INT((C329+IF(D329&lt;&gt;"",D329,0)-DATE(1970,1,1))*86400),"")</f>
        <v/>
      </c>
    </row>
    <row r="330" customFormat="false" ht="19.5" hidden="false" customHeight="true" outlineLevel="0" collapsed="false">
      <c r="A330" s="37" t="n">
        <f aca="false">ROW()-4</f>
        <v>326</v>
      </c>
      <c r="B330" s="38"/>
      <c r="C330" s="39"/>
      <c r="D330" s="40"/>
      <c r="E330" s="39"/>
      <c r="F330" s="40"/>
      <c r="G330" s="41"/>
      <c r="H330" s="42"/>
      <c r="I330" s="43"/>
      <c r="J330" s="44"/>
      <c r="K330" s="39"/>
      <c r="L330" s="42"/>
      <c r="M330" s="44"/>
      <c r="N330" s="45"/>
      <c r="O330" s="44"/>
      <c r="P330" s="46"/>
      <c r="Q330" s="47" t="str">
        <f aca="false">IF(L330="","",IF(M330&lt;&gt;"",M330*L330*100,IF(AND(O330&lt;&gt;"",B330&lt;&gt;""),IFERROR(AVERAGEIF($B$5:$B$1004,B330,$M$5:$M$1004)*L330*100,""),"")))</f>
        <v/>
      </c>
      <c r="R330" s="47" t="str">
        <f aca="false">IF(AND(O330&lt;&gt;"",L330&lt;&gt;""),O330*L330*100,"")</f>
        <v/>
      </c>
      <c r="S330" s="48" t="str">
        <f aca="false">IF(AND(P330&lt;&gt;"",L330&lt;&gt;""),P330*L330*100,"")</f>
        <v/>
      </c>
      <c r="T330" s="49" t="str">
        <f aca="false">IF(AND(Q330&lt;&gt;"",R330&lt;&gt;""),R330-Q330,"")</f>
        <v/>
      </c>
      <c r="U330" s="50" t="str">
        <f aca="false">IF(AND(Q330&lt;&gt;"",Q330&lt;&gt;0,T330&lt;&gt;""),T330/Q330,"")</f>
        <v/>
      </c>
      <c r="V330" s="51" t="str">
        <f aca="false">IF(AND(S330&lt;&gt;"",Q330&lt;&gt;""),S330-Q330,"")</f>
        <v/>
      </c>
      <c r="W330" s="52" t="str">
        <f aca="false">IF(AND(Q330&lt;&gt;"",Q330&lt;&gt;0,V330&lt;&gt;""),V330/Q330,"")</f>
        <v/>
      </c>
      <c r="X330" s="53" t="s">
        <v>37</v>
      </c>
      <c r="Y330" s="54" t="str">
        <f aca="false">IF(AND(O330&lt;&gt;"",M330&lt;&gt;"",O330&gt;M330),CONCATENATE("1 : ",TEXT((O330-M330)/M330,"0.00")),IF(AND(O330&lt;&gt;"",M330&lt;&gt;"",O330&lt;M330),CONCATENATE("-1 : ",TEXT((M330-O330)/M330,"0.00")),"—"))</f>
        <v>—</v>
      </c>
      <c r="Z330" s="55" t="str">
        <f aca="false">IF(AND(P330&lt;&gt;"",M330&lt;&gt;"",P330&gt;M330),CONCATENATE("1 : ",TEXT((P330-M330)/M330,"0.00")),"—")</f>
        <v>—</v>
      </c>
      <c r="AA330" s="56" t="str">
        <f aca="false">IF(AND(C330&lt;&gt;"",E330&lt;&gt;""),E330-C330,"")</f>
        <v/>
      </c>
      <c r="AB330" s="42"/>
      <c r="AC330" s="57"/>
      <c r="AD330" s="58"/>
      <c r="AE330" s="59" t="str">
        <f aca="false">IF(G330&lt;&gt;"",HYPERLINK("https://www.tradingview.com/chart/?symbol="&amp;G330&amp;"&amp;interval=60&amp;from="&amp;(AG330-10*3600)&amp;"&amp;to="&amp;(AG330+50*3600),"📈 1H"),"")</f>
        <v/>
      </c>
      <c r="AF330" s="60" t="str">
        <f aca="false">IF(G330&lt;&gt;"",HYPERLINK("https://www.tradingview.com/chart/?symbol="&amp;G330&amp;"&amp;interval=240&amp;from="&amp;(AG330-10*14400)&amp;"&amp;to="&amp;(AG330+50*14400),"📈 4H"),"")</f>
        <v/>
      </c>
      <c r="AG330" s="36" t="str">
        <f aca="false">IF(C330&lt;&gt;"",INT((C330+IF(D330&lt;&gt;"",D330,0)-DATE(1970,1,1))*86400),"")</f>
        <v/>
      </c>
    </row>
    <row r="331" customFormat="false" ht="19.5" hidden="false" customHeight="true" outlineLevel="0" collapsed="false">
      <c r="A331" s="12" t="n">
        <f aca="false">ROW()-4</f>
        <v>327</v>
      </c>
      <c r="B331" s="13"/>
      <c r="C331" s="14"/>
      <c r="D331" s="15"/>
      <c r="E331" s="14"/>
      <c r="F331" s="15"/>
      <c r="G331" s="16"/>
      <c r="H331" s="17"/>
      <c r="I331" s="18"/>
      <c r="J331" s="19"/>
      <c r="K331" s="14"/>
      <c r="L331" s="17"/>
      <c r="M331" s="19"/>
      <c r="N331" s="20"/>
      <c r="O331" s="19"/>
      <c r="P331" s="21"/>
      <c r="Q331" s="22" t="str">
        <f aca="false">IF(L331="","",IF(M331&lt;&gt;"",M331*L331*100,IF(AND(O331&lt;&gt;"",B331&lt;&gt;""),IFERROR(AVERAGEIF($B$5:$B$1004,B331,$M$5:$M$1004)*L331*100,""),"")))</f>
        <v/>
      </c>
      <c r="R331" s="22" t="str">
        <f aca="false">IF(AND(O331&lt;&gt;"",L331&lt;&gt;""),O331*L331*100,"")</f>
        <v/>
      </c>
      <c r="S331" s="23" t="str">
        <f aca="false">IF(AND(P331&lt;&gt;"",L331&lt;&gt;""),P331*L331*100,"")</f>
        <v/>
      </c>
      <c r="T331" s="24" t="str">
        <f aca="false">IF(AND(Q331&lt;&gt;"",R331&lt;&gt;""),R331-Q331,"")</f>
        <v/>
      </c>
      <c r="U331" s="25" t="str">
        <f aca="false">IF(AND(Q331&lt;&gt;"",Q331&lt;&gt;0,T331&lt;&gt;""),T331/Q331,"")</f>
        <v/>
      </c>
      <c r="V331" s="26" t="str">
        <f aca="false">IF(AND(S331&lt;&gt;"",Q331&lt;&gt;""),S331-Q331,"")</f>
        <v/>
      </c>
      <c r="W331" s="27" t="str">
        <f aca="false">IF(AND(Q331&lt;&gt;"",Q331&lt;&gt;0,V331&lt;&gt;""),V331/Q331,"")</f>
        <v/>
      </c>
      <c r="X331" s="28" t="s">
        <v>37</v>
      </c>
      <c r="Y331" s="29" t="str">
        <f aca="false">IF(AND(O331&lt;&gt;"",M331&lt;&gt;"",O331&gt;M331),CONCATENATE("1 : ",TEXT((O331-M331)/M331,"0.00")),IF(AND(O331&lt;&gt;"",M331&lt;&gt;"",O331&lt;M331),CONCATENATE("-1 : ",TEXT((M331-O331)/M331,"0.00")),"—"))</f>
        <v>—</v>
      </c>
      <c r="Z331" s="30" t="str">
        <f aca="false">IF(AND(P331&lt;&gt;"",M331&lt;&gt;"",P331&gt;M331),CONCATENATE("1 : ",TEXT((P331-M331)/M331,"0.00")),"—")</f>
        <v>—</v>
      </c>
      <c r="AA331" s="31" t="str">
        <f aca="false">IF(AND(C331&lt;&gt;"",E331&lt;&gt;""),E331-C331,"")</f>
        <v/>
      </c>
      <c r="AB331" s="17"/>
      <c r="AC331" s="32"/>
      <c r="AD331" s="33"/>
      <c r="AE331" s="34" t="str">
        <f aca="false">IF(G331&lt;&gt;"",HYPERLINK("https://www.tradingview.com/chart/?symbol="&amp;G331&amp;"&amp;interval=60&amp;from="&amp;(AG331-10*3600)&amp;"&amp;to="&amp;(AG331+50*3600),"📈 1H"),"")</f>
        <v/>
      </c>
      <c r="AF331" s="35" t="str">
        <f aca="false">IF(G331&lt;&gt;"",HYPERLINK("https://www.tradingview.com/chart/?symbol="&amp;G331&amp;"&amp;interval=240&amp;from="&amp;(AG331-10*14400)&amp;"&amp;to="&amp;(AG331+50*14400),"📈 4H"),"")</f>
        <v/>
      </c>
      <c r="AG331" s="36" t="str">
        <f aca="false">IF(C331&lt;&gt;"",INT((C331+IF(D331&lt;&gt;"",D331,0)-DATE(1970,1,1))*86400),"")</f>
        <v/>
      </c>
    </row>
    <row r="332" customFormat="false" ht="19.5" hidden="false" customHeight="true" outlineLevel="0" collapsed="false">
      <c r="A332" s="37" t="n">
        <f aca="false">ROW()-4</f>
        <v>328</v>
      </c>
      <c r="B332" s="38"/>
      <c r="C332" s="39"/>
      <c r="D332" s="40"/>
      <c r="E332" s="39"/>
      <c r="F332" s="40"/>
      <c r="G332" s="41"/>
      <c r="H332" s="42"/>
      <c r="I332" s="43"/>
      <c r="J332" s="44"/>
      <c r="K332" s="39"/>
      <c r="L332" s="42"/>
      <c r="M332" s="44"/>
      <c r="N332" s="45"/>
      <c r="O332" s="44"/>
      <c r="P332" s="46"/>
      <c r="Q332" s="47" t="str">
        <f aca="false">IF(L332="","",IF(M332&lt;&gt;"",M332*L332*100,IF(AND(O332&lt;&gt;"",B332&lt;&gt;""),IFERROR(AVERAGEIF($B$5:$B$1004,B332,$M$5:$M$1004)*L332*100,""),"")))</f>
        <v/>
      </c>
      <c r="R332" s="47" t="str">
        <f aca="false">IF(AND(O332&lt;&gt;"",L332&lt;&gt;""),O332*L332*100,"")</f>
        <v/>
      </c>
      <c r="S332" s="48" t="str">
        <f aca="false">IF(AND(P332&lt;&gt;"",L332&lt;&gt;""),P332*L332*100,"")</f>
        <v/>
      </c>
      <c r="T332" s="49" t="str">
        <f aca="false">IF(AND(Q332&lt;&gt;"",R332&lt;&gt;""),R332-Q332,"")</f>
        <v/>
      </c>
      <c r="U332" s="50" t="str">
        <f aca="false">IF(AND(Q332&lt;&gt;"",Q332&lt;&gt;0,T332&lt;&gt;""),T332/Q332,"")</f>
        <v/>
      </c>
      <c r="V332" s="51" t="str">
        <f aca="false">IF(AND(S332&lt;&gt;"",Q332&lt;&gt;""),S332-Q332,"")</f>
        <v/>
      </c>
      <c r="W332" s="52" t="str">
        <f aca="false">IF(AND(Q332&lt;&gt;"",Q332&lt;&gt;0,V332&lt;&gt;""),V332/Q332,"")</f>
        <v/>
      </c>
      <c r="X332" s="53" t="s">
        <v>37</v>
      </c>
      <c r="Y332" s="54" t="str">
        <f aca="false">IF(AND(O332&lt;&gt;"",M332&lt;&gt;"",O332&gt;M332),CONCATENATE("1 : ",TEXT((O332-M332)/M332,"0.00")),IF(AND(O332&lt;&gt;"",M332&lt;&gt;"",O332&lt;M332),CONCATENATE("-1 : ",TEXT((M332-O332)/M332,"0.00")),"—"))</f>
        <v>—</v>
      </c>
      <c r="Z332" s="55" t="str">
        <f aca="false">IF(AND(P332&lt;&gt;"",M332&lt;&gt;"",P332&gt;M332),CONCATENATE("1 : ",TEXT((P332-M332)/M332,"0.00")),"—")</f>
        <v>—</v>
      </c>
      <c r="AA332" s="56" t="str">
        <f aca="false">IF(AND(C332&lt;&gt;"",E332&lt;&gt;""),E332-C332,"")</f>
        <v/>
      </c>
      <c r="AB332" s="42"/>
      <c r="AC332" s="57"/>
      <c r="AD332" s="58"/>
      <c r="AE332" s="59" t="str">
        <f aca="false">IF(G332&lt;&gt;"",HYPERLINK("https://www.tradingview.com/chart/?symbol="&amp;G332&amp;"&amp;interval=60&amp;from="&amp;(AG332-10*3600)&amp;"&amp;to="&amp;(AG332+50*3600),"📈 1H"),"")</f>
        <v/>
      </c>
      <c r="AF332" s="60" t="str">
        <f aca="false">IF(G332&lt;&gt;"",HYPERLINK("https://www.tradingview.com/chart/?symbol="&amp;G332&amp;"&amp;interval=240&amp;from="&amp;(AG332-10*14400)&amp;"&amp;to="&amp;(AG332+50*14400),"📈 4H"),"")</f>
        <v/>
      </c>
      <c r="AG332" s="36" t="str">
        <f aca="false">IF(C332&lt;&gt;"",INT((C332+IF(D332&lt;&gt;"",D332,0)-DATE(1970,1,1))*86400),"")</f>
        <v/>
      </c>
    </row>
    <row r="333" customFormat="false" ht="19.5" hidden="false" customHeight="true" outlineLevel="0" collapsed="false">
      <c r="A333" s="12" t="n">
        <f aca="false">ROW()-4</f>
        <v>329</v>
      </c>
      <c r="B333" s="13"/>
      <c r="C333" s="14"/>
      <c r="D333" s="15"/>
      <c r="E333" s="14"/>
      <c r="F333" s="15"/>
      <c r="G333" s="16"/>
      <c r="H333" s="17"/>
      <c r="I333" s="18"/>
      <c r="J333" s="19"/>
      <c r="K333" s="14"/>
      <c r="L333" s="17"/>
      <c r="M333" s="19"/>
      <c r="N333" s="20"/>
      <c r="O333" s="19"/>
      <c r="P333" s="21"/>
      <c r="Q333" s="22" t="str">
        <f aca="false">IF(L333="","",IF(M333&lt;&gt;"",M333*L333*100,IF(AND(O333&lt;&gt;"",B333&lt;&gt;""),IFERROR(AVERAGEIF($B$5:$B$1004,B333,$M$5:$M$1004)*L333*100,""),"")))</f>
        <v/>
      </c>
      <c r="R333" s="22" t="str">
        <f aca="false">IF(AND(O333&lt;&gt;"",L333&lt;&gt;""),O333*L333*100,"")</f>
        <v/>
      </c>
      <c r="S333" s="23" t="str">
        <f aca="false">IF(AND(P333&lt;&gt;"",L333&lt;&gt;""),P333*L333*100,"")</f>
        <v/>
      </c>
      <c r="T333" s="24" t="str">
        <f aca="false">IF(AND(Q333&lt;&gt;"",R333&lt;&gt;""),R333-Q333,"")</f>
        <v/>
      </c>
      <c r="U333" s="25" t="str">
        <f aca="false">IF(AND(Q333&lt;&gt;"",Q333&lt;&gt;0,T333&lt;&gt;""),T333/Q333,"")</f>
        <v/>
      </c>
      <c r="V333" s="26" t="str">
        <f aca="false">IF(AND(S333&lt;&gt;"",Q333&lt;&gt;""),S333-Q333,"")</f>
        <v/>
      </c>
      <c r="W333" s="27" t="str">
        <f aca="false">IF(AND(Q333&lt;&gt;"",Q333&lt;&gt;0,V333&lt;&gt;""),V333/Q333,"")</f>
        <v/>
      </c>
      <c r="X333" s="28" t="s">
        <v>37</v>
      </c>
      <c r="Y333" s="29" t="str">
        <f aca="false">IF(AND(O333&lt;&gt;"",M333&lt;&gt;"",O333&gt;M333),CONCATENATE("1 : ",TEXT((O333-M333)/M333,"0.00")),IF(AND(O333&lt;&gt;"",M333&lt;&gt;"",O333&lt;M333),CONCATENATE("-1 : ",TEXT((M333-O333)/M333,"0.00")),"—"))</f>
        <v>—</v>
      </c>
      <c r="Z333" s="30" t="str">
        <f aca="false">IF(AND(P333&lt;&gt;"",M333&lt;&gt;"",P333&gt;M333),CONCATENATE("1 : ",TEXT((P333-M333)/M333,"0.00")),"—")</f>
        <v>—</v>
      </c>
      <c r="AA333" s="31" t="str">
        <f aca="false">IF(AND(C333&lt;&gt;"",E333&lt;&gt;""),E333-C333,"")</f>
        <v/>
      </c>
      <c r="AB333" s="17"/>
      <c r="AC333" s="32"/>
      <c r="AD333" s="33"/>
      <c r="AE333" s="34" t="str">
        <f aca="false">IF(G333&lt;&gt;"",HYPERLINK("https://www.tradingview.com/chart/?symbol="&amp;G333&amp;"&amp;interval=60&amp;from="&amp;(AG333-10*3600)&amp;"&amp;to="&amp;(AG333+50*3600),"📈 1H"),"")</f>
        <v/>
      </c>
      <c r="AF333" s="35" t="str">
        <f aca="false">IF(G333&lt;&gt;"",HYPERLINK("https://www.tradingview.com/chart/?symbol="&amp;G333&amp;"&amp;interval=240&amp;from="&amp;(AG333-10*14400)&amp;"&amp;to="&amp;(AG333+50*14400),"📈 4H"),"")</f>
        <v/>
      </c>
      <c r="AG333" s="36" t="str">
        <f aca="false">IF(C333&lt;&gt;"",INT((C333+IF(D333&lt;&gt;"",D333,0)-DATE(1970,1,1))*86400),"")</f>
        <v/>
      </c>
    </row>
    <row r="334" customFormat="false" ht="19.5" hidden="false" customHeight="true" outlineLevel="0" collapsed="false">
      <c r="A334" s="37" t="n">
        <f aca="false">ROW()-4</f>
        <v>330</v>
      </c>
      <c r="B334" s="38"/>
      <c r="C334" s="39"/>
      <c r="D334" s="40"/>
      <c r="E334" s="39"/>
      <c r="F334" s="40"/>
      <c r="G334" s="41"/>
      <c r="H334" s="42"/>
      <c r="I334" s="43"/>
      <c r="J334" s="44"/>
      <c r="K334" s="39"/>
      <c r="L334" s="42"/>
      <c r="M334" s="44"/>
      <c r="N334" s="45"/>
      <c r="O334" s="44"/>
      <c r="P334" s="46"/>
      <c r="Q334" s="47" t="str">
        <f aca="false">IF(L334="","",IF(M334&lt;&gt;"",M334*L334*100,IF(AND(O334&lt;&gt;"",B334&lt;&gt;""),IFERROR(AVERAGEIF($B$5:$B$1004,B334,$M$5:$M$1004)*L334*100,""),"")))</f>
        <v/>
      </c>
      <c r="R334" s="47" t="str">
        <f aca="false">IF(AND(O334&lt;&gt;"",L334&lt;&gt;""),O334*L334*100,"")</f>
        <v/>
      </c>
      <c r="S334" s="48" t="str">
        <f aca="false">IF(AND(P334&lt;&gt;"",L334&lt;&gt;""),P334*L334*100,"")</f>
        <v/>
      </c>
      <c r="T334" s="49" t="str">
        <f aca="false">IF(AND(Q334&lt;&gt;"",R334&lt;&gt;""),R334-Q334,"")</f>
        <v/>
      </c>
      <c r="U334" s="50" t="str">
        <f aca="false">IF(AND(Q334&lt;&gt;"",Q334&lt;&gt;0,T334&lt;&gt;""),T334/Q334,"")</f>
        <v/>
      </c>
      <c r="V334" s="51" t="str">
        <f aca="false">IF(AND(S334&lt;&gt;"",Q334&lt;&gt;""),S334-Q334,"")</f>
        <v/>
      </c>
      <c r="W334" s="52" t="str">
        <f aca="false">IF(AND(Q334&lt;&gt;"",Q334&lt;&gt;0,V334&lt;&gt;""),V334/Q334,"")</f>
        <v/>
      </c>
      <c r="X334" s="53" t="s">
        <v>37</v>
      </c>
      <c r="Y334" s="54" t="str">
        <f aca="false">IF(AND(O334&lt;&gt;"",M334&lt;&gt;"",O334&gt;M334),CONCATENATE("1 : ",TEXT((O334-M334)/M334,"0.00")),IF(AND(O334&lt;&gt;"",M334&lt;&gt;"",O334&lt;M334),CONCATENATE("-1 : ",TEXT((M334-O334)/M334,"0.00")),"—"))</f>
        <v>—</v>
      </c>
      <c r="Z334" s="55" t="str">
        <f aca="false">IF(AND(P334&lt;&gt;"",M334&lt;&gt;"",P334&gt;M334),CONCATENATE("1 : ",TEXT((P334-M334)/M334,"0.00")),"—")</f>
        <v>—</v>
      </c>
      <c r="AA334" s="56" t="str">
        <f aca="false">IF(AND(C334&lt;&gt;"",E334&lt;&gt;""),E334-C334,"")</f>
        <v/>
      </c>
      <c r="AB334" s="42"/>
      <c r="AC334" s="57"/>
      <c r="AD334" s="58"/>
      <c r="AE334" s="59" t="str">
        <f aca="false">IF(G334&lt;&gt;"",HYPERLINK("https://www.tradingview.com/chart/?symbol="&amp;G334&amp;"&amp;interval=60&amp;from="&amp;(AG334-10*3600)&amp;"&amp;to="&amp;(AG334+50*3600),"📈 1H"),"")</f>
        <v/>
      </c>
      <c r="AF334" s="60" t="str">
        <f aca="false">IF(G334&lt;&gt;"",HYPERLINK("https://www.tradingview.com/chart/?symbol="&amp;G334&amp;"&amp;interval=240&amp;from="&amp;(AG334-10*14400)&amp;"&amp;to="&amp;(AG334+50*14400),"📈 4H"),"")</f>
        <v/>
      </c>
      <c r="AG334" s="36" t="str">
        <f aca="false">IF(C334&lt;&gt;"",INT((C334+IF(D334&lt;&gt;"",D334,0)-DATE(1970,1,1))*86400),"")</f>
        <v/>
      </c>
    </row>
    <row r="335" customFormat="false" ht="19.5" hidden="false" customHeight="true" outlineLevel="0" collapsed="false">
      <c r="A335" s="12" t="n">
        <f aca="false">ROW()-4</f>
        <v>331</v>
      </c>
      <c r="B335" s="13"/>
      <c r="C335" s="14"/>
      <c r="D335" s="15"/>
      <c r="E335" s="14"/>
      <c r="F335" s="15"/>
      <c r="G335" s="16"/>
      <c r="H335" s="17"/>
      <c r="I335" s="18"/>
      <c r="J335" s="19"/>
      <c r="K335" s="14"/>
      <c r="L335" s="17"/>
      <c r="M335" s="19"/>
      <c r="N335" s="20"/>
      <c r="O335" s="19"/>
      <c r="P335" s="21"/>
      <c r="Q335" s="22" t="str">
        <f aca="false">IF(L335="","",IF(M335&lt;&gt;"",M335*L335*100,IF(AND(O335&lt;&gt;"",B335&lt;&gt;""),IFERROR(AVERAGEIF($B$5:$B$1004,B335,$M$5:$M$1004)*L335*100,""),"")))</f>
        <v/>
      </c>
      <c r="R335" s="22" t="str">
        <f aca="false">IF(AND(O335&lt;&gt;"",L335&lt;&gt;""),O335*L335*100,"")</f>
        <v/>
      </c>
      <c r="S335" s="23" t="str">
        <f aca="false">IF(AND(P335&lt;&gt;"",L335&lt;&gt;""),P335*L335*100,"")</f>
        <v/>
      </c>
      <c r="T335" s="24" t="str">
        <f aca="false">IF(AND(Q335&lt;&gt;"",R335&lt;&gt;""),R335-Q335,"")</f>
        <v/>
      </c>
      <c r="U335" s="25" t="str">
        <f aca="false">IF(AND(Q335&lt;&gt;"",Q335&lt;&gt;0,T335&lt;&gt;""),T335/Q335,"")</f>
        <v/>
      </c>
      <c r="V335" s="26" t="str">
        <f aca="false">IF(AND(S335&lt;&gt;"",Q335&lt;&gt;""),S335-Q335,"")</f>
        <v/>
      </c>
      <c r="W335" s="27" t="str">
        <f aca="false">IF(AND(Q335&lt;&gt;"",Q335&lt;&gt;0,V335&lt;&gt;""),V335/Q335,"")</f>
        <v/>
      </c>
      <c r="X335" s="28" t="s">
        <v>37</v>
      </c>
      <c r="Y335" s="29" t="str">
        <f aca="false">IF(AND(O335&lt;&gt;"",M335&lt;&gt;"",O335&gt;M335),CONCATENATE("1 : ",TEXT((O335-M335)/M335,"0.00")),IF(AND(O335&lt;&gt;"",M335&lt;&gt;"",O335&lt;M335),CONCATENATE("-1 : ",TEXT((M335-O335)/M335,"0.00")),"—"))</f>
        <v>—</v>
      </c>
      <c r="Z335" s="30" t="str">
        <f aca="false">IF(AND(P335&lt;&gt;"",M335&lt;&gt;"",P335&gt;M335),CONCATENATE("1 : ",TEXT((P335-M335)/M335,"0.00")),"—")</f>
        <v>—</v>
      </c>
      <c r="AA335" s="31" t="str">
        <f aca="false">IF(AND(C335&lt;&gt;"",E335&lt;&gt;""),E335-C335,"")</f>
        <v/>
      </c>
      <c r="AB335" s="17"/>
      <c r="AC335" s="32"/>
      <c r="AD335" s="33"/>
      <c r="AE335" s="34" t="str">
        <f aca="false">IF(G335&lt;&gt;"",HYPERLINK("https://www.tradingview.com/chart/?symbol="&amp;G335&amp;"&amp;interval=60&amp;from="&amp;(AG335-10*3600)&amp;"&amp;to="&amp;(AG335+50*3600),"📈 1H"),"")</f>
        <v/>
      </c>
      <c r="AF335" s="35" t="str">
        <f aca="false">IF(G335&lt;&gt;"",HYPERLINK("https://www.tradingview.com/chart/?symbol="&amp;G335&amp;"&amp;interval=240&amp;from="&amp;(AG335-10*14400)&amp;"&amp;to="&amp;(AG335+50*14400),"📈 4H"),"")</f>
        <v/>
      </c>
      <c r="AG335" s="36" t="str">
        <f aca="false">IF(C335&lt;&gt;"",INT((C335+IF(D335&lt;&gt;"",D335,0)-DATE(1970,1,1))*86400),"")</f>
        <v/>
      </c>
    </row>
    <row r="336" customFormat="false" ht="19.5" hidden="false" customHeight="true" outlineLevel="0" collapsed="false">
      <c r="A336" s="37" t="n">
        <f aca="false">ROW()-4</f>
        <v>332</v>
      </c>
      <c r="B336" s="38"/>
      <c r="C336" s="39"/>
      <c r="D336" s="40"/>
      <c r="E336" s="39"/>
      <c r="F336" s="40"/>
      <c r="G336" s="41"/>
      <c r="H336" s="42"/>
      <c r="I336" s="43"/>
      <c r="J336" s="44"/>
      <c r="K336" s="39"/>
      <c r="L336" s="42"/>
      <c r="M336" s="44"/>
      <c r="N336" s="45"/>
      <c r="O336" s="44"/>
      <c r="P336" s="46"/>
      <c r="Q336" s="47" t="str">
        <f aca="false">IF(L336="","",IF(M336&lt;&gt;"",M336*L336*100,IF(AND(O336&lt;&gt;"",B336&lt;&gt;""),IFERROR(AVERAGEIF($B$5:$B$1004,B336,$M$5:$M$1004)*L336*100,""),"")))</f>
        <v/>
      </c>
      <c r="R336" s="47" t="str">
        <f aca="false">IF(AND(O336&lt;&gt;"",L336&lt;&gt;""),O336*L336*100,"")</f>
        <v/>
      </c>
      <c r="S336" s="48" t="str">
        <f aca="false">IF(AND(P336&lt;&gt;"",L336&lt;&gt;""),P336*L336*100,"")</f>
        <v/>
      </c>
      <c r="T336" s="49" t="str">
        <f aca="false">IF(AND(Q336&lt;&gt;"",R336&lt;&gt;""),R336-Q336,"")</f>
        <v/>
      </c>
      <c r="U336" s="50" t="str">
        <f aca="false">IF(AND(Q336&lt;&gt;"",Q336&lt;&gt;0,T336&lt;&gt;""),T336/Q336,"")</f>
        <v/>
      </c>
      <c r="V336" s="51" t="str">
        <f aca="false">IF(AND(S336&lt;&gt;"",Q336&lt;&gt;""),S336-Q336,"")</f>
        <v/>
      </c>
      <c r="W336" s="52" t="str">
        <f aca="false">IF(AND(Q336&lt;&gt;"",Q336&lt;&gt;0,V336&lt;&gt;""),V336/Q336,"")</f>
        <v/>
      </c>
      <c r="X336" s="53" t="s">
        <v>37</v>
      </c>
      <c r="Y336" s="54" t="str">
        <f aca="false">IF(AND(O336&lt;&gt;"",M336&lt;&gt;"",O336&gt;M336),CONCATENATE("1 : ",TEXT((O336-M336)/M336,"0.00")),IF(AND(O336&lt;&gt;"",M336&lt;&gt;"",O336&lt;M336),CONCATENATE("-1 : ",TEXT((M336-O336)/M336,"0.00")),"—"))</f>
        <v>—</v>
      </c>
      <c r="Z336" s="55" t="str">
        <f aca="false">IF(AND(P336&lt;&gt;"",M336&lt;&gt;"",P336&gt;M336),CONCATENATE("1 : ",TEXT((P336-M336)/M336,"0.00")),"—")</f>
        <v>—</v>
      </c>
      <c r="AA336" s="56" t="str">
        <f aca="false">IF(AND(C336&lt;&gt;"",E336&lt;&gt;""),E336-C336,"")</f>
        <v/>
      </c>
      <c r="AB336" s="42"/>
      <c r="AC336" s="57"/>
      <c r="AD336" s="58"/>
      <c r="AE336" s="59" t="str">
        <f aca="false">IF(G336&lt;&gt;"",HYPERLINK("https://www.tradingview.com/chart/?symbol="&amp;G336&amp;"&amp;interval=60&amp;from="&amp;(AG336-10*3600)&amp;"&amp;to="&amp;(AG336+50*3600),"📈 1H"),"")</f>
        <v/>
      </c>
      <c r="AF336" s="60" t="str">
        <f aca="false">IF(G336&lt;&gt;"",HYPERLINK("https://www.tradingview.com/chart/?symbol="&amp;G336&amp;"&amp;interval=240&amp;from="&amp;(AG336-10*14400)&amp;"&amp;to="&amp;(AG336+50*14400),"📈 4H"),"")</f>
        <v/>
      </c>
      <c r="AG336" s="36" t="str">
        <f aca="false">IF(C336&lt;&gt;"",INT((C336+IF(D336&lt;&gt;"",D336,0)-DATE(1970,1,1))*86400),"")</f>
        <v/>
      </c>
    </row>
    <row r="337" customFormat="false" ht="19.5" hidden="false" customHeight="true" outlineLevel="0" collapsed="false">
      <c r="A337" s="12" t="n">
        <f aca="false">ROW()-4</f>
        <v>333</v>
      </c>
      <c r="B337" s="13"/>
      <c r="C337" s="14"/>
      <c r="D337" s="15"/>
      <c r="E337" s="14"/>
      <c r="F337" s="15"/>
      <c r="G337" s="16"/>
      <c r="H337" s="17"/>
      <c r="I337" s="18"/>
      <c r="J337" s="19"/>
      <c r="K337" s="14"/>
      <c r="L337" s="17"/>
      <c r="M337" s="19"/>
      <c r="N337" s="20"/>
      <c r="O337" s="19"/>
      <c r="P337" s="21"/>
      <c r="Q337" s="22" t="str">
        <f aca="false">IF(L337="","",IF(M337&lt;&gt;"",M337*L337*100,IF(AND(O337&lt;&gt;"",B337&lt;&gt;""),IFERROR(AVERAGEIF($B$5:$B$1004,B337,$M$5:$M$1004)*L337*100,""),"")))</f>
        <v/>
      </c>
      <c r="R337" s="22" t="str">
        <f aca="false">IF(AND(O337&lt;&gt;"",L337&lt;&gt;""),O337*L337*100,"")</f>
        <v/>
      </c>
      <c r="S337" s="23" t="str">
        <f aca="false">IF(AND(P337&lt;&gt;"",L337&lt;&gt;""),P337*L337*100,"")</f>
        <v/>
      </c>
      <c r="T337" s="24" t="str">
        <f aca="false">IF(AND(Q337&lt;&gt;"",R337&lt;&gt;""),R337-Q337,"")</f>
        <v/>
      </c>
      <c r="U337" s="25" t="str">
        <f aca="false">IF(AND(Q337&lt;&gt;"",Q337&lt;&gt;0,T337&lt;&gt;""),T337/Q337,"")</f>
        <v/>
      </c>
      <c r="V337" s="26" t="str">
        <f aca="false">IF(AND(S337&lt;&gt;"",Q337&lt;&gt;""),S337-Q337,"")</f>
        <v/>
      </c>
      <c r="W337" s="27" t="str">
        <f aca="false">IF(AND(Q337&lt;&gt;"",Q337&lt;&gt;0,V337&lt;&gt;""),V337/Q337,"")</f>
        <v/>
      </c>
      <c r="X337" s="28" t="s">
        <v>37</v>
      </c>
      <c r="Y337" s="29" t="str">
        <f aca="false">IF(AND(O337&lt;&gt;"",M337&lt;&gt;"",O337&gt;M337),CONCATENATE("1 : ",TEXT((O337-M337)/M337,"0.00")),IF(AND(O337&lt;&gt;"",M337&lt;&gt;"",O337&lt;M337),CONCATENATE("-1 : ",TEXT((M337-O337)/M337,"0.00")),"—"))</f>
        <v>—</v>
      </c>
      <c r="Z337" s="30" t="str">
        <f aca="false">IF(AND(P337&lt;&gt;"",M337&lt;&gt;"",P337&gt;M337),CONCATENATE("1 : ",TEXT((P337-M337)/M337,"0.00")),"—")</f>
        <v>—</v>
      </c>
      <c r="AA337" s="31" t="str">
        <f aca="false">IF(AND(C337&lt;&gt;"",E337&lt;&gt;""),E337-C337,"")</f>
        <v/>
      </c>
      <c r="AB337" s="17"/>
      <c r="AC337" s="32"/>
      <c r="AD337" s="33"/>
      <c r="AE337" s="34" t="str">
        <f aca="false">IF(G337&lt;&gt;"",HYPERLINK("https://www.tradingview.com/chart/?symbol="&amp;G337&amp;"&amp;interval=60&amp;from="&amp;(AG337-10*3600)&amp;"&amp;to="&amp;(AG337+50*3600),"📈 1H"),"")</f>
        <v/>
      </c>
      <c r="AF337" s="35" t="str">
        <f aca="false">IF(G337&lt;&gt;"",HYPERLINK("https://www.tradingview.com/chart/?symbol="&amp;G337&amp;"&amp;interval=240&amp;from="&amp;(AG337-10*14400)&amp;"&amp;to="&amp;(AG337+50*14400),"📈 4H"),"")</f>
        <v/>
      </c>
      <c r="AG337" s="36" t="str">
        <f aca="false">IF(C337&lt;&gt;"",INT((C337+IF(D337&lt;&gt;"",D337,0)-DATE(1970,1,1))*86400),"")</f>
        <v/>
      </c>
    </row>
    <row r="338" customFormat="false" ht="19.5" hidden="false" customHeight="true" outlineLevel="0" collapsed="false">
      <c r="A338" s="37" t="n">
        <f aca="false">ROW()-4</f>
        <v>334</v>
      </c>
      <c r="B338" s="38"/>
      <c r="C338" s="39"/>
      <c r="D338" s="40"/>
      <c r="E338" s="39"/>
      <c r="F338" s="40"/>
      <c r="G338" s="41"/>
      <c r="H338" s="42"/>
      <c r="I338" s="43"/>
      <c r="J338" s="44"/>
      <c r="K338" s="39"/>
      <c r="L338" s="42"/>
      <c r="M338" s="44"/>
      <c r="N338" s="45"/>
      <c r="O338" s="44"/>
      <c r="P338" s="46"/>
      <c r="Q338" s="47" t="str">
        <f aca="false">IF(L338="","",IF(M338&lt;&gt;"",M338*L338*100,IF(AND(O338&lt;&gt;"",B338&lt;&gt;""),IFERROR(AVERAGEIF($B$5:$B$1004,B338,$M$5:$M$1004)*L338*100,""),"")))</f>
        <v/>
      </c>
      <c r="R338" s="47" t="str">
        <f aca="false">IF(AND(O338&lt;&gt;"",L338&lt;&gt;""),O338*L338*100,"")</f>
        <v/>
      </c>
      <c r="S338" s="48" t="str">
        <f aca="false">IF(AND(P338&lt;&gt;"",L338&lt;&gt;""),P338*L338*100,"")</f>
        <v/>
      </c>
      <c r="T338" s="49" t="str">
        <f aca="false">IF(AND(Q338&lt;&gt;"",R338&lt;&gt;""),R338-Q338,"")</f>
        <v/>
      </c>
      <c r="U338" s="50" t="str">
        <f aca="false">IF(AND(Q338&lt;&gt;"",Q338&lt;&gt;0,T338&lt;&gt;""),T338/Q338,"")</f>
        <v/>
      </c>
      <c r="V338" s="51" t="str">
        <f aca="false">IF(AND(S338&lt;&gt;"",Q338&lt;&gt;""),S338-Q338,"")</f>
        <v/>
      </c>
      <c r="W338" s="52" t="str">
        <f aca="false">IF(AND(Q338&lt;&gt;"",Q338&lt;&gt;0,V338&lt;&gt;""),V338/Q338,"")</f>
        <v/>
      </c>
      <c r="X338" s="53" t="s">
        <v>37</v>
      </c>
      <c r="Y338" s="54" t="str">
        <f aca="false">IF(AND(O338&lt;&gt;"",M338&lt;&gt;"",O338&gt;M338),CONCATENATE("1 : ",TEXT((O338-M338)/M338,"0.00")),IF(AND(O338&lt;&gt;"",M338&lt;&gt;"",O338&lt;M338),CONCATENATE("-1 : ",TEXT((M338-O338)/M338,"0.00")),"—"))</f>
        <v>—</v>
      </c>
      <c r="Z338" s="55" t="str">
        <f aca="false">IF(AND(P338&lt;&gt;"",M338&lt;&gt;"",P338&gt;M338),CONCATENATE("1 : ",TEXT((P338-M338)/M338,"0.00")),"—")</f>
        <v>—</v>
      </c>
      <c r="AA338" s="56" t="str">
        <f aca="false">IF(AND(C338&lt;&gt;"",E338&lt;&gt;""),E338-C338,"")</f>
        <v/>
      </c>
      <c r="AB338" s="42"/>
      <c r="AC338" s="57"/>
      <c r="AD338" s="58"/>
      <c r="AE338" s="59" t="str">
        <f aca="false">IF(G338&lt;&gt;"",HYPERLINK("https://www.tradingview.com/chart/?symbol="&amp;G338&amp;"&amp;interval=60&amp;from="&amp;(AG338-10*3600)&amp;"&amp;to="&amp;(AG338+50*3600),"📈 1H"),"")</f>
        <v/>
      </c>
      <c r="AF338" s="60" t="str">
        <f aca="false">IF(G338&lt;&gt;"",HYPERLINK("https://www.tradingview.com/chart/?symbol="&amp;G338&amp;"&amp;interval=240&amp;from="&amp;(AG338-10*14400)&amp;"&amp;to="&amp;(AG338+50*14400),"📈 4H"),"")</f>
        <v/>
      </c>
      <c r="AG338" s="36" t="str">
        <f aca="false">IF(C338&lt;&gt;"",INT((C338+IF(D338&lt;&gt;"",D338,0)-DATE(1970,1,1))*86400),"")</f>
        <v/>
      </c>
    </row>
    <row r="339" customFormat="false" ht="19.5" hidden="false" customHeight="true" outlineLevel="0" collapsed="false">
      <c r="A339" s="12" t="n">
        <f aca="false">ROW()-4</f>
        <v>335</v>
      </c>
      <c r="B339" s="13"/>
      <c r="C339" s="14"/>
      <c r="D339" s="15"/>
      <c r="E339" s="14"/>
      <c r="F339" s="15"/>
      <c r="G339" s="16"/>
      <c r="H339" s="17"/>
      <c r="I339" s="18"/>
      <c r="J339" s="19"/>
      <c r="K339" s="14"/>
      <c r="L339" s="17"/>
      <c r="M339" s="19"/>
      <c r="N339" s="20"/>
      <c r="O339" s="19"/>
      <c r="P339" s="21"/>
      <c r="Q339" s="22" t="str">
        <f aca="false">IF(L339="","",IF(M339&lt;&gt;"",M339*L339*100,IF(AND(O339&lt;&gt;"",B339&lt;&gt;""),IFERROR(AVERAGEIF($B$5:$B$1004,B339,$M$5:$M$1004)*L339*100,""),"")))</f>
        <v/>
      </c>
      <c r="R339" s="22" t="str">
        <f aca="false">IF(AND(O339&lt;&gt;"",L339&lt;&gt;""),O339*L339*100,"")</f>
        <v/>
      </c>
      <c r="S339" s="23" t="str">
        <f aca="false">IF(AND(P339&lt;&gt;"",L339&lt;&gt;""),P339*L339*100,"")</f>
        <v/>
      </c>
      <c r="T339" s="24" t="str">
        <f aca="false">IF(AND(Q339&lt;&gt;"",R339&lt;&gt;""),R339-Q339,"")</f>
        <v/>
      </c>
      <c r="U339" s="25" t="str">
        <f aca="false">IF(AND(Q339&lt;&gt;"",Q339&lt;&gt;0,T339&lt;&gt;""),T339/Q339,"")</f>
        <v/>
      </c>
      <c r="V339" s="26" t="str">
        <f aca="false">IF(AND(S339&lt;&gt;"",Q339&lt;&gt;""),S339-Q339,"")</f>
        <v/>
      </c>
      <c r="W339" s="27" t="str">
        <f aca="false">IF(AND(Q339&lt;&gt;"",Q339&lt;&gt;0,V339&lt;&gt;""),V339/Q339,"")</f>
        <v/>
      </c>
      <c r="X339" s="28" t="s">
        <v>37</v>
      </c>
      <c r="Y339" s="29" t="str">
        <f aca="false">IF(AND(O339&lt;&gt;"",M339&lt;&gt;"",O339&gt;M339),CONCATENATE("1 : ",TEXT((O339-M339)/M339,"0.00")),IF(AND(O339&lt;&gt;"",M339&lt;&gt;"",O339&lt;M339),CONCATENATE("-1 : ",TEXT((M339-O339)/M339,"0.00")),"—"))</f>
        <v>—</v>
      </c>
      <c r="Z339" s="30" t="str">
        <f aca="false">IF(AND(P339&lt;&gt;"",M339&lt;&gt;"",P339&gt;M339),CONCATENATE("1 : ",TEXT((P339-M339)/M339,"0.00")),"—")</f>
        <v>—</v>
      </c>
      <c r="AA339" s="31" t="str">
        <f aca="false">IF(AND(C339&lt;&gt;"",E339&lt;&gt;""),E339-C339,"")</f>
        <v/>
      </c>
      <c r="AB339" s="17"/>
      <c r="AC339" s="32"/>
      <c r="AD339" s="33"/>
      <c r="AE339" s="34" t="str">
        <f aca="false">IF(G339&lt;&gt;"",HYPERLINK("https://www.tradingview.com/chart/?symbol="&amp;G339&amp;"&amp;interval=60&amp;from="&amp;(AG339-10*3600)&amp;"&amp;to="&amp;(AG339+50*3600),"📈 1H"),"")</f>
        <v/>
      </c>
      <c r="AF339" s="35" t="str">
        <f aca="false">IF(G339&lt;&gt;"",HYPERLINK("https://www.tradingview.com/chart/?symbol="&amp;G339&amp;"&amp;interval=240&amp;from="&amp;(AG339-10*14400)&amp;"&amp;to="&amp;(AG339+50*14400),"📈 4H"),"")</f>
        <v/>
      </c>
      <c r="AG339" s="36" t="str">
        <f aca="false">IF(C339&lt;&gt;"",INT((C339+IF(D339&lt;&gt;"",D339,0)-DATE(1970,1,1))*86400),"")</f>
        <v/>
      </c>
    </row>
    <row r="340" customFormat="false" ht="19.5" hidden="false" customHeight="true" outlineLevel="0" collapsed="false">
      <c r="A340" s="37" t="n">
        <f aca="false">ROW()-4</f>
        <v>336</v>
      </c>
      <c r="B340" s="38"/>
      <c r="C340" s="39"/>
      <c r="D340" s="40"/>
      <c r="E340" s="39"/>
      <c r="F340" s="40"/>
      <c r="G340" s="41"/>
      <c r="H340" s="42"/>
      <c r="I340" s="43"/>
      <c r="J340" s="44"/>
      <c r="K340" s="39"/>
      <c r="L340" s="42"/>
      <c r="M340" s="44"/>
      <c r="N340" s="45"/>
      <c r="O340" s="44"/>
      <c r="P340" s="46"/>
      <c r="Q340" s="47" t="str">
        <f aca="false">IF(L340="","",IF(M340&lt;&gt;"",M340*L340*100,IF(AND(O340&lt;&gt;"",B340&lt;&gt;""),IFERROR(AVERAGEIF($B$5:$B$1004,B340,$M$5:$M$1004)*L340*100,""),"")))</f>
        <v/>
      </c>
      <c r="R340" s="47" t="str">
        <f aca="false">IF(AND(O340&lt;&gt;"",L340&lt;&gt;""),O340*L340*100,"")</f>
        <v/>
      </c>
      <c r="S340" s="48" t="str">
        <f aca="false">IF(AND(P340&lt;&gt;"",L340&lt;&gt;""),P340*L340*100,"")</f>
        <v/>
      </c>
      <c r="T340" s="49" t="str">
        <f aca="false">IF(AND(Q340&lt;&gt;"",R340&lt;&gt;""),R340-Q340,"")</f>
        <v/>
      </c>
      <c r="U340" s="50" t="str">
        <f aca="false">IF(AND(Q340&lt;&gt;"",Q340&lt;&gt;0,T340&lt;&gt;""),T340/Q340,"")</f>
        <v/>
      </c>
      <c r="V340" s="51" t="str">
        <f aca="false">IF(AND(S340&lt;&gt;"",Q340&lt;&gt;""),S340-Q340,"")</f>
        <v/>
      </c>
      <c r="W340" s="52" t="str">
        <f aca="false">IF(AND(Q340&lt;&gt;"",Q340&lt;&gt;0,V340&lt;&gt;""),V340/Q340,"")</f>
        <v/>
      </c>
      <c r="X340" s="53" t="s">
        <v>37</v>
      </c>
      <c r="Y340" s="54" t="str">
        <f aca="false">IF(AND(O340&lt;&gt;"",M340&lt;&gt;"",O340&gt;M340),CONCATENATE("1 : ",TEXT((O340-M340)/M340,"0.00")),IF(AND(O340&lt;&gt;"",M340&lt;&gt;"",O340&lt;M340),CONCATENATE("-1 : ",TEXT((M340-O340)/M340,"0.00")),"—"))</f>
        <v>—</v>
      </c>
      <c r="Z340" s="55" t="str">
        <f aca="false">IF(AND(P340&lt;&gt;"",M340&lt;&gt;"",P340&gt;M340),CONCATENATE("1 : ",TEXT((P340-M340)/M340,"0.00")),"—")</f>
        <v>—</v>
      </c>
      <c r="AA340" s="56" t="str">
        <f aca="false">IF(AND(C340&lt;&gt;"",E340&lt;&gt;""),E340-C340,"")</f>
        <v/>
      </c>
      <c r="AB340" s="42"/>
      <c r="AC340" s="57"/>
      <c r="AD340" s="58"/>
      <c r="AE340" s="59" t="str">
        <f aca="false">IF(G340&lt;&gt;"",HYPERLINK("https://www.tradingview.com/chart/?symbol="&amp;G340&amp;"&amp;interval=60&amp;from="&amp;(AG340-10*3600)&amp;"&amp;to="&amp;(AG340+50*3600),"📈 1H"),"")</f>
        <v/>
      </c>
      <c r="AF340" s="60" t="str">
        <f aca="false">IF(G340&lt;&gt;"",HYPERLINK("https://www.tradingview.com/chart/?symbol="&amp;G340&amp;"&amp;interval=240&amp;from="&amp;(AG340-10*14400)&amp;"&amp;to="&amp;(AG340+50*14400),"📈 4H"),"")</f>
        <v/>
      </c>
      <c r="AG340" s="36" t="str">
        <f aca="false">IF(C340&lt;&gt;"",INT((C340+IF(D340&lt;&gt;"",D340,0)-DATE(1970,1,1))*86400),"")</f>
        <v/>
      </c>
    </row>
    <row r="341" customFormat="false" ht="19.5" hidden="false" customHeight="true" outlineLevel="0" collapsed="false">
      <c r="A341" s="12" t="n">
        <f aca="false">ROW()-4</f>
        <v>337</v>
      </c>
      <c r="B341" s="13"/>
      <c r="C341" s="14"/>
      <c r="D341" s="15"/>
      <c r="E341" s="14"/>
      <c r="F341" s="15"/>
      <c r="G341" s="16"/>
      <c r="H341" s="17"/>
      <c r="I341" s="18"/>
      <c r="J341" s="19"/>
      <c r="K341" s="14"/>
      <c r="L341" s="17"/>
      <c r="M341" s="19"/>
      <c r="N341" s="20"/>
      <c r="O341" s="19"/>
      <c r="P341" s="21"/>
      <c r="Q341" s="22" t="str">
        <f aca="false">IF(L341="","",IF(M341&lt;&gt;"",M341*L341*100,IF(AND(O341&lt;&gt;"",B341&lt;&gt;""),IFERROR(AVERAGEIF($B$5:$B$1004,B341,$M$5:$M$1004)*L341*100,""),"")))</f>
        <v/>
      </c>
      <c r="R341" s="22" t="str">
        <f aca="false">IF(AND(O341&lt;&gt;"",L341&lt;&gt;""),O341*L341*100,"")</f>
        <v/>
      </c>
      <c r="S341" s="23" t="str">
        <f aca="false">IF(AND(P341&lt;&gt;"",L341&lt;&gt;""),P341*L341*100,"")</f>
        <v/>
      </c>
      <c r="T341" s="24" t="str">
        <f aca="false">IF(AND(Q341&lt;&gt;"",R341&lt;&gt;""),R341-Q341,"")</f>
        <v/>
      </c>
      <c r="U341" s="25" t="str">
        <f aca="false">IF(AND(Q341&lt;&gt;"",Q341&lt;&gt;0,T341&lt;&gt;""),T341/Q341,"")</f>
        <v/>
      </c>
      <c r="V341" s="26" t="str">
        <f aca="false">IF(AND(S341&lt;&gt;"",Q341&lt;&gt;""),S341-Q341,"")</f>
        <v/>
      </c>
      <c r="W341" s="27" t="str">
        <f aca="false">IF(AND(Q341&lt;&gt;"",Q341&lt;&gt;0,V341&lt;&gt;""),V341/Q341,"")</f>
        <v/>
      </c>
      <c r="X341" s="28" t="s">
        <v>37</v>
      </c>
      <c r="Y341" s="29" t="str">
        <f aca="false">IF(AND(O341&lt;&gt;"",M341&lt;&gt;"",O341&gt;M341),CONCATENATE("1 : ",TEXT((O341-M341)/M341,"0.00")),IF(AND(O341&lt;&gt;"",M341&lt;&gt;"",O341&lt;M341),CONCATENATE("-1 : ",TEXT((M341-O341)/M341,"0.00")),"—"))</f>
        <v>—</v>
      </c>
      <c r="Z341" s="30" t="str">
        <f aca="false">IF(AND(P341&lt;&gt;"",M341&lt;&gt;"",P341&gt;M341),CONCATENATE("1 : ",TEXT((P341-M341)/M341,"0.00")),"—")</f>
        <v>—</v>
      </c>
      <c r="AA341" s="31" t="str">
        <f aca="false">IF(AND(C341&lt;&gt;"",E341&lt;&gt;""),E341-C341,"")</f>
        <v/>
      </c>
      <c r="AB341" s="17"/>
      <c r="AC341" s="32"/>
      <c r="AD341" s="33"/>
      <c r="AE341" s="34" t="str">
        <f aca="false">IF(G341&lt;&gt;"",HYPERLINK("https://www.tradingview.com/chart/?symbol="&amp;G341&amp;"&amp;interval=60&amp;from="&amp;(AG341-10*3600)&amp;"&amp;to="&amp;(AG341+50*3600),"📈 1H"),"")</f>
        <v/>
      </c>
      <c r="AF341" s="35" t="str">
        <f aca="false">IF(G341&lt;&gt;"",HYPERLINK("https://www.tradingview.com/chart/?symbol="&amp;G341&amp;"&amp;interval=240&amp;from="&amp;(AG341-10*14400)&amp;"&amp;to="&amp;(AG341+50*14400),"📈 4H"),"")</f>
        <v/>
      </c>
      <c r="AG341" s="36" t="str">
        <f aca="false">IF(C341&lt;&gt;"",INT((C341+IF(D341&lt;&gt;"",D341,0)-DATE(1970,1,1))*86400),"")</f>
        <v/>
      </c>
    </row>
    <row r="342" customFormat="false" ht="19.5" hidden="false" customHeight="true" outlineLevel="0" collapsed="false">
      <c r="A342" s="37" t="n">
        <f aca="false">ROW()-4</f>
        <v>338</v>
      </c>
      <c r="B342" s="38"/>
      <c r="C342" s="39"/>
      <c r="D342" s="40"/>
      <c r="E342" s="39"/>
      <c r="F342" s="40"/>
      <c r="G342" s="41"/>
      <c r="H342" s="42"/>
      <c r="I342" s="43"/>
      <c r="J342" s="44"/>
      <c r="K342" s="39"/>
      <c r="L342" s="42"/>
      <c r="M342" s="44"/>
      <c r="N342" s="45"/>
      <c r="O342" s="44"/>
      <c r="P342" s="46"/>
      <c r="Q342" s="47" t="str">
        <f aca="false">IF(L342="","",IF(M342&lt;&gt;"",M342*L342*100,IF(AND(O342&lt;&gt;"",B342&lt;&gt;""),IFERROR(AVERAGEIF($B$5:$B$1004,B342,$M$5:$M$1004)*L342*100,""),"")))</f>
        <v/>
      </c>
      <c r="R342" s="47" t="str">
        <f aca="false">IF(AND(O342&lt;&gt;"",L342&lt;&gt;""),O342*L342*100,"")</f>
        <v/>
      </c>
      <c r="S342" s="48" t="str">
        <f aca="false">IF(AND(P342&lt;&gt;"",L342&lt;&gt;""),P342*L342*100,"")</f>
        <v/>
      </c>
      <c r="T342" s="49" t="str">
        <f aca="false">IF(AND(Q342&lt;&gt;"",R342&lt;&gt;""),R342-Q342,"")</f>
        <v/>
      </c>
      <c r="U342" s="50" t="str">
        <f aca="false">IF(AND(Q342&lt;&gt;"",Q342&lt;&gt;0,T342&lt;&gt;""),T342/Q342,"")</f>
        <v/>
      </c>
      <c r="V342" s="51" t="str">
        <f aca="false">IF(AND(S342&lt;&gt;"",Q342&lt;&gt;""),S342-Q342,"")</f>
        <v/>
      </c>
      <c r="W342" s="52" t="str">
        <f aca="false">IF(AND(Q342&lt;&gt;"",Q342&lt;&gt;0,V342&lt;&gt;""),V342/Q342,"")</f>
        <v/>
      </c>
      <c r="X342" s="53" t="s">
        <v>37</v>
      </c>
      <c r="Y342" s="54" t="str">
        <f aca="false">IF(AND(O342&lt;&gt;"",M342&lt;&gt;"",O342&gt;M342),CONCATENATE("1 : ",TEXT((O342-M342)/M342,"0.00")),IF(AND(O342&lt;&gt;"",M342&lt;&gt;"",O342&lt;M342),CONCATENATE("-1 : ",TEXT((M342-O342)/M342,"0.00")),"—"))</f>
        <v>—</v>
      </c>
      <c r="Z342" s="55" t="str">
        <f aca="false">IF(AND(P342&lt;&gt;"",M342&lt;&gt;"",P342&gt;M342),CONCATENATE("1 : ",TEXT((P342-M342)/M342,"0.00")),"—")</f>
        <v>—</v>
      </c>
      <c r="AA342" s="56" t="str">
        <f aca="false">IF(AND(C342&lt;&gt;"",E342&lt;&gt;""),E342-C342,"")</f>
        <v/>
      </c>
      <c r="AB342" s="42"/>
      <c r="AC342" s="57"/>
      <c r="AD342" s="58"/>
      <c r="AE342" s="59" t="str">
        <f aca="false">IF(G342&lt;&gt;"",HYPERLINK("https://www.tradingview.com/chart/?symbol="&amp;G342&amp;"&amp;interval=60&amp;from="&amp;(AG342-10*3600)&amp;"&amp;to="&amp;(AG342+50*3600),"📈 1H"),"")</f>
        <v/>
      </c>
      <c r="AF342" s="60" t="str">
        <f aca="false">IF(G342&lt;&gt;"",HYPERLINK("https://www.tradingview.com/chart/?symbol="&amp;G342&amp;"&amp;interval=240&amp;from="&amp;(AG342-10*14400)&amp;"&amp;to="&amp;(AG342+50*14400),"📈 4H"),"")</f>
        <v/>
      </c>
      <c r="AG342" s="36" t="str">
        <f aca="false">IF(C342&lt;&gt;"",INT((C342+IF(D342&lt;&gt;"",D342,0)-DATE(1970,1,1))*86400),"")</f>
        <v/>
      </c>
    </row>
    <row r="343" customFormat="false" ht="19.5" hidden="false" customHeight="true" outlineLevel="0" collapsed="false">
      <c r="A343" s="12" t="n">
        <f aca="false">ROW()-4</f>
        <v>339</v>
      </c>
      <c r="B343" s="13"/>
      <c r="C343" s="14"/>
      <c r="D343" s="15"/>
      <c r="E343" s="14"/>
      <c r="F343" s="15"/>
      <c r="G343" s="16"/>
      <c r="H343" s="17"/>
      <c r="I343" s="18"/>
      <c r="J343" s="19"/>
      <c r="K343" s="14"/>
      <c r="L343" s="17"/>
      <c r="M343" s="19"/>
      <c r="N343" s="20"/>
      <c r="O343" s="19"/>
      <c r="P343" s="21"/>
      <c r="Q343" s="22" t="str">
        <f aca="false">IF(L343="","",IF(M343&lt;&gt;"",M343*L343*100,IF(AND(O343&lt;&gt;"",B343&lt;&gt;""),IFERROR(AVERAGEIF($B$5:$B$1004,B343,$M$5:$M$1004)*L343*100,""),"")))</f>
        <v/>
      </c>
      <c r="R343" s="22" t="str">
        <f aca="false">IF(AND(O343&lt;&gt;"",L343&lt;&gt;""),O343*L343*100,"")</f>
        <v/>
      </c>
      <c r="S343" s="23" t="str">
        <f aca="false">IF(AND(P343&lt;&gt;"",L343&lt;&gt;""),P343*L343*100,"")</f>
        <v/>
      </c>
      <c r="T343" s="24" t="str">
        <f aca="false">IF(AND(Q343&lt;&gt;"",R343&lt;&gt;""),R343-Q343,"")</f>
        <v/>
      </c>
      <c r="U343" s="25" t="str">
        <f aca="false">IF(AND(Q343&lt;&gt;"",Q343&lt;&gt;0,T343&lt;&gt;""),T343/Q343,"")</f>
        <v/>
      </c>
      <c r="V343" s="26" t="str">
        <f aca="false">IF(AND(S343&lt;&gt;"",Q343&lt;&gt;""),S343-Q343,"")</f>
        <v/>
      </c>
      <c r="W343" s="27" t="str">
        <f aca="false">IF(AND(Q343&lt;&gt;"",Q343&lt;&gt;0,V343&lt;&gt;""),V343/Q343,"")</f>
        <v/>
      </c>
      <c r="X343" s="28" t="s">
        <v>37</v>
      </c>
      <c r="Y343" s="29" t="str">
        <f aca="false">IF(AND(O343&lt;&gt;"",M343&lt;&gt;"",O343&gt;M343),CONCATENATE("1 : ",TEXT((O343-M343)/M343,"0.00")),IF(AND(O343&lt;&gt;"",M343&lt;&gt;"",O343&lt;M343),CONCATENATE("-1 : ",TEXT((M343-O343)/M343,"0.00")),"—"))</f>
        <v>—</v>
      </c>
      <c r="Z343" s="30" t="str">
        <f aca="false">IF(AND(P343&lt;&gt;"",M343&lt;&gt;"",P343&gt;M343),CONCATENATE("1 : ",TEXT((P343-M343)/M343,"0.00")),"—")</f>
        <v>—</v>
      </c>
      <c r="AA343" s="31" t="str">
        <f aca="false">IF(AND(C343&lt;&gt;"",E343&lt;&gt;""),E343-C343,"")</f>
        <v/>
      </c>
      <c r="AB343" s="17"/>
      <c r="AC343" s="32"/>
      <c r="AD343" s="33"/>
      <c r="AE343" s="34" t="str">
        <f aca="false">IF(G343&lt;&gt;"",HYPERLINK("https://www.tradingview.com/chart/?symbol="&amp;G343&amp;"&amp;interval=60&amp;from="&amp;(AG343-10*3600)&amp;"&amp;to="&amp;(AG343+50*3600),"📈 1H"),"")</f>
        <v/>
      </c>
      <c r="AF343" s="35" t="str">
        <f aca="false">IF(G343&lt;&gt;"",HYPERLINK("https://www.tradingview.com/chart/?symbol="&amp;G343&amp;"&amp;interval=240&amp;from="&amp;(AG343-10*14400)&amp;"&amp;to="&amp;(AG343+50*14400),"📈 4H"),"")</f>
        <v/>
      </c>
      <c r="AG343" s="36" t="str">
        <f aca="false">IF(C343&lt;&gt;"",INT((C343+IF(D343&lt;&gt;"",D343,0)-DATE(1970,1,1))*86400),"")</f>
        <v/>
      </c>
    </row>
    <row r="344" customFormat="false" ht="19.5" hidden="false" customHeight="true" outlineLevel="0" collapsed="false">
      <c r="A344" s="37" t="n">
        <f aca="false">ROW()-4</f>
        <v>340</v>
      </c>
      <c r="B344" s="38"/>
      <c r="C344" s="39"/>
      <c r="D344" s="40"/>
      <c r="E344" s="39"/>
      <c r="F344" s="40"/>
      <c r="G344" s="41"/>
      <c r="H344" s="42"/>
      <c r="I344" s="43"/>
      <c r="J344" s="44"/>
      <c r="K344" s="39"/>
      <c r="L344" s="42"/>
      <c r="M344" s="44"/>
      <c r="N344" s="45"/>
      <c r="O344" s="44"/>
      <c r="P344" s="46"/>
      <c r="Q344" s="47" t="str">
        <f aca="false">IF(L344="","",IF(M344&lt;&gt;"",M344*L344*100,IF(AND(O344&lt;&gt;"",B344&lt;&gt;""),IFERROR(AVERAGEIF($B$5:$B$1004,B344,$M$5:$M$1004)*L344*100,""),"")))</f>
        <v/>
      </c>
      <c r="R344" s="47" t="str">
        <f aca="false">IF(AND(O344&lt;&gt;"",L344&lt;&gt;""),O344*L344*100,"")</f>
        <v/>
      </c>
      <c r="S344" s="48" t="str">
        <f aca="false">IF(AND(P344&lt;&gt;"",L344&lt;&gt;""),P344*L344*100,"")</f>
        <v/>
      </c>
      <c r="T344" s="49" t="str">
        <f aca="false">IF(AND(Q344&lt;&gt;"",R344&lt;&gt;""),R344-Q344,"")</f>
        <v/>
      </c>
      <c r="U344" s="50" t="str">
        <f aca="false">IF(AND(Q344&lt;&gt;"",Q344&lt;&gt;0,T344&lt;&gt;""),T344/Q344,"")</f>
        <v/>
      </c>
      <c r="V344" s="51" t="str">
        <f aca="false">IF(AND(S344&lt;&gt;"",Q344&lt;&gt;""),S344-Q344,"")</f>
        <v/>
      </c>
      <c r="W344" s="52" t="str">
        <f aca="false">IF(AND(Q344&lt;&gt;"",Q344&lt;&gt;0,V344&lt;&gt;""),V344/Q344,"")</f>
        <v/>
      </c>
      <c r="X344" s="53" t="s">
        <v>37</v>
      </c>
      <c r="Y344" s="54" t="str">
        <f aca="false">IF(AND(O344&lt;&gt;"",M344&lt;&gt;"",O344&gt;M344),CONCATENATE("1 : ",TEXT((O344-M344)/M344,"0.00")),IF(AND(O344&lt;&gt;"",M344&lt;&gt;"",O344&lt;M344),CONCATENATE("-1 : ",TEXT((M344-O344)/M344,"0.00")),"—"))</f>
        <v>—</v>
      </c>
      <c r="Z344" s="55" t="str">
        <f aca="false">IF(AND(P344&lt;&gt;"",M344&lt;&gt;"",P344&gt;M344),CONCATENATE("1 : ",TEXT((P344-M344)/M344,"0.00")),"—")</f>
        <v>—</v>
      </c>
      <c r="AA344" s="56" t="str">
        <f aca="false">IF(AND(C344&lt;&gt;"",E344&lt;&gt;""),E344-C344,"")</f>
        <v/>
      </c>
      <c r="AB344" s="42"/>
      <c r="AC344" s="57"/>
      <c r="AD344" s="58"/>
      <c r="AE344" s="59" t="str">
        <f aca="false">IF(G344&lt;&gt;"",HYPERLINK("https://www.tradingview.com/chart/?symbol="&amp;G344&amp;"&amp;interval=60&amp;from="&amp;(AG344-10*3600)&amp;"&amp;to="&amp;(AG344+50*3600),"📈 1H"),"")</f>
        <v/>
      </c>
      <c r="AF344" s="60" t="str">
        <f aca="false">IF(G344&lt;&gt;"",HYPERLINK("https://www.tradingview.com/chart/?symbol="&amp;G344&amp;"&amp;interval=240&amp;from="&amp;(AG344-10*14400)&amp;"&amp;to="&amp;(AG344+50*14400),"📈 4H"),"")</f>
        <v/>
      </c>
      <c r="AG344" s="36" t="str">
        <f aca="false">IF(C344&lt;&gt;"",INT((C344+IF(D344&lt;&gt;"",D344,0)-DATE(1970,1,1))*86400),"")</f>
        <v/>
      </c>
    </row>
    <row r="345" customFormat="false" ht="19.5" hidden="false" customHeight="true" outlineLevel="0" collapsed="false">
      <c r="A345" s="12" t="n">
        <f aca="false">ROW()-4</f>
        <v>341</v>
      </c>
      <c r="B345" s="13"/>
      <c r="C345" s="14"/>
      <c r="D345" s="15"/>
      <c r="E345" s="14"/>
      <c r="F345" s="15"/>
      <c r="G345" s="16"/>
      <c r="H345" s="17"/>
      <c r="I345" s="18"/>
      <c r="J345" s="19"/>
      <c r="K345" s="14"/>
      <c r="L345" s="17"/>
      <c r="M345" s="19"/>
      <c r="N345" s="20"/>
      <c r="O345" s="19"/>
      <c r="P345" s="21"/>
      <c r="Q345" s="22" t="str">
        <f aca="false">IF(L345="","",IF(M345&lt;&gt;"",M345*L345*100,IF(AND(O345&lt;&gt;"",B345&lt;&gt;""),IFERROR(AVERAGEIF($B$5:$B$1004,B345,$M$5:$M$1004)*L345*100,""),"")))</f>
        <v/>
      </c>
      <c r="R345" s="22" t="str">
        <f aca="false">IF(AND(O345&lt;&gt;"",L345&lt;&gt;""),O345*L345*100,"")</f>
        <v/>
      </c>
      <c r="S345" s="23" t="str">
        <f aca="false">IF(AND(P345&lt;&gt;"",L345&lt;&gt;""),P345*L345*100,"")</f>
        <v/>
      </c>
      <c r="T345" s="24" t="str">
        <f aca="false">IF(AND(Q345&lt;&gt;"",R345&lt;&gt;""),R345-Q345,"")</f>
        <v/>
      </c>
      <c r="U345" s="25" t="str">
        <f aca="false">IF(AND(Q345&lt;&gt;"",Q345&lt;&gt;0,T345&lt;&gt;""),T345/Q345,"")</f>
        <v/>
      </c>
      <c r="V345" s="26" t="str">
        <f aca="false">IF(AND(S345&lt;&gt;"",Q345&lt;&gt;""),S345-Q345,"")</f>
        <v/>
      </c>
      <c r="W345" s="27" t="str">
        <f aca="false">IF(AND(Q345&lt;&gt;"",Q345&lt;&gt;0,V345&lt;&gt;""),V345/Q345,"")</f>
        <v/>
      </c>
      <c r="X345" s="28" t="s">
        <v>37</v>
      </c>
      <c r="Y345" s="29" t="str">
        <f aca="false">IF(AND(O345&lt;&gt;"",M345&lt;&gt;"",O345&gt;M345),CONCATENATE("1 : ",TEXT((O345-M345)/M345,"0.00")),IF(AND(O345&lt;&gt;"",M345&lt;&gt;"",O345&lt;M345),CONCATENATE("-1 : ",TEXT((M345-O345)/M345,"0.00")),"—"))</f>
        <v>—</v>
      </c>
      <c r="Z345" s="30" t="str">
        <f aca="false">IF(AND(P345&lt;&gt;"",M345&lt;&gt;"",P345&gt;M345),CONCATENATE("1 : ",TEXT((P345-M345)/M345,"0.00")),"—")</f>
        <v>—</v>
      </c>
      <c r="AA345" s="31" t="str">
        <f aca="false">IF(AND(C345&lt;&gt;"",E345&lt;&gt;""),E345-C345,"")</f>
        <v/>
      </c>
      <c r="AB345" s="17"/>
      <c r="AC345" s="32"/>
      <c r="AD345" s="33"/>
      <c r="AE345" s="34" t="str">
        <f aca="false">IF(G345&lt;&gt;"",HYPERLINK("https://www.tradingview.com/chart/?symbol="&amp;G345&amp;"&amp;interval=60&amp;from="&amp;(AG345-10*3600)&amp;"&amp;to="&amp;(AG345+50*3600),"📈 1H"),"")</f>
        <v/>
      </c>
      <c r="AF345" s="35" t="str">
        <f aca="false">IF(G345&lt;&gt;"",HYPERLINK("https://www.tradingview.com/chart/?symbol="&amp;G345&amp;"&amp;interval=240&amp;from="&amp;(AG345-10*14400)&amp;"&amp;to="&amp;(AG345+50*14400),"📈 4H"),"")</f>
        <v/>
      </c>
      <c r="AG345" s="36" t="str">
        <f aca="false">IF(C345&lt;&gt;"",INT((C345+IF(D345&lt;&gt;"",D345,0)-DATE(1970,1,1))*86400),"")</f>
        <v/>
      </c>
    </row>
    <row r="346" customFormat="false" ht="19.5" hidden="false" customHeight="true" outlineLevel="0" collapsed="false">
      <c r="A346" s="37" t="n">
        <f aca="false">ROW()-4</f>
        <v>342</v>
      </c>
      <c r="B346" s="38"/>
      <c r="C346" s="39"/>
      <c r="D346" s="40"/>
      <c r="E346" s="39"/>
      <c r="F346" s="40"/>
      <c r="G346" s="41"/>
      <c r="H346" s="42"/>
      <c r="I346" s="43"/>
      <c r="J346" s="44"/>
      <c r="K346" s="39"/>
      <c r="L346" s="42"/>
      <c r="M346" s="44"/>
      <c r="N346" s="45"/>
      <c r="O346" s="44"/>
      <c r="P346" s="46"/>
      <c r="Q346" s="47" t="str">
        <f aca="false">IF(L346="","",IF(M346&lt;&gt;"",M346*L346*100,IF(AND(O346&lt;&gt;"",B346&lt;&gt;""),IFERROR(AVERAGEIF($B$5:$B$1004,B346,$M$5:$M$1004)*L346*100,""),"")))</f>
        <v/>
      </c>
      <c r="R346" s="47" t="str">
        <f aca="false">IF(AND(O346&lt;&gt;"",L346&lt;&gt;""),O346*L346*100,"")</f>
        <v/>
      </c>
      <c r="S346" s="48" t="str">
        <f aca="false">IF(AND(P346&lt;&gt;"",L346&lt;&gt;""),P346*L346*100,"")</f>
        <v/>
      </c>
      <c r="T346" s="49" t="str">
        <f aca="false">IF(AND(Q346&lt;&gt;"",R346&lt;&gt;""),R346-Q346,"")</f>
        <v/>
      </c>
      <c r="U346" s="50" t="str">
        <f aca="false">IF(AND(Q346&lt;&gt;"",Q346&lt;&gt;0,T346&lt;&gt;""),T346/Q346,"")</f>
        <v/>
      </c>
      <c r="V346" s="51" t="str">
        <f aca="false">IF(AND(S346&lt;&gt;"",Q346&lt;&gt;""),S346-Q346,"")</f>
        <v/>
      </c>
      <c r="W346" s="52" t="str">
        <f aca="false">IF(AND(Q346&lt;&gt;"",Q346&lt;&gt;0,V346&lt;&gt;""),V346/Q346,"")</f>
        <v/>
      </c>
      <c r="X346" s="53" t="s">
        <v>37</v>
      </c>
      <c r="Y346" s="54" t="str">
        <f aca="false">IF(AND(O346&lt;&gt;"",M346&lt;&gt;"",O346&gt;M346),CONCATENATE("1 : ",TEXT((O346-M346)/M346,"0.00")),IF(AND(O346&lt;&gt;"",M346&lt;&gt;"",O346&lt;M346),CONCATENATE("-1 : ",TEXT((M346-O346)/M346,"0.00")),"—"))</f>
        <v>—</v>
      </c>
      <c r="Z346" s="55" t="str">
        <f aca="false">IF(AND(P346&lt;&gt;"",M346&lt;&gt;"",P346&gt;M346),CONCATENATE("1 : ",TEXT((P346-M346)/M346,"0.00")),"—")</f>
        <v>—</v>
      </c>
      <c r="AA346" s="56" t="str">
        <f aca="false">IF(AND(C346&lt;&gt;"",E346&lt;&gt;""),E346-C346,"")</f>
        <v/>
      </c>
      <c r="AB346" s="42"/>
      <c r="AC346" s="57"/>
      <c r="AD346" s="58"/>
      <c r="AE346" s="59" t="str">
        <f aca="false">IF(G346&lt;&gt;"",HYPERLINK("https://www.tradingview.com/chart/?symbol="&amp;G346&amp;"&amp;interval=60&amp;from="&amp;(AG346-10*3600)&amp;"&amp;to="&amp;(AG346+50*3600),"📈 1H"),"")</f>
        <v/>
      </c>
      <c r="AF346" s="60" t="str">
        <f aca="false">IF(G346&lt;&gt;"",HYPERLINK("https://www.tradingview.com/chart/?symbol="&amp;G346&amp;"&amp;interval=240&amp;from="&amp;(AG346-10*14400)&amp;"&amp;to="&amp;(AG346+50*14400),"📈 4H"),"")</f>
        <v/>
      </c>
      <c r="AG346" s="36" t="str">
        <f aca="false">IF(C346&lt;&gt;"",INT((C346+IF(D346&lt;&gt;"",D346,0)-DATE(1970,1,1))*86400),"")</f>
        <v/>
      </c>
    </row>
    <row r="347" customFormat="false" ht="19.5" hidden="false" customHeight="true" outlineLevel="0" collapsed="false">
      <c r="A347" s="12" t="n">
        <f aca="false">ROW()-4</f>
        <v>343</v>
      </c>
      <c r="B347" s="13"/>
      <c r="C347" s="14"/>
      <c r="D347" s="15"/>
      <c r="E347" s="14"/>
      <c r="F347" s="15"/>
      <c r="G347" s="16"/>
      <c r="H347" s="17"/>
      <c r="I347" s="18"/>
      <c r="J347" s="19"/>
      <c r="K347" s="14"/>
      <c r="L347" s="17"/>
      <c r="M347" s="19"/>
      <c r="N347" s="20"/>
      <c r="O347" s="19"/>
      <c r="P347" s="21"/>
      <c r="Q347" s="22" t="str">
        <f aca="false">IF(L347="","",IF(M347&lt;&gt;"",M347*L347*100,IF(AND(O347&lt;&gt;"",B347&lt;&gt;""),IFERROR(AVERAGEIF($B$5:$B$1004,B347,$M$5:$M$1004)*L347*100,""),"")))</f>
        <v/>
      </c>
      <c r="R347" s="22" t="str">
        <f aca="false">IF(AND(O347&lt;&gt;"",L347&lt;&gt;""),O347*L347*100,"")</f>
        <v/>
      </c>
      <c r="S347" s="23" t="str">
        <f aca="false">IF(AND(P347&lt;&gt;"",L347&lt;&gt;""),P347*L347*100,"")</f>
        <v/>
      </c>
      <c r="T347" s="24" t="str">
        <f aca="false">IF(AND(Q347&lt;&gt;"",R347&lt;&gt;""),R347-Q347,"")</f>
        <v/>
      </c>
      <c r="U347" s="25" t="str">
        <f aca="false">IF(AND(Q347&lt;&gt;"",Q347&lt;&gt;0,T347&lt;&gt;""),T347/Q347,"")</f>
        <v/>
      </c>
      <c r="V347" s="26" t="str">
        <f aca="false">IF(AND(S347&lt;&gt;"",Q347&lt;&gt;""),S347-Q347,"")</f>
        <v/>
      </c>
      <c r="W347" s="27" t="str">
        <f aca="false">IF(AND(Q347&lt;&gt;"",Q347&lt;&gt;0,V347&lt;&gt;""),V347/Q347,"")</f>
        <v/>
      </c>
      <c r="X347" s="28" t="s">
        <v>37</v>
      </c>
      <c r="Y347" s="29" t="str">
        <f aca="false">IF(AND(O347&lt;&gt;"",M347&lt;&gt;"",O347&gt;M347),CONCATENATE("1 : ",TEXT((O347-M347)/M347,"0.00")),IF(AND(O347&lt;&gt;"",M347&lt;&gt;"",O347&lt;M347),CONCATENATE("-1 : ",TEXT((M347-O347)/M347,"0.00")),"—"))</f>
        <v>—</v>
      </c>
      <c r="Z347" s="30" t="str">
        <f aca="false">IF(AND(P347&lt;&gt;"",M347&lt;&gt;"",P347&gt;M347),CONCATENATE("1 : ",TEXT((P347-M347)/M347,"0.00")),"—")</f>
        <v>—</v>
      </c>
      <c r="AA347" s="31" t="str">
        <f aca="false">IF(AND(C347&lt;&gt;"",E347&lt;&gt;""),E347-C347,"")</f>
        <v/>
      </c>
      <c r="AB347" s="17"/>
      <c r="AC347" s="32"/>
      <c r="AD347" s="33"/>
      <c r="AE347" s="34" t="str">
        <f aca="false">IF(G347&lt;&gt;"",HYPERLINK("https://www.tradingview.com/chart/?symbol="&amp;G347&amp;"&amp;interval=60&amp;from="&amp;(AG347-10*3600)&amp;"&amp;to="&amp;(AG347+50*3600),"📈 1H"),"")</f>
        <v/>
      </c>
      <c r="AF347" s="35" t="str">
        <f aca="false">IF(G347&lt;&gt;"",HYPERLINK("https://www.tradingview.com/chart/?symbol="&amp;G347&amp;"&amp;interval=240&amp;from="&amp;(AG347-10*14400)&amp;"&amp;to="&amp;(AG347+50*14400),"📈 4H"),"")</f>
        <v/>
      </c>
      <c r="AG347" s="36" t="str">
        <f aca="false">IF(C347&lt;&gt;"",INT((C347+IF(D347&lt;&gt;"",D347,0)-DATE(1970,1,1))*86400),"")</f>
        <v/>
      </c>
    </row>
    <row r="348" customFormat="false" ht="19.5" hidden="false" customHeight="true" outlineLevel="0" collapsed="false">
      <c r="A348" s="37" t="n">
        <f aca="false">ROW()-4</f>
        <v>344</v>
      </c>
      <c r="B348" s="38"/>
      <c r="C348" s="39"/>
      <c r="D348" s="40"/>
      <c r="E348" s="39"/>
      <c r="F348" s="40"/>
      <c r="G348" s="41"/>
      <c r="H348" s="42"/>
      <c r="I348" s="43"/>
      <c r="J348" s="44"/>
      <c r="K348" s="39"/>
      <c r="L348" s="42"/>
      <c r="M348" s="44"/>
      <c r="N348" s="45"/>
      <c r="O348" s="44"/>
      <c r="P348" s="46"/>
      <c r="Q348" s="47" t="str">
        <f aca="false">IF(L348="","",IF(M348&lt;&gt;"",M348*L348*100,IF(AND(O348&lt;&gt;"",B348&lt;&gt;""),IFERROR(AVERAGEIF($B$5:$B$1004,B348,$M$5:$M$1004)*L348*100,""),"")))</f>
        <v/>
      </c>
      <c r="R348" s="47" t="str">
        <f aca="false">IF(AND(O348&lt;&gt;"",L348&lt;&gt;""),O348*L348*100,"")</f>
        <v/>
      </c>
      <c r="S348" s="48" t="str">
        <f aca="false">IF(AND(P348&lt;&gt;"",L348&lt;&gt;""),P348*L348*100,"")</f>
        <v/>
      </c>
      <c r="T348" s="49" t="str">
        <f aca="false">IF(AND(Q348&lt;&gt;"",R348&lt;&gt;""),R348-Q348,"")</f>
        <v/>
      </c>
      <c r="U348" s="50" t="str">
        <f aca="false">IF(AND(Q348&lt;&gt;"",Q348&lt;&gt;0,T348&lt;&gt;""),T348/Q348,"")</f>
        <v/>
      </c>
      <c r="V348" s="51" t="str">
        <f aca="false">IF(AND(S348&lt;&gt;"",Q348&lt;&gt;""),S348-Q348,"")</f>
        <v/>
      </c>
      <c r="W348" s="52" t="str">
        <f aca="false">IF(AND(Q348&lt;&gt;"",Q348&lt;&gt;0,V348&lt;&gt;""),V348/Q348,"")</f>
        <v/>
      </c>
      <c r="X348" s="53" t="s">
        <v>37</v>
      </c>
      <c r="Y348" s="54" t="str">
        <f aca="false">IF(AND(O348&lt;&gt;"",M348&lt;&gt;"",O348&gt;M348),CONCATENATE("1 : ",TEXT((O348-M348)/M348,"0.00")),IF(AND(O348&lt;&gt;"",M348&lt;&gt;"",O348&lt;M348),CONCATENATE("-1 : ",TEXT((M348-O348)/M348,"0.00")),"—"))</f>
        <v>—</v>
      </c>
      <c r="Z348" s="55" t="str">
        <f aca="false">IF(AND(P348&lt;&gt;"",M348&lt;&gt;"",P348&gt;M348),CONCATENATE("1 : ",TEXT((P348-M348)/M348,"0.00")),"—")</f>
        <v>—</v>
      </c>
      <c r="AA348" s="56" t="str">
        <f aca="false">IF(AND(C348&lt;&gt;"",E348&lt;&gt;""),E348-C348,"")</f>
        <v/>
      </c>
      <c r="AB348" s="42"/>
      <c r="AC348" s="57"/>
      <c r="AD348" s="58"/>
      <c r="AE348" s="59" t="str">
        <f aca="false">IF(G348&lt;&gt;"",HYPERLINK("https://www.tradingview.com/chart/?symbol="&amp;G348&amp;"&amp;interval=60&amp;from="&amp;(AG348-10*3600)&amp;"&amp;to="&amp;(AG348+50*3600),"📈 1H"),"")</f>
        <v/>
      </c>
      <c r="AF348" s="60" t="str">
        <f aca="false">IF(G348&lt;&gt;"",HYPERLINK("https://www.tradingview.com/chart/?symbol="&amp;G348&amp;"&amp;interval=240&amp;from="&amp;(AG348-10*14400)&amp;"&amp;to="&amp;(AG348+50*14400),"📈 4H"),"")</f>
        <v/>
      </c>
      <c r="AG348" s="36" t="str">
        <f aca="false">IF(C348&lt;&gt;"",INT((C348+IF(D348&lt;&gt;"",D348,0)-DATE(1970,1,1))*86400),"")</f>
        <v/>
      </c>
    </row>
    <row r="349" customFormat="false" ht="19.5" hidden="false" customHeight="true" outlineLevel="0" collapsed="false">
      <c r="A349" s="12" t="n">
        <f aca="false">ROW()-4</f>
        <v>345</v>
      </c>
      <c r="B349" s="13"/>
      <c r="C349" s="14"/>
      <c r="D349" s="15"/>
      <c r="E349" s="14"/>
      <c r="F349" s="15"/>
      <c r="G349" s="16"/>
      <c r="H349" s="17"/>
      <c r="I349" s="18"/>
      <c r="J349" s="19"/>
      <c r="K349" s="14"/>
      <c r="L349" s="17"/>
      <c r="M349" s="19"/>
      <c r="N349" s="20"/>
      <c r="O349" s="19"/>
      <c r="P349" s="21"/>
      <c r="Q349" s="22" t="str">
        <f aca="false">IF(L349="","",IF(M349&lt;&gt;"",M349*L349*100,IF(AND(O349&lt;&gt;"",B349&lt;&gt;""),IFERROR(AVERAGEIF($B$5:$B$1004,B349,$M$5:$M$1004)*L349*100,""),"")))</f>
        <v/>
      </c>
      <c r="R349" s="22" t="str">
        <f aca="false">IF(AND(O349&lt;&gt;"",L349&lt;&gt;""),O349*L349*100,"")</f>
        <v/>
      </c>
      <c r="S349" s="23" t="str">
        <f aca="false">IF(AND(P349&lt;&gt;"",L349&lt;&gt;""),P349*L349*100,"")</f>
        <v/>
      </c>
      <c r="T349" s="24" t="str">
        <f aca="false">IF(AND(Q349&lt;&gt;"",R349&lt;&gt;""),R349-Q349,"")</f>
        <v/>
      </c>
      <c r="U349" s="25" t="str">
        <f aca="false">IF(AND(Q349&lt;&gt;"",Q349&lt;&gt;0,T349&lt;&gt;""),T349/Q349,"")</f>
        <v/>
      </c>
      <c r="V349" s="26" t="str">
        <f aca="false">IF(AND(S349&lt;&gt;"",Q349&lt;&gt;""),S349-Q349,"")</f>
        <v/>
      </c>
      <c r="W349" s="27" t="str">
        <f aca="false">IF(AND(Q349&lt;&gt;"",Q349&lt;&gt;0,V349&lt;&gt;""),V349/Q349,"")</f>
        <v/>
      </c>
      <c r="X349" s="28" t="s">
        <v>37</v>
      </c>
      <c r="Y349" s="29" t="str">
        <f aca="false">IF(AND(O349&lt;&gt;"",M349&lt;&gt;"",O349&gt;M349),CONCATENATE("1 : ",TEXT((O349-M349)/M349,"0.00")),IF(AND(O349&lt;&gt;"",M349&lt;&gt;"",O349&lt;M349),CONCATENATE("-1 : ",TEXT((M349-O349)/M349,"0.00")),"—"))</f>
        <v>—</v>
      </c>
      <c r="Z349" s="30" t="str">
        <f aca="false">IF(AND(P349&lt;&gt;"",M349&lt;&gt;"",P349&gt;M349),CONCATENATE("1 : ",TEXT((P349-M349)/M349,"0.00")),"—")</f>
        <v>—</v>
      </c>
      <c r="AA349" s="31" t="str">
        <f aca="false">IF(AND(C349&lt;&gt;"",E349&lt;&gt;""),E349-C349,"")</f>
        <v/>
      </c>
      <c r="AB349" s="17"/>
      <c r="AC349" s="32"/>
      <c r="AD349" s="33"/>
      <c r="AE349" s="34" t="str">
        <f aca="false">IF(G349&lt;&gt;"",HYPERLINK("https://www.tradingview.com/chart/?symbol="&amp;G349&amp;"&amp;interval=60&amp;from="&amp;(AG349-10*3600)&amp;"&amp;to="&amp;(AG349+50*3600),"📈 1H"),"")</f>
        <v/>
      </c>
      <c r="AF349" s="35" t="str">
        <f aca="false">IF(G349&lt;&gt;"",HYPERLINK("https://www.tradingview.com/chart/?symbol="&amp;G349&amp;"&amp;interval=240&amp;from="&amp;(AG349-10*14400)&amp;"&amp;to="&amp;(AG349+50*14400),"📈 4H"),"")</f>
        <v/>
      </c>
      <c r="AG349" s="36" t="str">
        <f aca="false">IF(C349&lt;&gt;"",INT((C349+IF(D349&lt;&gt;"",D349,0)-DATE(1970,1,1))*86400),"")</f>
        <v/>
      </c>
    </row>
    <row r="350" customFormat="false" ht="19.5" hidden="false" customHeight="true" outlineLevel="0" collapsed="false">
      <c r="A350" s="37" t="n">
        <f aca="false">ROW()-4</f>
        <v>346</v>
      </c>
      <c r="B350" s="38"/>
      <c r="C350" s="39"/>
      <c r="D350" s="40"/>
      <c r="E350" s="39"/>
      <c r="F350" s="40"/>
      <c r="G350" s="41"/>
      <c r="H350" s="42"/>
      <c r="I350" s="43"/>
      <c r="J350" s="44"/>
      <c r="K350" s="39"/>
      <c r="L350" s="42"/>
      <c r="M350" s="44"/>
      <c r="N350" s="45"/>
      <c r="O350" s="44"/>
      <c r="P350" s="46"/>
      <c r="Q350" s="47" t="str">
        <f aca="false">IF(L350="","",IF(M350&lt;&gt;"",M350*L350*100,IF(AND(O350&lt;&gt;"",B350&lt;&gt;""),IFERROR(AVERAGEIF($B$5:$B$1004,B350,$M$5:$M$1004)*L350*100,""),"")))</f>
        <v/>
      </c>
      <c r="R350" s="47" t="str">
        <f aca="false">IF(AND(O350&lt;&gt;"",L350&lt;&gt;""),O350*L350*100,"")</f>
        <v/>
      </c>
      <c r="S350" s="48" t="str">
        <f aca="false">IF(AND(P350&lt;&gt;"",L350&lt;&gt;""),P350*L350*100,"")</f>
        <v/>
      </c>
      <c r="T350" s="49" t="str">
        <f aca="false">IF(AND(Q350&lt;&gt;"",R350&lt;&gt;""),R350-Q350,"")</f>
        <v/>
      </c>
      <c r="U350" s="50" t="str">
        <f aca="false">IF(AND(Q350&lt;&gt;"",Q350&lt;&gt;0,T350&lt;&gt;""),T350/Q350,"")</f>
        <v/>
      </c>
      <c r="V350" s="51" t="str">
        <f aca="false">IF(AND(S350&lt;&gt;"",Q350&lt;&gt;""),S350-Q350,"")</f>
        <v/>
      </c>
      <c r="W350" s="52" t="str">
        <f aca="false">IF(AND(Q350&lt;&gt;"",Q350&lt;&gt;0,V350&lt;&gt;""),V350/Q350,"")</f>
        <v/>
      </c>
      <c r="X350" s="53" t="s">
        <v>37</v>
      </c>
      <c r="Y350" s="54" t="str">
        <f aca="false">IF(AND(O350&lt;&gt;"",M350&lt;&gt;"",O350&gt;M350),CONCATENATE("1 : ",TEXT((O350-M350)/M350,"0.00")),IF(AND(O350&lt;&gt;"",M350&lt;&gt;"",O350&lt;M350),CONCATENATE("-1 : ",TEXT((M350-O350)/M350,"0.00")),"—"))</f>
        <v>—</v>
      </c>
      <c r="Z350" s="55" t="str">
        <f aca="false">IF(AND(P350&lt;&gt;"",M350&lt;&gt;"",P350&gt;M350),CONCATENATE("1 : ",TEXT((P350-M350)/M350,"0.00")),"—")</f>
        <v>—</v>
      </c>
      <c r="AA350" s="56" t="str">
        <f aca="false">IF(AND(C350&lt;&gt;"",E350&lt;&gt;""),E350-C350,"")</f>
        <v/>
      </c>
      <c r="AB350" s="42"/>
      <c r="AC350" s="57"/>
      <c r="AD350" s="58"/>
      <c r="AE350" s="59" t="str">
        <f aca="false">IF(G350&lt;&gt;"",HYPERLINK("https://www.tradingview.com/chart/?symbol="&amp;G350&amp;"&amp;interval=60&amp;from="&amp;(AG350-10*3600)&amp;"&amp;to="&amp;(AG350+50*3600),"📈 1H"),"")</f>
        <v/>
      </c>
      <c r="AF350" s="60" t="str">
        <f aca="false">IF(G350&lt;&gt;"",HYPERLINK("https://www.tradingview.com/chart/?symbol="&amp;G350&amp;"&amp;interval=240&amp;from="&amp;(AG350-10*14400)&amp;"&amp;to="&amp;(AG350+50*14400),"📈 4H"),"")</f>
        <v/>
      </c>
      <c r="AG350" s="36" t="str">
        <f aca="false">IF(C350&lt;&gt;"",INT((C350+IF(D350&lt;&gt;"",D350,0)-DATE(1970,1,1))*86400),"")</f>
        <v/>
      </c>
    </row>
    <row r="351" customFormat="false" ht="19.5" hidden="false" customHeight="true" outlineLevel="0" collapsed="false">
      <c r="A351" s="12" t="n">
        <f aca="false">ROW()-4</f>
        <v>347</v>
      </c>
      <c r="B351" s="13"/>
      <c r="C351" s="14"/>
      <c r="D351" s="15"/>
      <c r="E351" s="14"/>
      <c r="F351" s="15"/>
      <c r="G351" s="16"/>
      <c r="H351" s="17"/>
      <c r="I351" s="18"/>
      <c r="J351" s="19"/>
      <c r="K351" s="14"/>
      <c r="L351" s="17"/>
      <c r="M351" s="19"/>
      <c r="N351" s="20"/>
      <c r="O351" s="19"/>
      <c r="P351" s="21"/>
      <c r="Q351" s="22" t="str">
        <f aca="false">IF(L351="","",IF(M351&lt;&gt;"",M351*L351*100,IF(AND(O351&lt;&gt;"",B351&lt;&gt;""),IFERROR(AVERAGEIF($B$5:$B$1004,B351,$M$5:$M$1004)*L351*100,""),"")))</f>
        <v/>
      </c>
      <c r="R351" s="22" t="str">
        <f aca="false">IF(AND(O351&lt;&gt;"",L351&lt;&gt;""),O351*L351*100,"")</f>
        <v/>
      </c>
      <c r="S351" s="23" t="str">
        <f aca="false">IF(AND(P351&lt;&gt;"",L351&lt;&gt;""),P351*L351*100,"")</f>
        <v/>
      </c>
      <c r="T351" s="24" t="str">
        <f aca="false">IF(AND(Q351&lt;&gt;"",R351&lt;&gt;""),R351-Q351,"")</f>
        <v/>
      </c>
      <c r="U351" s="25" t="str">
        <f aca="false">IF(AND(Q351&lt;&gt;"",Q351&lt;&gt;0,T351&lt;&gt;""),T351/Q351,"")</f>
        <v/>
      </c>
      <c r="V351" s="26" t="str">
        <f aca="false">IF(AND(S351&lt;&gt;"",Q351&lt;&gt;""),S351-Q351,"")</f>
        <v/>
      </c>
      <c r="W351" s="27" t="str">
        <f aca="false">IF(AND(Q351&lt;&gt;"",Q351&lt;&gt;0,V351&lt;&gt;""),V351/Q351,"")</f>
        <v/>
      </c>
      <c r="X351" s="28" t="s">
        <v>37</v>
      </c>
      <c r="Y351" s="29" t="str">
        <f aca="false">IF(AND(O351&lt;&gt;"",M351&lt;&gt;"",O351&gt;M351),CONCATENATE("1 : ",TEXT((O351-M351)/M351,"0.00")),IF(AND(O351&lt;&gt;"",M351&lt;&gt;"",O351&lt;M351),CONCATENATE("-1 : ",TEXT((M351-O351)/M351,"0.00")),"—"))</f>
        <v>—</v>
      </c>
      <c r="Z351" s="30" t="str">
        <f aca="false">IF(AND(P351&lt;&gt;"",M351&lt;&gt;"",P351&gt;M351),CONCATENATE("1 : ",TEXT((P351-M351)/M351,"0.00")),"—")</f>
        <v>—</v>
      </c>
      <c r="AA351" s="31" t="str">
        <f aca="false">IF(AND(C351&lt;&gt;"",E351&lt;&gt;""),E351-C351,"")</f>
        <v/>
      </c>
      <c r="AB351" s="17"/>
      <c r="AC351" s="32"/>
      <c r="AD351" s="33"/>
      <c r="AE351" s="34" t="str">
        <f aca="false">IF(G351&lt;&gt;"",HYPERLINK("https://www.tradingview.com/chart/?symbol="&amp;G351&amp;"&amp;interval=60&amp;from="&amp;(AG351-10*3600)&amp;"&amp;to="&amp;(AG351+50*3600),"📈 1H"),"")</f>
        <v/>
      </c>
      <c r="AF351" s="35" t="str">
        <f aca="false">IF(G351&lt;&gt;"",HYPERLINK("https://www.tradingview.com/chart/?symbol="&amp;G351&amp;"&amp;interval=240&amp;from="&amp;(AG351-10*14400)&amp;"&amp;to="&amp;(AG351+50*14400),"📈 4H"),"")</f>
        <v/>
      </c>
      <c r="AG351" s="36" t="str">
        <f aca="false">IF(C351&lt;&gt;"",INT((C351+IF(D351&lt;&gt;"",D351,0)-DATE(1970,1,1))*86400),"")</f>
        <v/>
      </c>
    </row>
    <row r="352" customFormat="false" ht="19.5" hidden="false" customHeight="true" outlineLevel="0" collapsed="false">
      <c r="A352" s="37" t="n">
        <f aca="false">ROW()-4</f>
        <v>348</v>
      </c>
      <c r="B352" s="38"/>
      <c r="C352" s="39"/>
      <c r="D352" s="40"/>
      <c r="E352" s="39"/>
      <c r="F352" s="40"/>
      <c r="G352" s="41"/>
      <c r="H352" s="42"/>
      <c r="I352" s="43"/>
      <c r="J352" s="44"/>
      <c r="K352" s="39"/>
      <c r="L352" s="42"/>
      <c r="M352" s="44"/>
      <c r="N352" s="45"/>
      <c r="O352" s="44"/>
      <c r="P352" s="46"/>
      <c r="Q352" s="47" t="str">
        <f aca="false">IF(L352="","",IF(M352&lt;&gt;"",M352*L352*100,IF(AND(O352&lt;&gt;"",B352&lt;&gt;""),IFERROR(AVERAGEIF($B$5:$B$1004,B352,$M$5:$M$1004)*L352*100,""),"")))</f>
        <v/>
      </c>
      <c r="R352" s="47" t="str">
        <f aca="false">IF(AND(O352&lt;&gt;"",L352&lt;&gt;""),O352*L352*100,"")</f>
        <v/>
      </c>
      <c r="S352" s="48" t="str">
        <f aca="false">IF(AND(P352&lt;&gt;"",L352&lt;&gt;""),P352*L352*100,"")</f>
        <v/>
      </c>
      <c r="T352" s="49" t="str">
        <f aca="false">IF(AND(Q352&lt;&gt;"",R352&lt;&gt;""),R352-Q352,"")</f>
        <v/>
      </c>
      <c r="U352" s="50" t="str">
        <f aca="false">IF(AND(Q352&lt;&gt;"",Q352&lt;&gt;0,T352&lt;&gt;""),T352/Q352,"")</f>
        <v/>
      </c>
      <c r="V352" s="51" t="str">
        <f aca="false">IF(AND(S352&lt;&gt;"",Q352&lt;&gt;""),S352-Q352,"")</f>
        <v/>
      </c>
      <c r="W352" s="52" t="str">
        <f aca="false">IF(AND(Q352&lt;&gt;"",Q352&lt;&gt;0,V352&lt;&gt;""),V352/Q352,"")</f>
        <v/>
      </c>
      <c r="X352" s="53" t="s">
        <v>37</v>
      </c>
      <c r="Y352" s="54" t="str">
        <f aca="false">IF(AND(O352&lt;&gt;"",M352&lt;&gt;"",O352&gt;M352),CONCATENATE("1 : ",TEXT((O352-M352)/M352,"0.00")),IF(AND(O352&lt;&gt;"",M352&lt;&gt;"",O352&lt;M352),CONCATENATE("-1 : ",TEXT((M352-O352)/M352,"0.00")),"—"))</f>
        <v>—</v>
      </c>
      <c r="Z352" s="55" t="str">
        <f aca="false">IF(AND(P352&lt;&gt;"",M352&lt;&gt;"",P352&gt;M352),CONCATENATE("1 : ",TEXT((P352-M352)/M352,"0.00")),"—")</f>
        <v>—</v>
      </c>
      <c r="AA352" s="56" t="str">
        <f aca="false">IF(AND(C352&lt;&gt;"",E352&lt;&gt;""),E352-C352,"")</f>
        <v/>
      </c>
      <c r="AB352" s="42"/>
      <c r="AC352" s="57"/>
      <c r="AD352" s="58"/>
      <c r="AE352" s="59" t="str">
        <f aca="false">IF(G352&lt;&gt;"",HYPERLINK("https://www.tradingview.com/chart/?symbol="&amp;G352&amp;"&amp;interval=60&amp;from="&amp;(AG352-10*3600)&amp;"&amp;to="&amp;(AG352+50*3600),"📈 1H"),"")</f>
        <v/>
      </c>
      <c r="AF352" s="60" t="str">
        <f aca="false">IF(G352&lt;&gt;"",HYPERLINK("https://www.tradingview.com/chart/?symbol="&amp;G352&amp;"&amp;interval=240&amp;from="&amp;(AG352-10*14400)&amp;"&amp;to="&amp;(AG352+50*14400),"📈 4H"),"")</f>
        <v/>
      </c>
      <c r="AG352" s="36" t="str">
        <f aca="false">IF(C352&lt;&gt;"",INT((C352+IF(D352&lt;&gt;"",D352,0)-DATE(1970,1,1))*86400),"")</f>
        <v/>
      </c>
    </row>
    <row r="353" customFormat="false" ht="19.5" hidden="false" customHeight="true" outlineLevel="0" collapsed="false">
      <c r="A353" s="12" t="n">
        <f aca="false">ROW()-4</f>
        <v>349</v>
      </c>
      <c r="B353" s="13"/>
      <c r="C353" s="14"/>
      <c r="D353" s="15"/>
      <c r="E353" s="14"/>
      <c r="F353" s="15"/>
      <c r="G353" s="16"/>
      <c r="H353" s="17"/>
      <c r="I353" s="18"/>
      <c r="J353" s="19"/>
      <c r="K353" s="14"/>
      <c r="L353" s="17"/>
      <c r="M353" s="19"/>
      <c r="N353" s="20"/>
      <c r="O353" s="19"/>
      <c r="P353" s="21"/>
      <c r="Q353" s="22" t="str">
        <f aca="false">IF(L353="","",IF(M353&lt;&gt;"",M353*L353*100,IF(AND(O353&lt;&gt;"",B353&lt;&gt;""),IFERROR(AVERAGEIF($B$5:$B$1004,B353,$M$5:$M$1004)*L353*100,""),"")))</f>
        <v/>
      </c>
      <c r="R353" s="22" t="str">
        <f aca="false">IF(AND(O353&lt;&gt;"",L353&lt;&gt;""),O353*L353*100,"")</f>
        <v/>
      </c>
      <c r="S353" s="23" t="str">
        <f aca="false">IF(AND(P353&lt;&gt;"",L353&lt;&gt;""),P353*L353*100,"")</f>
        <v/>
      </c>
      <c r="T353" s="24" t="str">
        <f aca="false">IF(AND(Q353&lt;&gt;"",R353&lt;&gt;""),R353-Q353,"")</f>
        <v/>
      </c>
      <c r="U353" s="25" t="str">
        <f aca="false">IF(AND(Q353&lt;&gt;"",Q353&lt;&gt;0,T353&lt;&gt;""),T353/Q353,"")</f>
        <v/>
      </c>
      <c r="V353" s="26" t="str">
        <f aca="false">IF(AND(S353&lt;&gt;"",Q353&lt;&gt;""),S353-Q353,"")</f>
        <v/>
      </c>
      <c r="W353" s="27" t="str">
        <f aca="false">IF(AND(Q353&lt;&gt;"",Q353&lt;&gt;0,V353&lt;&gt;""),V353/Q353,"")</f>
        <v/>
      </c>
      <c r="X353" s="28" t="s">
        <v>37</v>
      </c>
      <c r="Y353" s="29" t="str">
        <f aca="false">IF(AND(O353&lt;&gt;"",M353&lt;&gt;"",O353&gt;M353),CONCATENATE("1 : ",TEXT((O353-M353)/M353,"0.00")),IF(AND(O353&lt;&gt;"",M353&lt;&gt;"",O353&lt;M353),CONCATENATE("-1 : ",TEXT((M353-O353)/M353,"0.00")),"—"))</f>
        <v>—</v>
      </c>
      <c r="Z353" s="30" t="str">
        <f aca="false">IF(AND(P353&lt;&gt;"",M353&lt;&gt;"",P353&gt;M353),CONCATENATE("1 : ",TEXT((P353-M353)/M353,"0.00")),"—")</f>
        <v>—</v>
      </c>
      <c r="AA353" s="31" t="str">
        <f aca="false">IF(AND(C353&lt;&gt;"",E353&lt;&gt;""),E353-C353,"")</f>
        <v/>
      </c>
      <c r="AB353" s="17"/>
      <c r="AC353" s="32"/>
      <c r="AD353" s="33"/>
      <c r="AE353" s="34" t="str">
        <f aca="false">IF(G353&lt;&gt;"",HYPERLINK("https://www.tradingview.com/chart/?symbol="&amp;G353&amp;"&amp;interval=60&amp;from="&amp;(AG353-10*3600)&amp;"&amp;to="&amp;(AG353+50*3600),"📈 1H"),"")</f>
        <v/>
      </c>
      <c r="AF353" s="35" t="str">
        <f aca="false">IF(G353&lt;&gt;"",HYPERLINK("https://www.tradingview.com/chart/?symbol="&amp;G353&amp;"&amp;interval=240&amp;from="&amp;(AG353-10*14400)&amp;"&amp;to="&amp;(AG353+50*14400),"📈 4H"),"")</f>
        <v/>
      </c>
      <c r="AG353" s="36" t="str">
        <f aca="false">IF(C353&lt;&gt;"",INT((C353+IF(D353&lt;&gt;"",D353,0)-DATE(1970,1,1))*86400),"")</f>
        <v/>
      </c>
    </row>
    <row r="354" customFormat="false" ht="19.5" hidden="false" customHeight="true" outlineLevel="0" collapsed="false">
      <c r="A354" s="37" t="n">
        <f aca="false">ROW()-4</f>
        <v>350</v>
      </c>
      <c r="B354" s="38"/>
      <c r="C354" s="39"/>
      <c r="D354" s="40"/>
      <c r="E354" s="39"/>
      <c r="F354" s="40"/>
      <c r="G354" s="41"/>
      <c r="H354" s="42"/>
      <c r="I354" s="43"/>
      <c r="J354" s="44"/>
      <c r="K354" s="39"/>
      <c r="L354" s="42"/>
      <c r="M354" s="44"/>
      <c r="N354" s="45"/>
      <c r="O354" s="44"/>
      <c r="P354" s="46"/>
      <c r="Q354" s="47" t="str">
        <f aca="false">IF(L354="","",IF(M354&lt;&gt;"",M354*L354*100,IF(AND(O354&lt;&gt;"",B354&lt;&gt;""),IFERROR(AVERAGEIF($B$5:$B$1004,B354,$M$5:$M$1004)*L354*100,""),"")))</f>
        <v/>
      </c>
      <c r="R354" s="47" t="str">
        <f aca="false">IF(AND(O354&lt;&gt;"",L354&lt;&gt;""),O354*L354*100,"")</f>
        <v/>
      </c>
      <c r="S354" s="48" t="str">
        <f aca="false">IF(AND(P354&lt;&gt;"",L354&lt;&gt;""),P354*L354*100,"")</f>
        <v/>
      </c>
      <c r="T354" s="49" t="str">
        <f aca="false">IF(AND(Q354&lt;&gt;"",R354&lt;&gt;""),R354-Q354,"")</f>
        <v/>
      </c>
      <c r="U354" s="50" t="str">
        <f aca="false">IF(AND(Q354&lt;&gt;"",Q354&lt;&gt;0,T354&lt;&gt;""),T354/Q354,"")</f>
        <v/>
      </c>
      <c r="V354" s="51" t="str">
        <f aca="false">IF(AND(S354&lt;&gt;"",Q354&lt;&gt;""),S354-Q354,"")</f>
        <v/>
      </c>
      <c r="W354" s="52" t="str">
        <f aca="false">IF(AND(Q354&lt;&gt;"",Q354&lt;&gt;0,V354&lt;&gt;""),V354/Q354,"")</f>
        <v/>
      </c>
      <c r="X354" s="53" t="s">
        <v>37</v>
      </c>
      <c r="Y354" s="54" t="str">
        <f aca="false">IF(AND(O354&lt;&gt;"",M354&lt;&gt;"",O354&gt;M354),CONCATENATE("1 : ",TEXT((O354-M354)/M354,"0.00")),IF(AND(O354&lt;&gt;"",M354&lt;&gt;"",O354&lt;M354),CONCATENATE("-1 : ",TEXT((M354-O354)/M354,"0.00")),"—"))</f>
        <v>—</v>
      </c>
      <c r="Z354" s="55" t="str">
        <f aca="false">IF(AND(P354&lt;&gt;"",M354&lt;&gt;"",P354&gt;M354),CONCATENATE("1 : ",TEXT((P354-M354)/M354,"0.00")),"—")</f>
        <v>—</v>
      </c>
      <c r="AA354" s="56" t="str">
        <f aca="false">IF(AND(C354&lt;&gt;"",E354&lt;&gt;""),E354-C354,"")</f>
        <v/>
      </c>
      <c r="AB354" s="42"/>
      <c r="AC354" s="57"/>
      <c r="AD354" s="58"/>
      <c r="AE354" s="59" t="str">
        <f aca="false">IF(G354&lt;&gt;"",HYPERLINK("https://www.tradingview.com/chart/?symbol="&amp;G354&amp;"&amp;interval=60&amp;from="&amp;(AG354-10*3600)&amp;"&amp;to="&amp;(AG354+50*3600),"📈 1H"),"")</f>
        <v/>
      </c>
      <c r="AF354" s="60" t="str">
        <f aca="false">IF(G354&lt;&gt;"",HYPERLINK("https://www.tradingview.com/chart/?symbol="&amp;G354&amp;"&amp;interval=240&amp;from="&amp;(AG354-10*14400)&amp;"&amp;to="&amp;(AG354+50*14400),"📈 4H"),"")</f>
        <v/>
      </c>
      <c r="AG354" s="36" t="str">
        <f aca="false">IF(C354&lt;&gt;"",INT((C354+IF(D354&lt;&gt;"",D354,0)-DATE(1970,1,1))*86400),"")</f>
        <v/>
      </c>
    </row>
    <row r="355" customFormat="false" ht="19.5" hidden="false" customHeight="true" outlineLevel="0" collapsed="false">
      <c r="A355" s="12" t="n">
        <f aca="false">ROW()-4</f>
        <v>351</v>
      </c>
      <c r="B355" s="13"/>
      <c r="C355" s="14"/>
      <c r="D355" s="15"/>
      <c r="E355" s="14"/>
      <c r="F355" s="15"/>
      <c r="G355" s="16"/>
      <c r="H355" s="17"/>
      <c r="I355" s="18"/>
      <c r="J355" s="19"/>
      <c r="K355" s="14"/>
      <c r="L355" s="17"/>
      <c r="M355" s="19"/>
      <c r="N355" s="20"/>
      <c r="O355" s="19"/>
      <c r="P355" s="21"/>
      <c r="Q355" s="22" t="str">
        <f aca="false">IF(L355="","",IF(M355&lt;&gt;"",M355*L355*100,IF(AND(O355&lt;&gt;"",B355&lt;&gt;""),IFERROR(AVERAGEIF($B$5:$B$1004,B355,$M$5:$M$1004)*L355*100,""),"")))</f>
        <v/>
      </c>
      <c r="R355" s="22" t="str">
        <f aca="false">IF(AND(O355&lt;&gt;"",L355&lt;&gt;""),O355*L355*100,"")</f>
        <v/>
      </c>
      <c r="S355" s="23" t="str">
        <f aca="false">IF(AND(P355&lt;&gt;"",L355&lt;&gt;""),P355*L355*100,"")</f>
        <v/>
      </c>
      <c r="T355" s="24" t="str">
        <f aca="false">IF(AND(Q355&lt;&gt;"",R355&lt;&gt;""),R355-Q355,"")</f>
        <v/>
      </c>
      <c r="U355" s="25" t="str">
        <f aca="false">IF(AND(Q355&lt;&gt;"",Q355&lt;&gt;0,T355&lt;&gt;""),T355/Q355,"")</f>
        <v/>
      </c>
      <c r="V355" s="26" t="str">
        <f aca="false">IF(AND(S355&lt;&gt;"",Q355&lt;&gt;""),S355-Q355,"")</f>
        <v/>
      </c>
      <c r="W355" s="27" t="str">
        <f aca="false">IF(AND(Q355&lt;&gt;"",Q355&lt;&gt;0,V355&lt;&gt;""),V355/Q355,"")</f>
        <v/>
      </c>
      <c r="X355" s="28" t="s">
        <v>37</v>
      </c>
      <c r="Y355" s="29" t="str">
        <f aca="false">IF(AND(O355&lt;&gt;"",M355&lt;&gt;"",O355&gt;M355),CONCATENATE("1 : ",TEXT((O355-M355)/M355,"0.00")),IF(AND(O355&lt;&gt;"",M355&lt;&gt;"",O355&lt;M355),CONCATENATE("-1 : ",TEXT((M355-O355)/M355,"0.00")),"—"))</f>
        <v>—</v>
      </c>
      <c r="Z355" s="30" t="str">
        <f aca="false">IF(AND(P355&lt;&gt;"",M355&lt;&gt;"",P355&gt;M355),CONCATENATE("1 : ",TEXT((P355-M355)/M355,"0.00")),"—")</f>
        <v>—</v>
      </c>
      <c r="AA355" s="31" t="str">
        <f aca="false">IF(AND(C355&lt;&gt;"",E355&lt;&gt;""),E355-C355,"")</f>
        <v/>
      </c>
      <c r="AB355" s="17"/>
      <c r="AC355" s="32"/>
      <c r="AD355" s="33"/>
      <c r="AE355" s="34" t="str">
        <f aca="false">IF(G355&lt;&gt;"",HYPERLINK("https://www.tradingview.com/chart/?symbol="&amp;G355&amp;"&amp;interval=60&amp;from="&amp;(AG355-10*3600)&amp;"&amp;to="&amp;(AG355+50*3600),"📈 1H"),"")</f>
        <v/>
      </c>
      <c r="AF355" s="35" t="str">
        <f aca="false">IF(G355&lt;&gt;"",HYPERLINK("https://www.tradingview.com/chart/?symbol="&amp;G355&amp;"&amp;interval=240&amp;from="&amp;(AG355-10*14400)&amp;"&amp;to="&amp;(AG355+50*14400),"📈 4H"),"")</f>
        <v/>
      </c>
      <c r="AG355" s="36" t="str">
        <f aca="false">IF(C355&lt;&gt;"",INT((C355+IF(D355&lt;&gt;"",D355,0)-DATE(1970,1,1))*86400),"")</f>
        <v/>
      </c>
    </row>
    <row r="356" customFormat="false" ht="19.5" hidden="false" customHeight="true" outlineLevel="0" collapsed="false">
      <c r="A356" s="37" t="n">
        <f aca="false">ROW()-4</f>
        <v>352</v>
      </c>
      <c r="B356" s="38"/>
      <c r="C356" s="39"/>
      <c r="D356" s="40"/>
      <c r="E356" s="39"/>
      <c r="F356" s="40"/>
      <c r="G356" s="41"/>
      <c r="H356" s="42"/>
      <c r="I356" s="43"/>
      <c r="J356" s="44"/>
      <c r="K356" s="39"/>
      <c r="L356" s="42"/>
      <c r="M356" s="44"/>
      <c r="N356" s="45"/>
      <c r="O356" s="44"/>
      <c r="P356" s="46"/>
      <c r="Q356" s="47" t="str">
        <f aca="false">IF(L356="","",IF(M356&lt;&gt;"",M356*L356*100,IF(AND(O356&lt;&gt;"",B356&lt;&gt;""),IFERROR(AVERAGEIF($B$5:$B$1004,B356,$M$5:$M$1004)*L356*100,""),"")))</f>
        <v/>
      </c>
      <c r="R356" s="47" t="str">
        <f aca="false">IF(AND(O356&lt;&gt;"",L356&lt;&gt;""),O356*L356*100,"")</f>
        <v/>
      </c>
      <c r="S356" s="48" t="str">
        <f aca="false">IF(AND(P356&lt;&gt;"",L356&lt;&gt;""),P356*L356*100,"")</f>
        <v/>
      </c>
      <c r="T356" s="49" t="str">
        <f aca="false">IF(AND(Q356&lt;&gt;"",R356&lt;&gt;""),R356-Q356,"")</f>
        <v/>
      </c>
      <c r="U356" s="50" t="str">
        <f aca="false">IF(AND(Q356&lt;&gt;"",Q356&lt;&gt;0,T356&lt;&gt;""),T356/Q356,"")</f>
        <v/>
      </c>
      <c r="V356" s="51" t="str">
        <f aca="false">IF(AND(S356&lt;&gt;"",Q356&lt;&gt;""),S356-Q356,"")</f>
        <v/>
      </c>
      <c r="W356" s="52" t="str">
        <f aca="false">IF(AND(Q356&lt;&gt;"",Q356&lt;&gt;0,V356&lt;&gt;""),V356/Q356,"")</f>
        <v/>
      </c>
      <c r="X356" s="53" t="s">
        <v>37</v>
      </c>
      <c r="Y356" s="54" t="str">
        <f aca="false">IF(AND(O356&lt;&gt;"",M356&lt;&gt;"",O356&gt;M356),CONCATENATE("1 : ",TEXT((O356-M356)/M356,"0.00")),IF(AND(O356&lt;&gt;"",M356&lt;&gt;"",O356&lt;M356),CONCATENATE("-1 : ",TEXT((M356-O356)/M356,"0.00")),"—"))</f>
        <v>—</v>
      </c>
      <c r="Z356" s="55" t="str">
        <f aca="false">IF(AND(P356&lt;&gt;"",M356&lt;&gt;"",P356&gt;M356),CONCATENATE("1 : ",TEXT((P356-M356)/M356,"0.00")),"—")</f>
        <v>—</v>
      </c>
      <c r="AA356" s="56" t="str">
        <f aca="false">IF(AND(C356&lt;&gt;"",E356&lt;&gt;""),E356-C356,"")</f>
        <v/>
      </c>
      <c r="AB356" s="42"/>
      <c r="AC356" s="57"/>
      <c r="AD356" s="58"/>
      <c r="AE356" s="59" t="str">
        <f aca="false">IF(G356&lt;&gt;"",HYPERLINK("https://www.tradingview.com/chart/?symbol="&amp;G356&amp;"&amp;interval=60&amp;from="&amp;(AG356-10*3600)&amp;"&amp;to="&amp;(AG356+50*3600),"📈 1H"),"")</f>
        <v/>
      </c>
      <c r="AF356" s="60" t="str">
        <f aca="false">IF(G356&lt;&gt;"",HYPERLINK("https://www.tradingview.com/chart/?symbol="&amp;G356&amp;"&amp;interval=240&amp;from="&amp;(AG356-10*14400)&amp;"&amp;to="&amp;(AG356+50*14400),"📈 4H"),"")</f>
        <v/>
      </c>
      <c r="AG356" s="36" t="str">
        <f aca="false">IF(C356&lt;&gt;"",INT((C356+IF(D356&lt;&gt;"",D356,0)-DATE(1970,1,1))*86400),"")</f>
        <v/>
      </c>
    </row>
    <row r="357" customFormat="false" ht="19.5" hidden="false" customHeight="true" outlineLevel="0" collapsed="false">
      <c r="A357" s="12" t="n">
        <f aca="false">ROW()-4</f>
        <v>353</v>
      </c>
      <c r="B357" s="13"/>
      <c r="C357" s="14"/>
      <c r="D357" s="15"/>
      <c r="E357" s="14"/>
      <c r="F357" s="15"/>
      <c r="G357" s="16"/>
      <c r="H357" s="17"/>
      <c r="I357" s="18"/>
      <c r="J357" s="19"/>
      <c r="K357" s="14"/>
      <c r="L357" s="17"/>
      <c r="M357" s="19"/>
      <c r="N357" s="20"/>
      <c r="O357" s="19"/>
      <c r="P357" s="21"/>
      <c r="Q357" s="22" t="str">
        <f aca="false">IF(L357="","",IF(M357&lt;&gt;"",M357*L357*100,IF(AND(O357&lt;&gt;"",B357&lt;&gt;""),IFERROR(AVERAGEIF($B$5:$B$1004,B357,$M$5:$M$1004)*L357*100,""),"")))</f>
        <v/>
      </c>
      <c r="R357" s="22" t="str">
        <f aca="false">IF(AND(O357&lt;&gt;"",L357&lt;&gt;""),O357*L357*100,"")</f>
        <v/>
      </c>
      <c r="S357" s="23" t="str">
        <f aca="false">IF(AND(P357&lt;&gt;"",L357&lt;&gt;""),P357*L357*100,"")</f>
        <v/>
      </c>
      <c r="T357" s="24" t="str">
        <f aca="false">IF(AND(Q357&lt;&gt;"",R357&lt;&gt;""),R357-Q357,"")</f>
        <v/>
      </c>
      <c r="U357" s="25" t="str">
        <f aca="false">IF(AND(Q357&lt;&gt;"",Q357&lt;&gt;0,T357&lt;&gt;""),T357/Q357,"")</f>
        <v/>
      </c>
      <c r="V357" s="26" t="str">
        <f aca="false">IF(AND(S357&lt;&gt;"",Q357&lt;&gt;""),S357-Q357,"")</f>
        <v/>
      </c>
      <c r="W357" s="27" t="str">
        <f aca="false">IF(AND(Q357&lt;&gt;"",Q357&lt;&gt;0,V357&lt;&gt;""),V357/Q357,"")</f>
        <v/>
      </c>
      <c r="X357" s="28" t="s">
        <v>37</v>
      </c>
      <c r="Y357" s="29" t="str">
        <f aca="false">IF(AND(O357&lt;&gt;"",M357&lt;&gt;"",O357&gt;M357),CONCATENATE("1 : ",TEXT((O357-M357)/M357,"0.00")),IF(AND(O357&lt;&gt;"",M357&lt;&gt;"",O357&lt;M357),CONCATENATE("-1 : ",TEXT((M357-O357)/M357,"0.00")),"—"))</f>
        <v>—</v>
      </c>
      <c r="Z357" s="30" t="str">
        <f aca="false">IF(AND(P357&lt;&gt;"",M357&lt;&gt;"",P357&gt;M357),CONCATENATE("1 : ",TEXT((P357-M357)/M357,"0.00")),"—")</f>
        <v>—</v>
      </c>
      <c r="AA357" s="31" t="str">
        <f aca="false">IF(AND(C357&lt;&gt;"",E357&lt;&gt;""),E357-C357,"")</f>
        <v/>
      </c>
      <c r="AB357" s="17"/>
      <c r="AC357" s="32"/>
      <c r="AD357" s="33"/>
      <c r="AE357" s="34" t="str">
        <f aca="false">IF(G357&lt;&gt;"",HYPERLINK("https://www.tradingview.com/chart/?symbol="&amp;G357&amp;"&amp;interval=60&amp;from="&amp;(AG357-10*3600)&amp;"&amp;to="&amp;(AG357+50*3600),"📈 1H"),"")</f>
        <v/>
      </c>
      <c r="AF357" s="35" t="str">
        <f aca="false">IF(G357&lt;&gt;"",HYPERLINK("https://www.tradingview.com/chart/?symbol="&amp;G357&amp;"&amp;interval=240&amp;from="&amp;(AG357-10*14400)&amp;"&amp;to="&amp;(AG357+50*14400),"📈 4H"),"")</f>
        <v/>
      </c>
      <c r="AG357" s="36" t="str">
        <f aca="false">IF(C357&lt;&gt;"",INT((C357+IF(D357&lt;&gt;"",D357,0)-DATE(1970,1,1))*86400),"")</f>
        <v/>
      </c>
    </row>
    <row r="358" customFormat="false" ht="19.5" hidden="false" customHeight="true" outlineLevel="0" collapsed="false">
      <c r="A358" s="37" t="n">
        <f aca="false">ROW()-4</f>
        <v>354</v>
      </c>
      <c r="B358" s="38"/>
      <c r="C358" s="39"/>
      <c r="D358" s="40"/>
      <c r="E358" s="39"/>
      <c r="F358" s="40"/>
      <c r="G358" s="41"/>
      <c r="H358" s="42"/>
      <c r="I358" s="43"/>
      <c r="J358" s="44"/>
      <c r="K358" s="39"/>
      <c r="L358" s="42"/>
      <c r="M358" s="44"/>
      <c r="N358" s="45"/>
      <c r="O358" s="44"/>
      <c r="P358" s="46"/>
      <c r="Q358" s="47" t="str">
        <f aca="false">IF(L358="","",IF(M358&lt;&gt;"",M358*L358*100,IF(AND(O358&lt;&gt;"",B358&lt;&gt;""),IFERROR(AVERAGEIF($B$5:$B$1004,B358,$M$5:$M$1004)*L358*100,""),"")))</f>
        <v/>
      </c>
      <c r="R358" s="47" t="str">
        <f aca="false">IF(AND(O358&lt;&gt;"",L358&lt;&gt;""),O358*L358*100,"")</f>
        <v/>
      </c>
      <c r="S358" s="48" t="str">
        <f aca="false">IF(AND(P358&lt;&gt;"",L358&lt;&gt;""),P358*L358*100,"")</f>
        <v/>
      </c>
      <c r="T358" s="49" t="str">
        <f aca="false">IF(AND(Q358&lt;&gt;"",R358&lt;&gt;""),R358-Q358,"")</f>
        <v/>
      </c>
      <c r="U358" s="50" t="str">
        <f aca="false">IF(AND(Q358&lt;&gt;"",Q358&lt;&gt;0,T358&lt;&gt;""),T358/Q358,"")</f>
        <v/>
      </c>
      <c r="V358" s="51" t="str">
        <f aca="false">IF(AND(S358&lt;&gt;"",Q358&lt;&gt;""),S358-Q358,"")</f>
        <v/>
      </c>
      <c r="W358" s="52" t="str">
        <f aca="false">IF(AND(Q358&lt;&gt;"",Q358&lt;&gt;0,V358&lt;&gt;""),V358/Q358,"")</f>
        <v/>
      </c>
      <c r="X358" s="53" t="s">
        <v>37</v>
      </c>
      <c r="Y358" s="54" t="str">
        <f aca="false">IF(AND(O358&lt;&gt;"",M358&lt;&gt;"",O358&gt;M358),CONCATENATE("1 : ",TEXT((O358-M358)/M358,"0.00")),IF(AND(O358&lt;&gt;"",M358&lt;&gt;"",O358&lt;M358),CONCATENATE("-1 : ",TEXT((M358-O358)/M358,"0.00")),"—"))</f>
        <v>—</v>
      </c>
      <c r="Z358" s="55" t="str">
        <f aca="false">IF(AND(P358&lt;&gt;"",M358&lt;&gt;"",P358&gt;M358),CONCATENATE("1 : ",TEXT((P358-M358)/M358,"0.00")),"—")</f>
        <v>—</v>
      </c>
      <c r="AA358" s="56" t="str">
        <f aca="false">IF(AND(C358&lt;&gt;"",E358&lt;&gt;""),E358-C358,"")</f>
        <v/>
      </c>
      <c r="AB358" s="42"/>
      <c r="AC358" s="57"/>
      <c r="AD358" s="58"/>
      <c r="AE358" s="59" t="str">
        <f aca="false">IF(G358&lt;&gt;"",HYPERLINK("https://www.tradingview.com/chart/?symbol="&amp;G358&amp;"&amp;interval=60&amp;from="&amp;(AG358-10*3600)&amp;"&amp;to="&amp;(AG358+50*3600),"📈 1H"),"")</f>
        <v/>
      </c>
      <c r="AF358" s="60" t="str">
        <f aca="false">IF(G358&lt;&gt;"",HYPERLINK("https://www.tradingview.com/chart/?symbol="&amp;G358&amp;"&amp;interval=240&amp;from="&amp;(AG358-10*14400)&amp;"&amp;to="&amp;(AG358+50*14400),"📈 4H"),"")</f>
        <v/>
      </c>
      <c r="AG358" s="36" t="str">
        <f aca="false">IF(C358&lt;&gt;"",INT((C358+IF(D358&lt;&gt;"",D358,0)-DATE(1970,1,1))*86400),"")</f>
        <v/>
      </c>
    </row>
    <row r="359" customFormat="false" ht="19.5" hidden="false" customHeight="true" outlineLevel="0" collapsed="false">
      <c r="A359" s="12" t="n">
        <f aca="false">ROW()-4</f>
        <v>355</v>
      </c>
      <c r="B359" s="13"/>
      <c r="C359" s="14"/>
      <c r="D359" s="15"/>
      <c r="E359" s="14"/>
      <c r="F359" s="15"/>
      <c r="G359" s="16"/>
      <c r="H359" s="17"/>
      <c r="I359" s="18"/>
      <c r="J359" s="19"/>
      <c r="K359" s="14"/>
      <c r="L359" s="17"/>
      <c r="M359" s="19"/>
      <c r="N359" s="20"/>
      <c r="O359" s="19"/>
      <c r="P359" s="21"/>
      <c r="Q359" s="22" t="str">
        <f aca="false">IF(L359="","",IF(M359&lt;&gt;"",M359*L359*100,IF(AND(O359&lt;&gt;"",B359&lt;&gt;""),IFERROR(AVERAGEIF($B$5:$B$1004,B359,$M$5:$M$1004)*L359*100,""),"")))</f>
        <v/>
      </c>
      <c r="R359" s="22" t="str">
        <f aca="false">IF(AND(O359&lt;&gt;"",L359&lt;&gt;""),O359*L359*100,"")</f>
        <v/>
      </c>
      <c r="S359" s="23" t="str">
        <f aca="false">IF(AND(P359&lt;&gt;"",L359&lt;&gt;""),P359*L359*100,"")</f>
        <v/>
      </c>
      <c r="T359" s="24" t="str">
        <f aca="false">IF(AND(Q359&lt;&gt;"",R359&lt;&gt;""),R359-Q359,"")</f>
        <v/>
      </c>
      <c r="U359" s="25" t="str">
        <f aca="false">IF(AND(Q359&lt;&gt;"",Q359&lt;&gt;0,T359&lt;&gt;""),T359/Q359,"")</f>
        <v/>
      </c>
      <c r="V359" s="26" t="str">
        <f aca="false">IF(AND(S359&lt;&gt;"",Q359&lt;&gt;""),S359-Q359,"")</f>
        <v/>
      </c>
      <c r="W359" s="27" t="str">
        <f aca="false">IF(AND(Q359&lt;&gt;"",Q359&lt;&gt;0,V359&lt;&gt;""),V359/Q359,"")</f>
        <v/>
      </c>
      <c r="X359" s="28" t="s">
        <v>37</v>
      </c>
      <c r="Y359" s="29" t="str">
        <f aca="false">IF(AND(O359&lt;&gt;"",M359&lt;&gt;"",O359&gt;M359),CONCATENATE("1 : ",TEXT((O359-M359)/M359,"0.00")),IF(AND(O359&lt;&gt;"",M359&lt;&gt;"",O359&lt;M359),CONCATENATE("-1 : ",TEXT((M359-O359)/M359,"0.00")),"—"))</f>
        <v>—</v>
      </c>
      <c r="Z359" s="30" t="str">
        <f aca="false">IF(AND(P359&lt;&gt;"",M359&lt;&gt;"",P359&gt;M359),CONCATENATE("1 : ",TEXT((P359-M359)/M359,"0.00")),"—")</f>
        <v>—</v>
      </c>
      <c r="AA359" s="31" t="str">
        <f aca="false">IF(AND(C359&lt;&gt;"",E359&lt;&gt;""),E359-C359,"")</f>
        <v/>
      </c>
      <c r="AB359" s="17"/>
      <c r="AC359" s="32"/>
      <c r="AD359" s="33"/>
      <c r="AE359" s="34" t="str">
        <f aca="false">IF(G359&lt;&gt;"",HYPERLINK("https://www.tradingview.com/chart/?symbol="&amp;G359&amp;"&amp;interval=60&amp;from="&amp;(AG359-10*3600)&amp;"&amp;to="&amp;(AG359+50*3600),"📈 1H"),"")</f>
        <v/>
      </c>
      <c r="AF359" s="35" t="str">
        <f aca="false">IF(G359&lt;&gt;"",HYPERLINK("https://www.tradingview.com/chart/?symbol="&amp;G359&amp;"&amp;interval=240&amp;from="&amp;(AG359-10*14400)&amp;"&amp;to="&amp;(AG359+50*14400),"📈 4H"),"")</f>
        <v/>
      </c>
      <c r="AG359" s="36" t="str">
        <f aca="false">IF(C359&lt;&gt;"",INT((C359+IF(D359&lt;&gt;"",D359,0)-DATE(1970,1,1))*86400),"")</f>
        <v/>
      </c>
    </row>
    <row r="360" customFormat="false" ht="19.5" hidden="false" customHeight="true" outlineLevel="0" collapsed="false">
      <c r="A360" s="37" t="n">
        <f aca="false">ROW()-4</f>
        <v>356</v>
      </c>
      <c r="B360" s="38"/>
      <c r="C360" s="39"/>
      <c r="D360" s="40"/>
      <c r="E360" s="39"/>
      <c r="F360" s="40"/>
      <c r="G360" s="41"/>
      <c r="H360" s="42"/>
      <c r="I360" s="43"/>
      <c r="J360" s="44"/>
      <c r="K360" s="39"/>
      <c r="L360" s="42"/>
      <c r="M360" s="44"/>
      <c r="N360" s="45"/>
      <c r="O360" s="44"/>
      <c r="P360" s="46"/>
      <c r="Q360" s="47" t="str">
        <f aca="false">IF(L360="","",IF(M360&lt;&gt;"",M360*L360*100,IF(AND(O360&lt;&gt;"",B360&lt;&gt;""),IFERROR(AVERAGEIF($B$5:$B$1004,B360,$M$5:$M$1004)*L360*100,""),"")))</f>
        <v/>
      </c>
      <c r="R360" s="47" t="str">
        <f aca="false">IF(AND(O360&lt;&gt;"",L360&lt;&gt;""),O360*L360*100,"")</f>
        <v/>
      </c>
      <c r="S360" s="48" t="str">
        <f aca="false">IF(AND(P360&lt;&gt;"",L360&lt;&gt;""),P360*L360*100,"")</f>
        <v/>
      </c>
      <c r="T360" s="49" t="str">
        <f aca="false">IF(AND(Q360&lt;&gt;"",R360&lt;&gt;""),R360-Q360,"")</f>
        <v/>
      </c>
      <c r="U360" s="50" t="str">
        <f aca="false">IF(AND(Q360&lt;&gt;"",Q360&lt;&gt;0,T360&lt;&gt;""),T360/Q360,"")</f>
        <v/>
      </c>
      <c r="V360" s="51" t="str">
        <f aca="false">IF(AND(S360&lt;&gt;"",Q360&lt;&gt;""),S360-Q360,"")</f>
        <v/>
      </c>
      <c r="W360" s="52" t="str">
        <f aca="false">IF(AND(Q360&lt;&gt;"",Q360&lt;&gt;0,V360&lt;&gt;""),V360/Q360,"")</f>
        <v/>
      </c>
      <c r="X360" s="53" t="s">
        <v>37</v>
      </c>
      <c r="Y360" s="54" t="str">
        <f aca="false">IF(AND(O360&lt;&gt;"",M360&lt;&gt;"",O360&gt;M360),CONCATENATE("1 : ",TEXT((O360-M360)/M360,"0.00")),IF(AND(O360&lt;&gt;"",M360&lt;&gt;"",O360&lt;M360),CONCATENATE("-1 : ",TEXT((M360-O360)/M360,"0.00")),"—"))</f>
        <v>—</v>
      </c>
      <c r="Z360" s="55" t="str">
        <f aca="false">IF(AND(P360&lt;&gt;"",M360&lt;&gt;"",P360&gt;M360),CONCATENATE("1 : ",TEXT((P360-M360)/M360,"0.00")),"—")</f>
        <v>—</v>
      </c>
      <c r="AA360" s="56" t="str">
        <f aca="false">IF(AND(C360&lt;&gt;"",E360&lt;&gt;""),E360-C360,"")</f>
        <v/>
      </c>
      <c r="AB360" s="42"/>
      <c r="AC360" s="57"/>
      <c r="AD360" s="58"/>
      <c r="AE360" s="59" t="str">
        <f aca="false">IF(G360&lt;&gt;"",HYPERLINK("https://www.tradingview.com/chart/?symbol="&amp;G360&amp;"&amp;interval=60&amp;from="&amp;(AG360-10*3600)&amp;"&amp;to="&amp;(AG360+50*3600),"📈 1H"),"")</f>
        <v/>
      </c>
      <c r="AF360" s="60" t="str">
        <f aca="false">IF(G360&lt;&gt;"",HYPERLINK("https://www.tradingview.com/chart/?symbol="&amp;G360&amp;"&amp;interval=240&amp;from="&amp;(AG360-10*14400)&amp;"&amp;to="&amp;(AG360+50*14400),"📈 4H"),"")</f>
        <v/>
      </c>
      <c r="AG360" s="36" t="str">
        <f aca="false">IF(C360&lt;&gt;"",INT((C360+IF(D360&lt;&gt;"",D360,0)-DATE(1970,1,1))*86400),"")</f>
        <v/>
      </c>
    </row>
    <row r="361" customFormat="false" ht="19.5" hidden="false" customHeight="true" outlineLevel="0" collapsed="false">
      <c r="A361" s="12" t="n">
        <f aca="false">ROW()-4</f>
        <v>357</v>
      </c>
      <c r="B361" s="13"/>
      <c r="C361" s="14"/>
      <c r="D361" s="15"/>
      <c r="E361" s="14"/>
      <c r="F361" s="15"/>
      <c r="G361" s="16"/>
      <c r="H361" s="17"/>
      <c r="I361" s="18"/>
      <c r="J361" s="19"/>
      <c r="K361" s="14"/>
      <c r="L361" s="17"/>
      <c r="M361" s="19"/>
      <c r="N361" s="20"/>
      <c r="O361" s="19"/>
      <c r="P361" s="21"/>
      <c r="Q361" s="22" t="str">
        <f aca="false">IF(L361="","",IF(M361&lt;&gt;"",M361*L361*100,IF(AND(O361&lt;&gt;"",B361&lt;&gt;""),IFERROR(AVERAGEIF($B$5:$B$1004,B361,$M$5:$M$1004)*L361*100,""),"")))</f>
        <v/>
      </c>
      <c r="R361" s="22" t="str">
        <f aca="false">IF(AND(O361&lt;&gt;"",L361&lt;&gt;""),O361*L361*100,"")</f>
        <v/>
      </c>
      <c r="S361" s="23" t="str">
        <f aca="false">IF(AND(P361&lt;&gt;"",L361&lt;&gt;""),P361*L361*100,"")</f>
        <v/>
      </c>
      <c r="T361" s="24" t="str">
        <f aca="false">IF(AND(Q361&lt;&gt;"",R361&lt;&gt;""),R361-Q361,"")</f>
        <v/>
      </c>
      <c r="U361" s="25" t="str">
        <f aca="false">IF(AND(Q361&lt;&gt;"",Q361&lt;&gt;0,T361&lt;&gt;""),T361/Q361,"")</f>
        <v/>
      </c>
      <c r="V361" s="26" t="str">
        <f aca="false">IF(AND(S361&lt;&gt;"",Q361&lt;&gt;""),S361-Q361,"")</f>
        <v/>
      </c>
      <c r="W361" s="27" t="str">
        <f aca="false">IF(AND(Q361&lt;&gt;"",Q361&lt;&gt;0,V361&lt;&gt;""),V361/Q361,"")</f>
        <v/>
      </c>
      <c r="X361" s="28" t="s">
        <v>37</v>
      </c>
      <c r="Y361" s="29" t="str">
        <f aca="false">IF(AND(O361&lt;&gt;"",M361&lt;&gt;"",O361&gt;M361),CONCATENATE("1 : ",TEXT((O361-M361)/M361,"0.00")),IF(AND(O361&lt;&gt;"",M361&lt;&gt;"",O361&lt;M361),CONCATENATE("-1 : ",TEXT((M361-O361)/M361,"0.00")),"—"))</f>
        <v>—</v>
      </c>
      <c r="Z361" s="30" t="str">
        <f aca="false">IF(AND(P361&lt;&gt;"",M361&lt;&gt;"",P361&gt;M361),CONCATENATE("1 : ",TEXT((P361-M361)/M361,"0.00")),"—")</f>
        <v>—</v>
      </c>
      <c r="AA361" s="31" t="str">
        <f aca="false">IF(AND(C361&lt;&gt;"",E361&lt;&gt;""),E361-C361,"")</f>
        <v/>
      </c>
      <c r="AB361" s="17"/>
      <c r="AC361" s="32"/>
      <c r="AD361" s="33"/>
      <c r="AE361" s="34" t="str">
        <f aca="false">IF(G361&lt;&gt;"",HYPERLINK("https://www.tradingview.com/chart/?symbol="&amp;G361&amp;"&amp;interval=60&amp;from="&amp;(AG361-10*3600)&amp;"&amp;to="&amp;(AG361+50*3600),"📈 1H"),"")</f>
        <v/>
      </c>
      <c r="AF361" s="35" t="str">
        <f aca="false">IF(G361&lt;&gt;"",HYPERLINK("https://www.tradingview.com/chart/?symbol="&amp;G361&amp;"&amp;interval=240&amp;from="&amp;(AG361-10*14400)&amp;"&amp;to="&amp;(AG361+50*14400),"📈 4H"),"")</f>
        <v/>
      </c>
      <c r="AG361" s="36" t="str">
        <f aca="false">IF(C361&lt;&gt;"",INT((C361+IF(D361&lt;&gt;"",D361,0)-DATE(1970,1,1))*86400),"")</f>
        <v/>
      </c>
    </row>
    <row r="362" customFormat="false" ht="19.5" hidden="false" customHeight="true" outlineLevel="0" collapsed="false">
      <c r="A362" s="37" t="n">
        <f aca="false">ROW()-4</f>
        <v>358</v>
      </c>
      <c r="B362" s="38"/>
      <c r="C362" s="39"/>
      <c r="D362" s="40"/>
      <c r="E362" s="39"/>
      <c r="F362" s="40"/>
      <c r="G362" s="41"/>
      <c r="H362" s="42"/>
      <c r="I362" s="43"/>
      <c r="J362" s="44"/>
      <c r="K362" s="39"/>
      <c r="L362" s="42"/>
      <c r="M362" s="44"/>
      <c r="N362" s="45"/>
      <c r="O362" s="44"/>
      <c r="P362" s="46"/>
      <c r="Q362" s="47" t="str">
        <f aca="false">IF(L362="","",IF(M362&lt;&gt;"",M362*L362*100,IF(AND(O362&lt;&gt;"",B362&lt;&gt;""),IFERROR(AVERAGEIF($B$5:$B$1004,B362,$M$5:$M$1004)*L362*100,""),"")))</f>
        <v/>
      </c>
      <c r="R362" s="47" t="str">
        <f aca="false">IF(AND(O362&lt;&gt;"",L362&lt;&gt;""),O362*L362*100,"")</f>
        <v/>
      </c>
      <c r="S362" s="48" t="str">
        <f aca="false">IF(AND(P362&lt;&gt;"",L362&lt;&gt;""),P362*L362*100,"")</f>
        <v/>
      </c>
      <c r="T362" s="49" t="str">
        <f aca="false">IF(AND(Q362&lt;&gt;"",R362&lt;&gt;""),R362-Q362,"")</f>
        <v/>
      </c>
      <c r="U362" s="50" t="str">
        <f aca="false">IF(AND(Q362&lt;&gt;"",Q362&lt;&gt;0,T362&lt;&gt;""),T362/Q362,"")</f>
        <v/>
      </c>
      <c r="V362" s="51" t="str">
        <f aca="false">IF(AND(S362&lt;&gt;"",Q362&lt;&gt;""),S362-Q362,"")</f>
        <v/>
      </c>
      <c r="W362" s="52" t="str">
        <f aca="false">IF(AND(Q362&lt;&gt;"",Q362&lt;&gt;0,V362&lt;&gt;""),V362/Q362,"")</f>
        <v/>
      </c>
      <c r="X362" s="53" t="s">
        <v>37</v>
      </c>
      <c r="Y362" s="54" t="str">
        <f aca="false">IF(AND(O362&lt;&gt;"",M362&lt;&gt;"",O362&gt;M362),CONCATENATE("1 : ",TEXT((O362-M362)/M362,"0.00")),IF(AND(O362&lt;&gt;"",M362&lt;&gt;"",O362&lt;M362),CONCATENATE("-1 : ",TEXT((M362-O362)/M362,"0.00")),"—"))</f>
        <v>—</v>
      </c>
      <c r="Z362" s="55" t="str">
        <f aca="false">IF(AND(P362&lt;&gt;"",M362&lt;&gt;"",P362&gt;M362),CONCATENATE("1 : ",TEXT((P362-M362)/M362,"0.00")),"—")</f>
        <v>—</v>
      </c>
      <c r="AA362" s="56" t="str">
        <f aca="false">IF(AND(C362&lt;&gt;"",E362&lt;&gt;""),E362-C362,"")</f>
        <v/>
      </c>
      <c r="AB362" s="42"/>
      <c r="AC362" s="57"/>
      <c r="AD362" s="58"/>
      <c r="AE362" s="59" t="str">
        <f aca="false">IF(G362&lt;&gt;"",HYPERLINK("https://www.tradingview.com/chart/?symbol="&amp;G362&amp;"&amp;interval=60&amp;from="&amp;(AG362-10*3600)&amp;"&amp;to="&amp;(AG362+50*3600),"📈 1H"),"")</f>
        <v/>
      </c>
      <c r="AF362" s="60" t="str">
        <f aca="false">IF(G362&lt;&gt;"",HYPERLINK("https://www.tradingview.com/chart/?symbol="&amp;G362&amp;"&amp;interval=240&amp;from="&amp;(AG362-10*14400)&amp;"&amp;to="&amp;(AG362+50*14400),"📈 4H"),"")</f>
        <v/>
      </c>
      <c r="AG362" s="36" t="str">
        <f aca="false">IF(C362&lt;&gt;"",INT((C362+IF(D362&lt;&gt;"",D362,0)-DATE(1970,1,1))*86400),"")</f>
        <v/>
      </c>
    </row>
    <row r="363" customFormat="false" ht="19.5" hidden="false" customHeight="true" outlineLevel="0" collapsed="false">
      <c r="A363" s="12" t="n">
        <f aca="false">ROW()-4</f>
        <v>359</v>
      </c>
      <c r="B363" s="13"/>
      <c r="C363" s="14"/>
      <c r="D363" s="15"/>
      <c r="E363" s="14"/>
      <c r="F363" s="15"/>
      <c r="G363" s="16"/>
      <c r="H363" s="17"/>
      <c r="I363" s="18"/>
      <c r="J363" s="19"/>
      <c r="K363" s="14"/>
      <c r="L363" s="17"/>
      <c r="M363" s="19"/>
      <c r="N363" s="20"/>
      <c r="O363" s="19"/>
      <c r="P363" s="21"/>
      <c r="Q363" s="22" t="str">
        <f aca="false">IF(L363="","",IF(M363&lt;&gt;"",M363*L363*100,IF(AND(O363&lt;&gt;"",B363&lt;&gt;""),IFERROR(AVERAGEIF($B$5:$B$1004,B363,$M$5:$M$1004)*L363*100,""),"")))</f>
        <v/>
      </c>
      <c r="R363" s="22" t="str">
        <f aca="false">IF(AND(O363&lt;&gt;"",L363&lt;&gt;""),O363*L363*100,"")</f>
        <v/>
      </c>
      <c r="S363" s="23" t="str">
        <f aca="false">IF(AND(P363&lt;&gt;"",L363&lt;&gt;""),P363*L363*100,"")</f>
        <v/>
      </c>
      <c r="T363" s="24" t="str">
        <f aca="false">IF(AND(Q363&lt;&gt;"",R363&lt;&gt;""),R363-Q363,"")</f>
        <v/>
      </c>
      <c r="U363" s="25" t="str">
        <f aca="false">IF(AND(Q363&lt;&gt;"",Q363&lt;&gt;0,T363&lt;&gt;""),T363/Q363,"")</f>
        <v/>
      </c>
      <c r="V363" s="26" t="str">
        <f aca="false">IF(AND(S363&lt;&gt;"",Q363&lt;&gt;""),S363-Q363,"")</f>
        <v/>
      </c>
      <c r="W363" s="27" t="str">
        <f aca="false">IF(AND(Q363&lt;&gt;"",Q363&lt;&gt;0,V363&lt;&gt;""),V363/Q363,"")</f>
        <v/>
      </c>
      <c r="X363" s="28" t="s">
        <v>37</v>
      </c>
      <c r="Y363" s="29" t="str">
        <f aca="false">IF(AND(O363&lt;&gt;"",M363&lt;&gt;"",O363&gt;M363),CONCATENATE("1 : ",TEXT((O363-M363)/M363,"0.00")),IF(AND(O363&lt;&gt;"",M363&lt;&gt;"",O363&lt;M363),CONCATENATE("-1 : ",TEXT((M363-O363)/M363,"0.00")),"—"))</f>
        <v>—</v>
      </c>
      <c r="Z363" s="30" t="str">
        <f aca="false">IF(AND(P363&lt;&gt;"",M363&lt;&gt;"",P363&gt;M363),CONCATENATE("1 : ",TEXT((P363-M363)/M363,"0.00")),"—")</f>
        <v>—</v>
      </c>
      <c r="AA363" s="31" t="str">
        <f aca="false">IF(AND(C363&lt;&gt;"",E363&lt;&gt;""),E363-C363,"")</f>
        <v/>
      </c>
      <c r="AB363" s="17"/>
      <c r="AC363" s="32"/>
      <c r="AD363" s="33"/>
      <c r="AE363" s="34" t="str">
        <f aca="false">IF(G363&lt;&gt;"",HYPERLINK("https://www.tradingview.com/chart/?symbol="&amp;G363&amp;"&amp;interval=60&amp;from="&amp;(AG363-10*3600)&amp;"&amp;to="&amp;(AG363+50*3600),"📈 1H"),"")</f>
        <v/>
      </c>
      <c r="AF363" s="35" t="str">
        <f aca="false">IF(G363&lt;&gt;"",HYPERLINK("https://www.tradingview.com/chart/?symbol="&amp;G363&amp;"&amp;interval=240&amp;from="&amp;(AG363-10*14400)&amp;"&amp;to="&amp;(AG363+50*14400),"📈 4H"),"")</f>
        <v/>
      </c>
      <c r="AG363" s="36" t="str">
        <f aca="false">IF(C363&lt;&gt;"",INT((C363+IF(D363&lt;&gt;"",D363,0)-DATE(1970,1,1))*86400),"")</f>
        <v/>
      </c>
    </row>
    <row r="364" customFormat="false" ht="19.5" hidden="false" customHeight="true" outlineLevel="0" collapsed="false">
      <c r="A364" s="37" t="n">
        <f aca="false">ROW()-4</f>
        <v>360</v>
      </c>
      <c r="B364" s="38"/>
      <c r="C364" s="39"/>
      <c r="D364" s="40"/>
      <c r="E364" s="39"/>
      <c r="F364" s="40"/>
      <c r="G364" s="41"/>
      <c r="H364" s="42"/>
      <c r="I364" s="43"/>
      <c r="J364" s="44"/>
      <c r="K364" s="39"/>
      <c r="L364" s="42"/>
      <c r="M364" s="44"/>
      <c r="N364" s="45"/>
      <c r="O364" s="44"/>
      <c r="P364" s="46"/>
      <c r="Q364" s="47" t="str">
        <f aca="false">IF(L364="","",IF(M364&lt;&gt;"",M364*L364*100,IF(AND(O364&lt;&gt;"",B364&lt;&gt;""),IFERROR(AVERAGEIF($B$5:$B$1004,B364,$M$5:$M$1004)*L364*100,""),"")))</f>
        <v/>
      </c>
      <c r="R364" s="47" t="str">
        <f aca="false">IF(AND(O364&lt;&gt;"",L364&lt;&gt;""),O364*L364*100,"")</f>
        <v/>
      </c>
      <c r="S364" s="48" t="str">
        <f aca="false">IF(AND(P364&lt;&gt;"",L364&lt;&gt;""),P364*L364*100,"")</f>
        <v/>
      </c>
      <c r="T364" s="49" t="str">
        <f aca="false">IF(AND(Q364&lt;&gt;"",R364&lt;&gt;""),R364-Q364,"")</f>
        <v/>
      </c>
      <c r="U364" s="50" t="str">
        <f aca="false">IF(AND(Q364&lt;&gt;"",Q364&lt;&gt;0,T364&lt;&gt;""),T364/Q364,"")</f>
        <v/>
      </c>
      <c r="V364" s="51" t="str">
        <f aca="false">IF(AND(S364&lt;&gt;"",Q364&lt;&gt;""),S364-Q364,"")</f>
        <v/>
      </c>
      <c r="W364" s="52" t="str">
        <f aca="false">IF(AND(Q364&lt;&gt;"",Q364&lt;&gt;0,V364&lt;&gt;""),V364/Q364,"")</f>
        <v/>
      </c>
      <c r="X364" s="53" t="s">
        <v>37</v>
      </c>
      <c r="Y364" s="54" t="str">
        <f aca="false">IF(AND(O364&lt;&gt;"",M364&lt;&gt;"",O364&gt;M364),CONCATENATE("1 : ",TEXT((O364-M364)/M364,"0.00")),IF(AND(O364&lt;&gt;"",M364&lt;&gt;"",O364&lt;M364),CONCATENATE("-1 : ",TEXT((M364-O364)/M364,"0.00")),"—"))</f>
        <v>—</v>
      </c>
      <c r="Z364" s="55" t="str">
        <f aca="false">IF(AND(P364&lt;&gt;"",M364&lt;&gt;"",P364&gt;M364),CONCATENATE("1 : ",TEXT((P364-M364)/M364,"0.00")),"—")</f>
        <v>—</v>
      </c>
      <c r="AA364" s="56" t="str">
        <f aca="false">IF(AND(C364&lt;&gt;"",E364&lt;&gt;""),E364-C364,"")</f>
        <v/>
      </c>
      <c r="AB364" s="42"/>
      <c r="AC364" s="57"/>
      <c r="AD364" s="58"/>
      <c r="AE364" s="59" t="str">
        <f aca="false">IF(G364&lt;&gt;"",HYPERLINK("https://www.tradingview.com/chart/?symbol="&amp;G364&amp;"&amp;interval=60&amp;from="&amp;(AG364-10*3600)&amp;"&amp;to="&amp;(AG364+50*3600),"📈 1H"),"")</f>
        <v/>
      </c>
      <c r="AF364" s="60" t="str">
        <f aca="false">IF(G364&lt;&gt;"",HYPERLINK("https://www.tradingview.com/chart/?symbol="&amp;G364&amp;"&amp;interval=240&amp;from="&amp;(AG364-10*14400)&amp;"&amp;to="&amp;(AG364+50*14400),"📈 4H"),"")</f>
        <v/>
      </c>
      <c r="AG364" s="36" t="str">
        <f aca="false">IF(C364&lt;&gt;"",INT((C364+IF(D364&lt;&gt;"",D364,0)-DATE(1970,1,1))*86400),"")</f>
        <v/>
      </c>
    </row>
    <row r="365" customFormat="false" ht="19.5" hidden="false" customHeight="true" outlineLevel="0" collapsed="false">
      <c r="A365" s="12" t="n">
        <f aca="false">ROW()-4</f>
        <v>361</v>
      </c>
      <c r="B365" s="13"/>
      <c r="C365" s="14"/>
      <c r="D365" s="15"/>
      <c r="E365" s="14"/>
      <c r="F365" s="15"/>
      <c r="G365" s="16"/>
      <c r="H365" s="17"/>
      <c r="I365" s="18"/>
      <c r="J365" s="19"/>
      <c r="K365" s="14"/>
      <c r="L365" s="17"/>
      <c r="M365" s="19"/>
      <c r="N365" s="20"/>
      <c r="O365" s="19"/>
      <c r="P365" s="21"/>
      <c r="Q365" s="22" t="str">
        <f aca="false">IF(L365="","",IF(M365&lt;&gt;"",M365*L365*100,IF(AND(O365&lt;&gt;"",B365&lt;&gt;""),IFERROR(AVERAGEIF($B$5:$B$1004,B365,$M$5:$M$1004)*L365*100,""),"")))</f>
        <v/>
      </c>
      <c r="R365" s="22" t="str">
        <f aca="false">IF(AND(O365&lt;&gt;"",L365&lt;&gt;""),O365*L365*100,"")</f>
        <v/>
      </c>
      <c r="S365" s="23" t="str">
        <f aca="false">IF(AND(P365&lt;&gt;"",L365&lt;&gt;""),P365*L365*100,"")</f>
        <v/>
      </c>
      <c r="T365" s="24" t="str">
        <f aca="false">IF(AND(Q365&lt;&gt;"",R365&lt;&gt;""),R365-Q365,"")</f>
        <v/>
      </c>
      <c r="U365" s="25" t="str">
        <f aca="false">IF(AND(Q365&lt;&gt;"",Q365&lt;&gt;0,T365&lt;&gt;""),T365/Q365,"")</f>
        <v/>
      </c>
      <c r="V365" s="26" t="str">
        <f aca="false">IF(AND(S365&lt;&gt;"",Q365&lt;&gt;""),S365-Q365,"")</f>
        <v/>
      </c>
      <c r="W365" s="27" t="str">
        <f aca="false">IF(AND(Q365&lt;&gt;"",Q365&lt;&gt;0,V365&lt;&gt;""),V365/Q365,"")</f>
        <v/>
      </c>
      <c r="X365" s="28" t="s">
        <v>37</v>
      </c>
      <c r="Y365" s="29" t="str">
        <f aca="false">IF(AND(O365&lt;&gt;"",M365&lt;&gt;"",O365&gt;M365),CONCATENATE("1 : ",TEXT((O365-M365)/M365,"0.00")),IF(AND(O365&lt;&gt;"",M365&lt;&gt;"",O365&lt;M365),CONCATENATE("-1 : ",TEXT((M365-O365)/M365,"0.00")),"—"))</f>
        <v>—</v>
      </c>
      <c r="Z365" s="30" t="str">
        <f aca="false">IF(AND(P365&lt;&gt;"",M365&lt;&gt;"",P365&gt;M365),CONCATENATE("1 : ",TEXT((P365-M365)/M365,"0.00")),"—")</f>
        <v>—</v>
      </c>
      <c r="AA365" s="31" t="str">
        <f aca="false">IF(AND(C365&lt;&gt;"",E365&lt;&gt;""),E365-C365,"")</f>
        <v/>
      </c>
      <c r="AB365" s="17"/>
      <c r="AC365" s="32"/>
      <c r="AD365" s="33"/>
      <c r="AE365" s="34" t="str">
        <f aca="false">IF(G365&lt;&gt;"",HYPERLINK("https://www.tradingview.com/chart/?symbol="&amp;G365&amp;"&amp;interval=60&amp;from="&amp;(AG365-10*3600)&amp;"&amp;to="&amp;(AG365+50*3600),"📈 1H"),"")</f>
        <v/>
      </c>
      <c r="AF365" s="35" t="str">
        <f aca="false">IF(G365&lt;&gt;"",HYPERLINK("https://www.tradingview.com/chart/?symbol="&amp;G365&amp;"&amp;interval=240&amp;from="&amp;(AG365-10*14400)&amp;"&amp;to="&amp;(AG365+50*14400),"📈 4H"),"")</f>
        <v/>
      </c>
      <c r="AG365" s="36" t="str">
        <f aca="false">IF(C365&lt;&gt;"",INT((C365+IF(D365&lt;&gt;"",D365,0)-DATE(1970,1,1))*86400),"")</f>
        <v/>
      </c>
    </row>
    <row r="366" customFormat="false" ht="19.5" hidden="false" customHeight="true" outlineLevel="0" collapsed="false">
      <c r="A366" s="37" t="n">
        <f aca="false">ROW()-4</f>
        <v>362</v>
      </c>
      <c r="B366" s="38"/>
      <c r="C366" s="39"/>
      <c r="D366" s="40"/>
      <c r="E366" s="39"/>
      <c r="F366" s="40"/>
      <c r="G366" s="41"/>
      <c r="H366" s="42"/>
      <c r="I366" s="43"/>
      <c r="J366" s="44"/>
      <c r="K366" s="39"/>
      <c r="L366" s="42"/>
      <c r="M366" s="44"/>
      <c r="N366" s="45"/>
      <c r="O366" s="44"/>
      <c r="P366" s="46"/>
      <c r="Q366" s="47" t="str">
        <f aca="false">IF(L366="","",IF(M366&lt;&gt;"",M366*L366*100,IF(AND(O366&lt;&gt;"",B366&lt;&gt;""),IFERROR(AVERAGEIF($B$5:$B$1004,B366,$M$5:$M$1004)*L366*100,""),"")))</f>
        <v/>
      </c>
      <c r="R366" s="47" t="str">
        <f aca="false">IF(AND(O366&lt;&gt;"",L366&lt;&gt;""),O366*L366*100,"")</f>
        <v/>
      </c>
      <c r="S366" s="48" t="str">
        <f aca="false">IF(AND(P366&lt;&gt;"",L366&lt;&gt;""),P366*L366*100,"")</f>
        <v/>
      </c>
      <c r="T366" s="49" t="str">
        <f aca="false">IF(AND(Q366&lt;&gt;"",R366&lt;&gt;""),R366-Q366,"")</f>
        <v/>
      </c>
      <c r="U366" s="50" t="str">
        <f aca="false">IF(AND(Q366&lt;&gt;"",Q366&lt;&gt;0,T366&lt;&gt;""),T366/Q366,"")</f>
        <v/>
      </c>
      <c r="V366" s="51" t="str">
        <f aca="false">IF(AND(S366&lt;&gt;"",Q366&lt;&gt;""),S366-Q366,"")</f>
        <v/>
      </c>
      <c r="W366" s="52" t="str">
        <f aca="false">IF(AND(Q366&lt;&gt;"",Q366&lt;&gt;0,V366&lt;&gt;""),V366/Q366,"")</f>
        <v/>
      </c>
      <c r="X366" s="53" t="s">
        <v>37</v>
      </c>
      <c r="Y366" s="54" t="str">
        <f aca="false">IF(AND(O366&lt;&gt;"",M366&lt;&gt;"",O366&gt;M366),CONCATENATE("1 : ",TEXT((O366-M366)/M366,"0.00")),IF(AND(O366&lt;&gt;"",M366&lt;&gt;"",O366&lt;M366),CONCATENATE("-1 : ",TEXT((M366-O366)/M366,"0.00")),"—"))</f>
        <v>—</v>
      </c>
      <c r="Z366" s="55" t="str">
        <f aca="false">IF(AND(P366&lt;&gt;"",M366&lt;&gt;"",P366&gt;M366),CONCATENATE("1 : ",TEXT((P366-M366)/M366,"0.00")),"—")</f>
        <v>—</v>
      </c>
      <c r="AA366" s="56" t="str">
        <f aca="false">IF(AND(C366&lt;&gt;"",E366&lt;&gt;""),E366-C366,"")</f>
        <v/>
      </c>
      <c r="AB366" s="42"/>
      <c r="AC366" s="57"/>
      <c r="AD366" s="58"/>
      <c r="AE366" s="59" t="str">
        <f aca="false">IF(G366&lt;&gt;"",HYPERLINK("https://www.tradingview.com/chart/?symbol="&amp;G366&amp;"&amp;interval=60&amp;from="&amp;(AG366-10*3600)&amp;"&amp;to="&amp;(AG366+50*3600),"📈 1H"),"")</f>
        <v/>
      </c>
      <c r="AF366" s="60" t="str">
        <f aca="false">IF(G366&lt;&gt;"",HYPERLINK("https://www.tradingview.com/chart/?symbol="&amp;G366&amp;"&amp;interval=240&amp;from="&amp;(AG366-10*14400)&amp;"&amp;to="&amp;(AG366+50*14400),"📈 4H"),"")</f>
        <v/>
      </c>
      <c r="AG366" s="36" t="str">
        <f aca="false">IF(C366&lt;&gt;"",INT((C366+IF(D366&lt;&gt;"",D366,0)-DATE(1970,1,1))*86400),"")</f>
        <v/>
      </c>
    </row>
    <row r="367" customFormat="false" ht="19.5" hidden="false" customHeight="true" outlineLevel="0" collapsed="false">
      <c r="A367" s="12" t="n">
        <f aca="false">ROW()-4</f>
        <v>363</v>
      </c>
      <c r="B367" s="13"/>
      <c r="C367" s="14"/>
      <c r="D367" s="15"/>
      <c r="E367" s="14"/>
      <c r="F367" s="15"/>
      <c r="G367" s="16"/>
      <c r="H367" s="17"/>
      <c r="I367" s="18"/>
      <c r="J367" s="19"/>
      <c r="K367" s="14"/>
      <c r="L367" s="17"/>
      <c r="M367" s="19"/>
      <c r="N367" s="20"/>
      <c r="O367" s="19"/>
      <c r="P367" s="21"/>
      <c r="Q367" s="22" t="str">
        <f aca="false">IF(L367="","",IF(M367&lt;&gt;"",M367*L367*100,IF(AND(O367&lt;&gt;"",B367&lt;&gt;""),IFERROR(AVERAGEIF($B$5:$B$1004,B367,$M$5:$M$1004)*L367*100,""),"")))</f>
        <v/>
      </c>
      <c r="R367" s="22" t="str">
        <f aca="false">IF(AND(O367&lt;&gt;"",L367&lt;&gt;""),O367*L367*100,"")</f>
        <v/>
      </c>
      <c r="S367" s="23" t="str">
        <f aca="false">IF(AND(P367&lt;&gt;"",L367&lt;&gt;""),P367*L367*100,"")</f>
        <v/>
      </c>
      <c r="T367" s="24" t="str">
        <f aca="false">IF(AND(Q367&lt;&gt;"",R367&lt;&gt;""),R367-Q367,"")</f>
        <v/>
      </c>
      <c r="U367" s="25" t="str">
        <f aca="false">IF(AND(Q367&lt;&gt;"",Q367&lt;&gt;0,T367&lt;&gt;""),T367/Q367,"")</f>
        <v/>
      </c>
      <c r="V367" s="26" t="str">
        <f aca="false">IF(AND(S367&lt;&gt;"",Q367&lt;&gt;""),S367-Q367,"")</f>
        <v/>
      </c>
      <c r="W367" s="27" t="str">
        <f aca="false">IF(AND(Q367&lt;&gt;"",Q367&lt;&gt;0,V367&lt;&gt;""),V367/Q367,"")</f>
        <v/>
      </c>
      <c r="X367" s="28" t="s">
        <v>37</v>
      </c>
      <c r="Y367" s="29" t="str">
        <f aca="false">IF(AND(O367&lt;&gt;"",M367&lt;&gt;"",O367&gt;M367),CONCATENATE("1 : ",TEXT((O367-M367)/M367,"0.00")),IF(AND(O367&lt;&gt;"",M367&lt;&gt;"",O367&lt;M367),CONCATENATE("-1 : ",TEXT((M367-O367)/M367,"0.00")),"—"))</f>
        <v>—</v>
      </c>
      <c r="Z367" s="30" t="str">
        <f aca="false">IF(AND(P367&lt;&gt;"",M367&lt;&gt;"",P367&gt;M367),CONCATENATE("1 : ",TEXT((P367-M367)/M367,"0.00")),"—")</f>
        <v>—</v>
      </c>
      <c r="AA367" s="31" t="str">
        <f aca="false">IF(AND(C367&lt;&gt;"",E367&lt;&gt;""),E367-C367,"")</f>
        <v/>
      </c>
      <c r="AB367" s="17"/>
      <c r="AC367" s="32"/>
      <c r="AD367" s="33"/>
      <c r="AE367" s="34" t="str">
        <f aca="false">IF(G367&lt;&gt;"",HYPERLINK("https://www.tradingview.com/chart/?symbol="&amp;G367&amp;"&amp;interval=60&amp;from="&amp;(AG367-10*3600)&amp;"&amp;to="&amp;(AG367+50*3600),"📈 1H"),"")</f>
        <v/>
      </c>
      <c r="AF367" s="35" t="str">
        <f aca="false">IF(G367&lt;&gt;"",HYPERLINK("https://www.tradingview.com/chart/?symbol="&amp;G367&amp;"&amp;interval=240&amp;from="&amp;(AG367-10*14400)&amp;"&amp;to="&amp;(AG367+50*14400),"📈 4H"),"")</f>
        <v/>
      </c>
      <c r="AG367" s="36" t="str">
        <f aca="false">IF(C367&lt;&gt;"",INT((C367+IF(D367&lt;&gt;"",D367,0)-DATE(1970,1,1))*86400),"")</f>
        <v/>
      </c>
    </row>
    <row r="368" customFormat="false" ht="19.5" hidden="false" customHeight="true" outlineLevel="0" collapsed="false">
      <c r="A368" s="37" t="n">
        <f aca="false">ROW()-4</f>
        <v>364</v>
      </c>
      <c r="B368" s="38"/>
      <c r="C368" s="39"/>
      <c r="D368" s="40"/>
      <c r="E368" s="39"/>
      <c r="F368" s="40"/>
      <c r="G368" s="41"/>
      <c r="H368" s="42"/>
      <c r="I368" s="43"/>
      <c r="J368" s="44"/>
      <c r="K368" s="39"/>
      <c r="L368" s="42"/>
      <c r="M368" s="44"/>
      <c r="N368" s="45"/>
      <c r="O368" s="44"/>
      <c r="P368" s="46"/>
      <c r="Q368" s="47" t="str">
        <f aca="false">IF(L368="","",IF(M368&lt;&gt;"",M368*L368*100,IF(AND(O368&lt;&gt;"",B368&lt;&gt;""),IFERROR(AVERAGEIF($B$5:$B$1004,B368,$M$5:$M$1004)*L368*100,""),"")))</f>
        <v/>
      </c>
      <c r="R368" s="47" t="str">
        <f aca="false">IF(AND(O368&lt;&gt;"",L368&lt;&gt;""),O368*L368*100,"")</f>
        <v/>
      </c>
      <c r="S368" s="48" t="str">
        <f aca="false">IF(AND(P368&lt;&gt;"",L368&lt;&gt;""),P368*L368*100,"")</f>
        <v/>
      </c>
      <c r="T368" s="49" t="str">
        <f aca="false">IF(AND(Q368&lt;&gt;"",R368&lt;&gt;""),R368-Q368,"")</f>
        <v/>
      </c>
      <c r="U368" s="50" t="str">
        <f aca="false">IF(AND(Q368&lt;&gt;"",Q368&lt;&gt;0,T368&lt;&gt;""),T368/Q368,"")</f>
        <v/>
      </c>
      <c r="V368" s="51" t="str">
        <f aca="false">IF(AND(S368&lt;&gt;"",Q368&lt;&gt;""),S368-Q368,"")</f>
        <v/>
      </c>
      <c r="W368" s="52" t="str">
        <f aca="false">IF(AND(Q368&lt;&gt;"",Q368&lt;&gt;0,V368&lt;&gt;""),V368/Q368,"")</f>
        <v/>
      </c>
      <c r="X368" s="53" t="s">
        <v>37</v>
      </c>
      <c r="Y368" s="54" t="str">
        <f aca="false">IF(AND(O368&lt;&gt;"",M368&lt;&gt;"",O368&gt;M368),CONCATENATE("1 : ",TEXT((O368-M368)/M368,"0.00")),IF(AND(O368&lt;&gt;"",M368&lt;&gt;"",O368&lt;M368),CONCATENATE("-1 : ",TEXT((M368-O368)/M368,"0.00")),"—"))</f>
        <v>—</v>
      </c>
      <c r="Z368" s="55" t="str">
        <f aca="false">IF(AND(P368&lt;&gt;"",M368&lt;&gt;"",P368&gt;M368),CONCATENATE("1 : ",TEXT((P368-M368)/M368,"0.00")),"—")</f>
        <v>—</v>
      </c>
      <c r="AA368" s="56" t="str">
        <f aca="false">IF(AND(C368&lt;&gt;"",E368&lt;&gt;""),E368-C368,"")</f>
        <v/>
      </c>
      <c r="AB368" s="42"/>
      <c r="AC368" s="57"/>
      <c r="AD368" s="58"/>
      <c r="AE368" s="59" t="str">
        <f aca="false">IF(G368&lt;&gt;"",HYPERLINK("https://www.tradingview.com/chart/?symbol="&amp;G368&amp;"&amp;interval=60&amp;from="&amp;(AG368-10*3600)&amp;"&amp;to="&amp;(AG368+50*3600),"📈 1H"),"")</f>
        <v/>
      </c>
      <c r="AF368" s="60" t="str">
        <f aca="false">IF(G368&lt;&gt;"",HYPERLINK("https://www.tradingview.com/chart/?symbol="&amp;G368&amp;"&amp;interval=240&amp;from="&amp;(AG368-10*14400)&amp;"&amp;to="&amp;(AG368+50*14400),"📈 4H"),"")</f>
        <v/>
      </c>
      <c r="AG368" s="36" t="str">
        <f aca="false">IF(C368&lt;&gt;"",INT((C368+IF(D368&lt;&gt;"",D368,0)-DATE(1970,1,1))*86400),"")</f>
        <v/>
      </c>
    </row>
    <row r="369" customFormat="false" ht="19.5" hidden="false" customHeight="true" outlineLevel="0" collapsed="false">
      <c r="A369" s="12" t="n">
        <f aca="false">ROW()-4</f>
        <v>365</v>
      </c>
      <c r="B369" s="13"/>
      <c r="C369" s="14"/>
      <c r="D369" s="15"/>
      <c r="E369" s="14"/>
      <c r="F369" s="15"/>
      <c r="G369" s="16"/>
      <c r="H369" s="17"/>
      <c r="I369" s="18"/>
      <c r="J369" s="19"/>
      <c r="K369" s="14"/>
      <c r="L369" s="17"/>
      <c r="M369" s="19"/>
      <c r="N369" s="20"/>
      <c r="O369" s="19"/>
      <c r="P369" s="21"/>
      <c r="Q369" s="22" t="str">
        <f aca="false">IF(L369="","",IF(M369&lt;&gt;"",M369*L369*100,IF(AND(O369&lt;&gt;"",B369&lt;&gt;""),IFERROR(AVERAGEIF($B$5:$B$1004,B369,$M$5:$M$1004)*L369*100,""),"")))</f>
        <v/>
      </c>
      <c r="R369" s="22" t="str">
        <f aca="false">IF(AND(O369&lt;&gt;"",L369&lt;&gt;""),O369*L369*100,"")</f>
        <v/>
      </c>
      <c r="S369" s="23" t="str">
        <f aca="false">IF(AND(P369&lt;&gt;"",L369&lt;&gt;""),P369*L369*100,"")</f>
        <v/>
      </c>
      <c r="T369" s="24" t="str">
        <f aca="false">IF(AND(Q369&lt;&gt;"",R369&lt;&gt;""),R369-Q369,"")</f>
        <v/>
      </c>
      <c r="U369" s="25" t="str">
        <f aca="false">IF(AND(Q369&lt;&gt;"",Q369&lt;&gt;0,T369&lt;&gt;""),T369/Q369,"")</f>
        <v/>
      </c>
      <c r="V369" s="26" t="str">
        <f aca="false">IF(AND(S369&lt;&gt;"",Q369&lt;&gt;""),S369-Q369,"")</f>
        <v/>
      </c>
      <c r="W369" s="27" t="str">
        <f aca="false">IF(AND(Q369&lt;&gt;"",Q369&lt;&gt;0,V369&lt;&gt;""),V369/Q369,"")</f>
        <v/>
      </c>
      <c r="X369" s="28" t="s">
        <v>37</v>
      </c>
      <c r="Y369" s="29" t="str">
        <f aca="false">IF(AND(O369&lt;&gt;"",M369&lt;&gt;"",O369&gt;M369),CONCATENATE("1 : ",TEXT((O369-M369)/M369,"0.00")),IF(AND(O369&lt;&gt;"",M369&lt;&gt;"",O369&lt;M369),CONCATENATE("-1 : ",TEXT((M369-O369)/M369,"0.00")),"—"))</f>
        <v>—</v>
      </c>
      <c r="Z369" s="30" t="str">
        <f aca="false">IF(AND(P369&lt;&gt;"",M369&lt;&gt;"",P369&gt;M369),CONCATENATE("1 : ",TEXT((P369-M369)/M369,"0.00")),"—")</f>
        <v>—</v>
      </c>
      <c r="AA369" s="31" t="str">
        <f aca="false">IF(AND(C369&lt;&gt;"",E369&lt;&gt;""),E369-C369,"")</f>
        <v/>
      </c>
      <c r="AB369" s="17"/>
      <c r="AC369" s="32"/>
      <c r="AD369" s="33"/>
      <c r="AE369" s="34" t="str">
        <f aca="false">IF(G369&lt;&gt;"",HYPERLINK("https://www.tradingview.com/chart/?symbol="&amp;G369&amp;"&amp;interval=60&amp;from="&amp;(AG369-10*3600)&amp;"&amp;to="&amp;(AG369+50*3600),"📈 1H"),"")</f>
        <v/>
      </c>
      <c r="AF369" s="35" t="str">
        <f aca="false">IF(G369&lt;&gt;"",HYPERLINK("https://www.tradingview.com/chart/?symbol="&amp;G369&amp;"&amp;interval=240&amp;from="&amp;(AG369-10*14400)&amp;"&amp;to="&amp;(AG369+50*14400),"📈 4H"),"")</f>
        <v/>
      </c>
      <c r="AG369" s="36" t="str">
        <f aca="false">IF(C369&lt;&gt;"",INT((C369+IF(D369&lt;&gt;"",D369,0)-DATE(1970,1,1))*86400),"")</f>
        <v/>
      </c>
    </row>
    <row r="370" customFormat="false" ht="19.5" hidden="false" customHeight="true" outlineLevel="0" collapsed="false">
      <c r="A370" s="37" t="n">
        <f aca="false">ROW()-4</f>
        <v>366</v>
      </c>
      <c r="B370" s="38"/>
      <c r="C370" s="39"/>
      <c r="D370" s="40"/>
      <c r="E370" s="39"/>
      <c r="F370" s="40"/>
      <c r="G370" s="41"/>
      <c r="H370" s="42"/>
      <c r="I370" s="43"/>
      <c r="J370" s="44"/>
      <c r="K370" s="39"/>
      <c r="L370" s="42"/>
      <c r="M370" s="44"/>
      <c r="N370" s="45"/>
      <c r="O370" s="44"/>
      <c r="P370" s="46"/>
      <c r="Q370" s="47" t="str">
        <f aca="false">IF(L370="","",IF(M370&lt;&gt;"",M370*L370*100,IF(AND(O370&lt;&gt;"",B370&lt;&gt;""),IFERROR(AVERAGEIF($B$5:$B$1004,B370,$M$5:$M$1004)*L370*100,""),"")))</f>
        <v/>
      </c>
      <c r="R370" s="47" t="str">
        <f aca="false">IF(AND(O370&lt;&gt;"",L370&lt;&gt;""),O370*L370*100,"")</f>
        <v/>
      </c>
      <c r="S370" s="48" t="str">
        <f aca="false">IF(AND(P370&lt;&gt;"",L370&lt;&gt;""),P370*L370*100,"")</f>
        <v/>
      </c>
      <c r="T370" s="49" t="str">
        <f aca="false">IF(AND(Q370&lt;&gt;"",R370&lt;&gt;""),R370-Q370,"")</f>
        <v/>
      </c>
      <c r="U370" s="50" t="str">
        <f aca="false">IF(AND(Q370&lt;&gt;"",Q370&lt;&gt;0,T370&lt;&gt;""),T370/Q370,"")</f>
        <v/>
      </c>
      <c r="V370" s="51" t="str">
        <f aca="false">IF(AND(S370&lt;&gt;"",Q370&lt;&gt;""),S370-Q370,"")</f>
        <v/>
      </c>
      <c r="W370" s="52" t="str">
        <f aca="false">IF(AND(Q370&lt;&gt;"",Q370&lt;&gt;0,V370&lt;&gt;""),V370/Q370,"")</f>
        <v/>
      </c>
      <c r="X370" s="53" t="s">
        <v>37</v>
      </c>
      <c r="Y370" s="54" t="str">
        <f aca="false">IF(AND(O370&lt;&gt;"",M370&lt;&gt;"",O370&gt;M370),CONCATENATE("1 : ",TEXT((O370-M370)/M370,"0.00")),IF(AND(O370&lt;&gt;"",M370&lt;&gt;"",O370&lt;M370),CONCATENATE("-1 : ",TEXT((M370-O370)/M370,"0.00")),"—"))</f>
        <v>—</v>
      </c>
      <c r="Z370" s="55" t="str">
        <f aca="false">IF(AND(P370&lt;&gt;"",M370&lt;&gt;"",P370&gt;M370),CONCATENATE("1 : ",TEXT((P370-M370)/M370,"0.00")),"—")</f>
        <v>—</v>
      </c>
      <c r="AA370" s="56" t="str">
        <f aca="false">IF(AND(C370&lt;&gt;"",E370&lt;&gt;""),E370-C370,"")</f>
        <v/>
      </c>
      <c r="AB370" s="42"/>
      <c r="AC370" s="57"/>
      <c r="AD370" s="58"/>
      <c r="AE370" s="59" t="str">
        <f aca="false">IF(G370&lt;&gt;"",HYPERLINK("https://www.tradingview.com/chart/?symbol="&amp;G370&amp;"&amp;interval=60&amp;from="&amp;(AG370-10*3600)&amp;"&amp;to="&amp;(AG370+50*3600),"📈 1H"),"")</f>
        <v/>
      </c>
      <c r="AF370" s="60" t="str">
        <f aca="false">IF(G370&lt;&gt;"",HYPERLINK("https://www.tradingview.com/chart/?symbol="&amp;G370&amp;"&amp;interval=240&amp;from="&amp;(AG370-10*14400)&amp;"&amp;to="&amp;(AG370+50*14400),"📈 4H"),"")</f>
        <v/>
      </c>
      <c r="AG370" s="36" t="str">
        <f aca="false">IF(C370&lt;&gt;"",INT((C370+IF(D370&lt;&gt;"",D370,0)-DATE(1970,1,1))*86400),"")</f>
        <v/>
      </c>
    </row>
    <row r="371" customFormat="false" ht="19.5" hidden="false" customHeight="true" outlineLevel="0" collapsed="false">
      <c r="A371" s="12" t="n">
        <f aca="false">ROW()-4</f>
        <v>367</v>
      </c>
      <c r="B371" s="13"/>
      <c r="C371" s="14"/>
      <c r="D371" s="15"/>
      <c r="E371" s="14"/>
      <c r="F371" s="15"/>
      <c r="G371" s="16"/>
      <c r="H371" s="17"/>
      <c r="I371" s="18"/>
      <c r="J371" s="19"/>
      <c r="K371" s="14"/>
      <c r="L371" s="17"/>
      <c r="M371" s="19"/>
      <c r="N371" s="20"/>
      <c r="O371" s="19"/>
      <c r="P371" s="21"/>
      <c r="Q371" s="22" t="str">
        <f aca="false">IF(L371="","",IF(M371&lt;&gt;"",M371*L371*100,IF(AND(O371&lt;&gt;"",B371&lt;&gt;""),IFERROR(AVERAGEIF($B$5:$B$1004,B371,$M$5:$M$1004)*L371*100,""),"")))</f>
        <v/>
      </c>
      <c r="R371" s="22" t="str">
        <f aca="false">IF(AND(O371&lt;&gt;"",L371&lt;&gt;""),O371*L371*100,"")</f>
        <v/>
      </c>
      <c r="S371" s="23" t="str">
        <f aca="false">IF(AND(P371&lt;&gt;"",L371&lt;&gt;""),P371*L371*100,"")</f>
        <v/>
      </c>
      <c r="T371" s="24" t="str">
        <f aca="false">IF(AND(Q371&lt;&gt;"",R371&lt;&gt;""),R371-Q371,"")</f>
        <v/>
      </c>
      <c r="U371" s="25" t="str">
        <f aca="false">IF(AND(Q371&lt;&gt;"",Q371&lt;&gt;0,T371&lt;&gt;""),T371/Q371,"")</f>
        <v/>
      </c>
      <c r="V371" s="26" t="str">
        <f aca="false">IF(AND(S371&lt;&gt;"",Q371&lt;&gt;""),S371-Q371,"")</f>
        <v/>
      </c>
      <c r="W371" s="27" t="str">
        <f aca="false">IF(AND(Q371&lt;&gt;"",Q371&lt;&gt;0,V371&lt;&gt;""),V371/Q371,"")</f>
        <v/>
      </c>
      <c r="X371" s="28" t="s">
        <v>37</v>
      </c>
      <c r="Y371" s="29" t="str">
        <f aca="false">IF(AND(O371&lt;&gt;"",M371&lt;&gt;"",O371&gt;M371),CONCATENATE("1 : ",TEXT((O371-M371)/M371,"0.00")),IF(AND(O371&lt;&gt;"",M371&lt;&gt;"",O371&lt;M371),CONCATENATE("-1 : ",TEXT((M371-O371)/M371,"0.00")),"—"))</f>
        <v>—</v>
      </c>
      <c r="Z371" s="30" t="str">
        <f aca="false">IF(AND(P371&lt;&gt;"",M371&lt;&gt;"",P371&gt;M371),CONCATENATE("1 : ",TEXT((P371-M371)/M371,"0.00")),"—")</f>
        <v>—</v>
      </c>
      <c r="AA371" s="31" t="str">
        <f aca="false">IF(AND(C371&lt;&gt;"",E371&lt;&gt;""),E371-C371,"")</f>
        <v/>
      </c>
      <c r="AB371" s="17"/>
      <c r="AC371" s="32"/>
      <c r="AD371" s="33"/>
      <c r="AE371" s="34" t="str">
        <f aca="false">IF(G371&lt;&gt;"",HYPERLINK("https://www.tradingview.com/chart/?symbol="&amp;G371&amp;"&amp;interval=60&amp;from="&amp;(AG371-10*3600)&amp;"&amp;to="&amp;(AG371+50*3600),"📈 1H"),"")</f>
        <v/>
      </c>
      <c r="AF371" s="35" t="str">
        <f aca="false">IF(G371&lt;&gt;"",HYPERLINK("https://www.tradingview.com/chart/?symbol="&amp;G371&amp;"&amp;interval=240&amp;from="&amp;(AG371-10*14400)&amp;"&amp;to="&amp;(AG371+50*14400),"📈 4H"),"")</f>
        <v/>
      </c>
      <c r="AG371" s="36" t="str">
        <f aca="false">IF(C371&lt;&gt;"",INT((C371+IF(D371&lt;&gt;"",D371,0)-DATE(1970,1,1))*86400),"")</f>
        <v/>
      </c>
    </row>
    <row r="372" customFormat="false" ht="19.5" hidden="false" customHeight="true" outlineLevel="0" collapsed="false">
      <c r="A372" s="37" t="n">
        <f aca="false">ROW()-4</f>
        <v>368</v>
      </c>
      <c r="B372" s="38"/>
      <c r="C372" s="39"/>
      <c r="D372" s="40"/>
      <c r="E372" s="39"/>
      <c r="F372" s="40"/>
      <c r="G372" s="41"/>
      <c r="H372" s="42"/>
      <c r="I372" s="43"/>
      <c r="J372" s="44"/>
      <c r="K372" s="39"/>
      <c r="L372" s="42"/>
      <c r="M372" s="44"/>
      <c r="N372" s="45"/>
      <c r="O372" s="44"/>
      <c r="P372" s="46"/>
      <c r="Q372" s="47" t="str">
        <f aca="false">IF(L372="","",IF(M372&lt;&gt;"",M372*L372*100,IF(AND(O372&lt;&gt;"",B372&lt;&gt;""),IFERROR(AVERAGEIF($B$5:$B$1004,B372,$M$5:$M$1004)*L372*100,""),"")))</f>
        <v/>
      </c>
      <c r="R372" s="47" t="str">
        <f aca="false">IF(AND(O372&lt;&gt;"",L372&lt;&gt;""),O372*L372*100,"")</f>
        <v/>
      </c>
      <c r="S372" s="48" t="str">
        <f aca="false">IF(AND(P372&lt;&gt;"",L372&lt;&gt;""),P372*L372*100,"")</f>
        <v/>
      </c>
      <c r="T372" s="49" t="str">
        <f aca="false">IF(AND(Q372&lt;&gt;"",R372&lt;&gt;""),R372-Q372,"")</f>
        <v/>
      </c>
      <c r="U372" s="50" t="str">
        <f aca="false">IF(AND(Q372&lt;&gt;"",Q372&lt;&gt;0,T372&lt;&gt;""),T372/Q372,"")</f>
        <v/>
      </c>
      <c r="V372" s="51" t="str">
        <f aca="false">IF(AND(S372&lt;&gt;"",Q372&lt;&gt;""),S372-Q372,"")</f>
        <v/>
      </c>
      <c r="W372" s="52" t="str">
        <f aca="false">IF(AND(Q372&lt;&gt;"",Q372&lt;&gt;0,V372&lt;&gt;""),V372/Q372,"")</f>
        <v/>
      </c>
      <c r="X372" s="53" t="s">
        <v>37</v>
      </c>
      <c r="Y372" s="54" t="str">
        <f aca="false">IF(AND(O372&lt;&gt;"",M372&lt;&gt;"",O372&gt;M372),CONCATENATE("1 : ",TEXT((O372-M372)/M372,"0.00")),IF(AND(O372&lt;&gt;"",M372&lt;&gt;"",O372&lt;M372),CONCATENATE("-1 : ",TEXT((M372-O372)/M372,"0.00")),"—"))</f>
        <v>—</v>
      </c>
      <c r="Z372" s="55" t="str">
        <f aca="false">IF(AND(P372&lt;&gt;"",M372&lt;&gt;"",P372&gt;M372),CONCATENATE("1 : ",TEXT((P372-M372)/M372,"0.00")),"—")</f>
        <v>—</v>
      </c>
      <c r="AA372" s="56" t="str">
        <f aca="false">IF(AND(C372&lt;&gt;"",E372&lt;&gt;""),E372-C372,"")</f>
        <v/>
      </c>
      <c r="AB372" s="42"/>
      <c r="AC372" s="57"/>
      <c r="AD372" s="58"/>
      <c r="AE372" s="59" t="str">
        <f aca="false">IF(G372&lt;&gt;"",HYPERLINK("https://www.tradingview.com/chart/?symbol="&amp;G372&amp;"&amp;interval=60&amp;from="&amp;(AG372-10*3600)&amp;"&amp;to="&amp;(AG372+50*3600),"📈 1H"),"")</f>
        <v/>
      </c>
      <c r="AF372" s="60" t="str">
        <f aca="false">IF(G372&lt;&gt;"",HYPERLINK("https://www.tradingview.com/chart/?symbol="&amp;G372&amp;"&amp;interval=240&amp;from="&amp;(AG372-10*14400)&amp;"&amp;to="&amp;(AG372+50*14400),"📈 4H"),"")</f>
        <v/>
      </c>
      <c r="AG372" s="36" t="str">
        <f aca="false">IF(C372&lt;&gt;"",INT((C372+IF(D372&lt;&gt;"",D372,0)-DATE(1970,1,1))*86400),"")</f>
        <v/>
      </c>
    </row>
    <row r="373" customFormat="false" ht="19.5" hidden="false" customHeight="true" outlineLevel="0" collapsed="false">
      <c r="A373" s="12" t="n">
        <f aca="false">ROW()-4</f>
        <v>369</v>
      </c>
      <c r="B373" s="13"/>
      <c r="C373" s="14"/>
      <c r="D373" s="15"/>
      <c r="E373" s="14"/>
      <c r="F373" s="15"/>
      <c r="G373" s="16"/>
      <c r="H373" s="17"/>
      <c r="I373" s="18"/>
      <c r="J373" s="19"/>
      <c r="K373" s="14"/>
      <c r="L373" s="17"/>
      <c r="M373" s="19"/>
      <c r="N373" s="20"/>
      <c r="O373" s="19"/>
      <c r="P373" s="21"/>
      <c r="Q373" s="22" t="str">
        <f aca="false">IF(L373="","",IF(M373&lt;&gt;"",M373*L373*100,IF(AND(O373&lt;&gt;"",B373&lt;&gt;""),IFERROR(AVERAGEIF($B$5:$B$1004,B373,$M$5:$M$1004)*L373*100,""),"")))</f>
        <v/>
      </c>
      <c r="R373" s="22" t="str">
        <f aca="false">IF(AND(O373&lt;&gt;"",L373&lt;&gt;""),O373*L373*100,"")</f>
        <v/>
      </c>
      <c r="S373" s="23" t="str">
        <f aca="false">IF(AND(P373&lt;&gt;"",L373&lt;&gt;""),P373*L373*100,"")</f>
        <v/>
      </c>
      <c r="T373" s="24" t="str">
        <f aca="false">IF(AND(Q373&lt;&gt;"",R373&lt;&gt;""),R373-Q373,"")</f>
        <v/>
      </c>
      <c r="U373" s="25" t="str">
        <f aca="false">IF(AND(Q373&lt;&gt;"",Q373&lt;&gt;0,T373&lt;&gt;""),T373/Q373,"")</f>
        <v/>
      </c>
      <c r="V373" s="26" t="str">
        <f aca="false">IF(AND(S373&lt;&gt;"",Q373&lt;&gt;""),S373-Q373,"")</f>
        <v/>
      </c>
      <c r="W373" s="27" t="str">
        <f aca="false">IF(AND(Q373&lt;&gt;"",Q373&lt;&gt;0,V373&lt;&gt;""),V373/Q373,"")</f>
        <v/>
      </c>
      <c r="X373" s="28" t="s">
        <v>37</v>
      </c>
      <c r="Y373" s="29" t="str">
        <f aca="false">IF(AND(O373&lt;&gt;"",M373&lt;&gt;"",O373&gt;M373),CONCATENATE("1 : ",TEXT((O373-M373)/M373,"0.00")),IF(AND(O373&lt;&gt;"",M373&lt;&gt;"",O373&lt;M373),CONCATENATE("-1 : ",TEXT((M373-O373)/M373,"0.00")),"—"))</f>
        <v>—</v>
      </c>
      <c r="Z373" s="30" t="str">
        <f aca="false">IF(AND(P373&lt;&gt;"",M373&lt;&gt;"",P373&gt;M373),CONCATENATE("1 : ",TEXT((P373-M373)/M373,"0.00")),"—")</f>
        <v>—</v>
      </c>
      <c r="AA373" s="31" t="str">
        <f aca="false">IF(AND(C373&lt;&gt;"",E373&lt;&gt;""),E373-C373,"")</f>
        <v/>
      </c>
      <c r="AB373" s="17"/>
      <c r="AC373" s="32"/>
      <c r="AD373" s="33"/>
      <c r="AE373" s="34" t="str">
        <f aca="false">IF(G373&lt;&gt;"",HYPERLINK("https://www.tradingview.com/chart/?symbol="&amp;G373&amp;"&amp;interval=60&amp;from="&amp;(AG373-10*3600)&amp;"&amp;to="&amp;(AG373+50*3600),"📈 1H"),"")</f>
        <v/>
      </c>
      <c r="AF373" s="35" t="str">
        <f aca="false">IF(G373&lt;&gt;"",HYPERLINK("https://www.tradingview.com/chart/?symbol="&amp;G373&amp;"&amp;interval=240&amp;from="&amp;(AG373-10*14400)&amp;"&amp;to="&amp;(AG373+50*14400),"📈 4H"),"")</f>
        <v/>
      </c>
      <c r="AG373" s="36" t="str">
        <f aca="false">IF(C373&lt;&gt;"",INT((C373+IF(D373&lt;&gt;"",D373,0)-DATE(1970,1,1))*86400),"")</f>
        <v/>
      </c>
    </row>
    <row r="374" customFormat="false" ht="19.5" hidden="false" customHeight="true" outlineLevel="0" collapsed="false">
      <c r="A374" s="37" t="n">
        <f aca="false">ROW()-4</f>
        <v>370</v>
      </c>
      <c r="B374" s="38"/>
      <c r="C374" s="39"/>
      <c r="D374" s="40"/>
      <c r="E374" s="39"/>
      <c r="F374" s="40"/>
      <c r="G374" s="41"/>
      <c r="H374" s="42"/>
      <c r="I374" s="43"/>
      <c r="J374" s="44"/>
      <c r="K374" s="39"/>
      <c r="L374" s="42"/>
      <c r="M374" s="44"/>
      <c r="N374" s="45"/>
      <c r="O374" s="44"/>
      <c r="P374" s="46"/>
      <c r="Q374" s="47" t="str">
        <f aca="false">IF(L374="","",IF(M374&lt;&gt;"",M374*L374*100,IF(AND(O374&lt;&gt;"",B374&lt;&gt;""),IFERROR(AVERAGEIF($B$5:$B$1004,B374,$M$5:$M$1004)*L374*100,""),"")))</f>
        <v/>
      </c>
      <c r="R374" s="47" t="str">
        <f aca="false">IF(AND(O374&lt;&gt;"",L374&lt;&gt;""),O374*L374*100,"")</f>
        <v/>
      </c>
      <c r="S374" s="48" t="str">
        <f aca="false">IF(AND(P374&lt;&gt;"",L374&lt;&gt;""),P374*L374*100,"")</f>
        <v/>
      </c>
      <c r="T374" s="49" t="str">
        <f aca="false">IF(AND(Q374&lt;&gt;"",R374&lt;&gt;""),R374-Q374,"")</f>
        <v/>
      </c>
      <c r="U374" s="50" t="str">
        <f aca="false">IF(AND(Q374&lt;&gt;"",Q374&lt;&gt;0,T374&lt;&gt;""),T374/Q374,"")</f>
        <v/>
      </c>
      <c r="V374" s="51" t="str">
        <f aca="false">IF(AND(S374&lt;&gt;"",Q374&lt;&gt;""),S374-Q374,"")</f>
        <v/>
      </c>
      <c r="W374" s="52" t="str">
        <f aca="false">IF(AND(Q374&lt;&gt;"",Q374&lt;&gt;0,V374&lt;&gt;""),V374/Q374,"")</f>
        <v/>
      </c>
      <c r="X374" s="53" t="s">
        <v>37</v>
      </c>
      <c r="Y374" s="54" t="str">
        <f aca="false">IF(AND(O374&lt;&gt;"",M374&lt;&gt;"",O374&gt;M374),CONCATENATE("1 : ",TEXT((O374-M374)/M374,"0.00")),IF(AND(O374&lt;&gt;"",M374&lt;&gt;"",O374&lt;M374),CONCATENATE("-1 : ",TEXT((M374-O374)/M374,"0.00")),"—"))</f>
        <v>—</v>
      </c>
      <c r="Z374" s="55" t="str">
        <f aca="false">IF(AND(P374&lt;&gt;"",M374&lt;&gt;"",P374&gt;M374),CONCATENATE("1 : ",TEXT((P374-M374)/M374,"0.00")),"—")</f>
        <v>—</v>
      </c>
      <c r="AA374" s="56" t="str">
        <f aca="false">IF(AND(C374&lt;&gt;"",E374&lt;&gt;""),E374-C374,"")</f>
        <v/>
      </c>
      <c r="AB374" s="42"/>
      <c r="AC374" s="57"/>
      <c r="AD374" s="58"/>
      <c r="AE374" s="59" t="str">
        <f aca="false">IF(G374&lt;&gt;"",HYPERLINK("https://www.tradingview.com/chart/?symbol="&amp;G374&amp;"&amp;interval=60&amp;from="&amp;(AG374-10*3600)&amp;"&amp;to="&amp;(AG374+50*3600),"📈 1H"),"")</f>
        <v/>
      </c>
      <c r="AF374" s="60" t="str">
        <f aca="false">IF(G374&lt;&gt;"",HYPERLINK("https://www.tradingview.com/chart/?symbol="&amp;G374&amp;"&amp;interval=240&amp;from="&amp;(AG374-10*14400)&amp;"&amp;to="&amp;(AG374+50*14400),"📈 4H"),"")</f>
        <v/>
      </c>
      <c r="AG374" s="36" t="str">
        <f aca="false">IF(C374&lt;&gt;"",INT((C374+IF(D374&lt;&gt;"",D374,0)-DATE(1970,1,1))*86400),"")</f>
        <v/>
      </c>
    </row>
    <row r="375" customFormat="false" ht="19.5" hidden="false" customHeight="true" outlineLevel="0" collapsed="false">
      <c r="A375" s="12" t="n">
        <f aca="false">ROW()-4</f>
        <v>371</v>
      </c>
      <c r="B375" s="13"/>
      <c r="C375" s="14"/>
      <c r="D375" s="15"/>
      <c r="E375" s="14"/>
      <c r="F375" s="15"/>
      <c r="G375" s="16"/>
      <c r="H375" s="17"/>
      <c r="I375" s="18"/>
      <c r="J375" s="19"/>
      <c r="K375" s="14"/>
      <c r="L375" s="17"/>
      <c r="M375" s="19"/>
      <c r="N375" s="20"/>
      <c r="O375" s="19"/>
      <c r="P375" s="21"/>
      <c r="Q375" s="22" t="str">
        <f aca="false">IF(L375="","",IF(M375&lt;&gt;"",M375*L375*100,IF(AND(O375&lt;&gt;"",B375&lt;&gt;""),IFERROR(AVERAGEIF($B$5:$B$1004,B375,$M$5:$M$1004)*L375*100,""),"")))</f>
        <v/>
      </c>
      <c r="R375" s="22" t="str">
        <f aca="false">IF(AND(O375&lt;&gt;"",L375&lt;&gt;""),O375*L375*100,"")</f>
        <v/>
      </c>
      <c r="S375" s="23" t="str">
        <f aca="false">IF(AND(P375&lt;&gt;"",L375&lt;&gt;""),P375*L375*100,"")</f>
        <v/>
      </c>
      <c r="T375" s="24" t="str">
        <f aca="false">IF(AND(Q375&lt;&gt;"",R375&lt;&gt;""),R375-Q375,"")</f>
        <v/>
      </c>
      <c r="U375" s="25" t="str">
        <f aca="false">IF(AND(Q375&lt;&gt;"",Q375&lt;&gt;0,T375&lt;&gt;""),T375/Q375,"")</f>
        <v/>
      </c>
      <c r="V375" s="26" t="str">
        <f aca="false">IF(AND(S375&lt;&gt;"",Q375&lt;&gt;""),S375-Q375,"")</f>
        <v/>
      </c>
      <c r="W375" s="27" t="str">
        <f aca="false">IF(AND(Q375&lt;&gt;"",Q375&lt;&gt;0,V375&lt;&gt;""),V375/Q375,"")</f>
        <v/>
      </c>
      <c r="X375" s="28" t="s">
        <v>37</v>
      </c>
      <c r="Y375" s="29" t="str">
        <f aca="false">IF(AND(O375&lt;&gt;"",M375&lt;&gt;"",O375&gt;M375),CONCATENATE("1 : ",TEXT((O375-M375)/M375,"0.00")),IF(AND(O375&lt;&gt;"",M375&lt;&gt;"",O375&lt;M375),CONCATENATE("-1 : ",TEXT((M375-O375)/M375,"0.00")),"—"))</f>
        <v>—</v>
      </c>
      <c r="Z375" s="30" t="str">
        <f aca="false">IF(AND(P375&lt;&gt;"",M375&lt;&gt;"",P375&gt;M375),CONCATENATE("1 : ",TEXT((P375-M375)/M375,"0.00")),"—")</f>
        <v>—</v>
      </c>
      <c r="AA375" s="31" t="str">
        <f aca="false">IF(AND(C375&lt;&gt;"",E375&lt;&gt;""),E375-C375,"")</f>
        <v/>
      </c>
      <c r="AB375" s="17"/>
      <c r="AC375" s="32"/>
      <c r="AD375" s="33"/>
      <c r="AE375" s="34" t="str">
        <f aca="false">IF(G375&lt;&gt;"",HYPERLINK("https://www.tradingview.com/chart/?symbol="&amp;G375&amp;"&amp;interval=60&amp;from="&amp;(AG375-10*3600)&amp;"&amp;to="&amp;(AG375+50*3600),"📈 1H"),"")</f>
        <v/>
      </c>
      <c r="AF375" s="35" t="str">
        <f aca="false">IF(G375&lt;&gt;"",HYPERLINK("https://www.tradingview.com/chart/?symbol="&amp;G375&amp;"&amp;interval=240&amp;from="&amp;(AG375-10*14400)&amp;"&amp;to="&amp;(AG375+50*14400),"📈 4H"),"")</f>
        <v/>
      </c>
      <c r="AG375" s="36" t="str">
        <f aca="false">IF(C375&lt;&gt;"",INT((C375+IF(D375&lt;&gt;"",D375,0)-DATE(1970,1,1))*86400),"")</f>
        <v/>
      </c>
    </row>
    <row r="376" customFormat="false" ht="19.5" hidden="false" customHeight="true" outlineLevel="0" collapsed="false">
      <c r="A376" s="37" t="n">
        <f aca="false">ROW()-4</f>
        <v>372</v>
      </c>
      <c r="B376" s="38"/>
      <c r="C376" s="39"/>
      <c r="D376" s="40"/>
      <c r="E376" s="39"/>
      <c r="F376" s="40"/>
      <c r="G376" s="41"/>
      <c r="H376" s="42"/>
      <c r="I376" s="43"/>
      <c r="J376" s="44"/>
      <c r="K376" s="39"/>
      <c r="L376" s="42"/>
      <c r="M376" s="44"/>
      <c r="N376" s="45"/>
      <c r="O376" s="44"/>
      <c r="P376" s="46"/>
      <c r="Q376" s="47" t="str">
        <f aca="false">IF(L376="","",IF(M376&lt;&gt;"",M376*L376*100,IF(AND(O376&lt;&gt;"",B376&lt;&gt;""),IFERROR(AVERAGEIF($B$5:$B$1004,B376,$M$5:$M$1004)*L376*100,""),"")))</f>
        <v/>
      </c>
      <c r="R376" s="47" t="str">
        <f aca="false">IF(AND(O376&lt;&gt;"",L376&lt;&gt;""),O376*L376*100,"")</f>
        <v/>
      </c>
      <c r="S376" s="48" t="str">
        <f aca="false">IF(AND(P376&lt;&gt;"",L376&lt;&gt;""),P376*L376*100,"")</f>
        <v/>
      </c>
      <c r="T376" s="49" t="str">
        <f aca="false">IF(AND(Q376&lt;&gt;"",R376&lt;&gt;""),R376-Q376,"")</f>
        <v/>
      </c>
      <c r="U376" s="50" t="str">
        <f aca="false">IF(AND(Q376&lt;&gt;"",Q376&lt;&gt;0,T376&lt;&gt;""),T376/Q376,"")</f>
        <v/>
      </c>
      <c r="V376" s="51" t="str">
        <f aca="false">IF(AND(S376&lt;&gt;"",Q376&lt;&gt;""),S376-Q376,"")</f>
        <v/>
      </c>
      <c r="W376" s="52" t="str">
        <f aca="false">IF(AND(Q376&lt;&gt;"",Q376&lt;&gt;0,V376&lt;&gt;""),V376/Q376,"")</f>
        <v/>
      </c>
      <c r="X376" s="53" t="s">
        <v>37</v>
      </c>
      <c r="Y376" s="54" t="str">
        <f aca="false">IF(AND(O376&lt;&gt;"",M376&lt;&gt;"",O376&gt;M376),CONCATENATE("1 : ",TEXT((O376-M376)/M376,"0.00")),IF(AND(O376&lt;&gt;"",M376&lt;&gt;"",O376&lt;M376),CONCATENATE("-1 : ",TEXT((M376-O376)/M376,"0.00")),"—"))</f>
        <v>—</v>
      </c>
      <c r="Z376" s="55" t="str">
        <f aca="false">IF(AND(P376&lt;&gt;"",M376&lt;&gt;"",P376&gt;M376),CONCATENATE("1 : ",TEXT((P376-M376)/M376,"0.00")),"—")</f>
        <v>—</v>
      </c>
      <c r="AA376" s="56" t="str">
        <f aca="false">IF(AND(C376&lt;&gt;"",E376&lt;&gt;""),E376-C376,"")</f>
        <v/>
      </c>
      <c r="AB376" s="42"/>
      <c r="AC376" s="57"/>
      <c r="AD376" s="58"/>
      <c r="AE376" s="59" t="str">
        <f aca="false">IF(G376&lt;&gt;"",HYPERLINK("https://www.tradingview.com/chart/?symbol="&amp;G376&amp;"&amp;interval=60&amp;from="&amp;(AG376-10*3600)&amp;"&amp;to="&amp;(AG376+50*3600),"📈 1H"),"")</f>
        <v/>
      </c>
      <c r="AF376" s="60" t="str">
        <f aca="false">IF(G376&lt;&gt;"",HYPERLINK("https://www.tradingview.com/chart/?symbol="&amp;G376&amp;"&amp;interval=240&amp;from="&amp;(AG376-10*14400)&amp;"&amp;to="&amp;(AG376+50*14400),"📈 4H"),"")</f>
        <v/>
      </c>
      <c r="AG376" s="36" t="str">
        <f aca="false">IF(C376&lt;&gt;"",INT((C376+IF(D376&lt;&gt;"",D376,0)-DATE(1970,1,1))*86400),"")</f>
        <v/>
      </c>
    </row>
    <row r="377" customFormat="false" ht="19.5" hidden="false" customHeight="true" outlineLevel="0" collapsed="false">
      <c r="A377" s="12" t="n">
        <f aca="false">ROW()-4</f>
        <v>373</v>
      </c>
      <c r="B377" s="13"/>
      <c r="C377" s="14"/>
      <c r="D377" s="15"/>
      <c r="E377" s="14"/>
      <c r="F377" s="15"/>
      <c r="G377" s="16"/>
      <c r="H377" s="17"/>
      <c r="I377" s="18"/>
      <c r="J377" s="19"/>
      <c r="K377" s="14"/>
      <c r="L377" s="17"/>
      <c r="M377" s="19"/>
      <c r="N377" s="20"/>
      <c r="O377" s="19"/>
      <c r="P377" s="21"/>
      <c r="Q377" s="22" t="str">
        <f aca="false">IF(L377="","",IF(M377&lt;&gt;"",M377*L377*100,IF(AND(O377&lt;&gt;"",B377&lt;&gt;""),IFERROR(AVERAGEIF($B$5:$B$1004,B377,$M$5:$M$1004)*L377*100,""),"")))</f>
        <v/>
      </c>
      <c r="R377" s="22" t="str">
        <f aca="false">IF(AND(O377&lt;&gt;"",L377&lt;&gt;""),O377*L377*100,"")</f>
        <v/>
      </c>
      <c r="S377" s="23" t="str">
        <f aca="false">IF(AND(P377&lt;&gt;"",L377&lt;&gt;""),P377*L377*100,"")</f>
        <v/>
      </c>
      <c r="T377" s="24" t="str">
        <f aca="false">IF(AND(Q377&lt;&gt;"",R377&lt;&gt;""),R377-Q377,"")</f>
        <v/>
      </c>
      <c r="U377" s="25" t="str">
        <f aca="false">IF(AND(Q377&lt;&gt;"",Q377&lt;&gt;0,T377&lt;&gt;""),T377/Q377,"")</f>
        <v/>
      </c>
      <c r="V377" s="26" t="str">
        <f aca="false">IF(AND(S377&lt;&gt;"",Q377&lt;&gt;""),S377-Q377,"")</f>
        <v/>
      </c>
      <c r="W377" s="27" t="str">
        <f aca="false">IF(AND(Q377&lt;&gt;"",Q377&lt;&gt;0,V377&lt;&gt;""),V377/Q377,"")</f>
        <v/>
      </c>
      <c r="X377" s="28" t="s">
        <v>37</v>
      </c>
      <c r="Y377" s="29" t="str">
        <f aca="false">IF(AND(O377&lt;&gt;"",M377&lt;&gt;"",O377&gt;M377),CONCATENATE("1 : ",TEXT((O377-M377)/M377,"0.00")),IF(AND(O377&lt;&gt;"",M377&lt;&gt;"",O377&lt;M377),CONCATENATE("-1 : ",TEXT((M377-O377)/M377,"0.00")),"—"))</f>
        <v>—</v>
      </c>
      <c r="Z377" s="30" t="str">
        <f aca="false">IF(AND(P377&lt;&gt;"",M377&lt;&gt;"",P377&gt;M377),CONCATENATE("1 : ",TEXT((P377-M377)/M377,"0.00")),"—")</f>
        <v>—</v>
      </c>
      <c r="AA377" s="31" t="str">
        <f aca="false">IF(AND(C377&lt;&gt;"",E377&lt;&gt;""),E377-C377,"")</f>
        <v/>
      </c>
      <c r="AB377" s="17"/>
      <c r="AC377" s="32"/>
      <c r="AD377" s="33"/>
      <c r="AE377" s="34" t="str">
        <f aca="false">IF(G377&lt;&gt;"",HYPERLINK("https://www.tradingview.com/chart/?symbol="&amp;G377&amp;"&amp;interval=60&amp;from="&amp;(AG377-10*3600)&amp;"&amp;to="&amp;(AG377+50*3600),"📈 1H"),"")</f>
        <v/>
      </c>
      <c r="AF377" s="35" t="str">
        <f aca="false">IF(G377&lt;&gt;"",HYPERLINK("https://www.tradingview.com/chart/?symbol="&amp;G377&amp;"&amp;interval=240&amp;from="&amp;(AG377-10*14400)&amp;"&amp;to="&amp;(AG377+50*14400),"📈 4H"),"")</f>
        <v/>
      </c>
      <c r="AG377" s="36" t="str">
        <f aca="false">IF(C377&lt;&gt;"",INT((C377+IF(D377&lt;&gt;"",D377,0)-DATE(1970,1,1))*86400),"")</f>
        <v/>
      </c>
    </row>
    <row r="378" customFormat="false" ht="19.5" hidden="false" customHeight="true" outlineLevel="0" collapsed="false">
      <c r="A378" s="37" t="n">
        <f aca="false">ROW()-4</f>
        <v>374</v>
      </c>
      <c r="B378" s="38"/>
      <c r="C378" s="39"/>
      <c r="D378" s="40"/>
      <c r="E378" s="39"/>
      <c r="F378" s="40"/>
      <c r="G378" s="41"/>
      <c r="H378" s="42"/>
      <c r="I378" s="43"/>
      <c r="J378" s="44"/>
      <c r="K378" s="39"/>
      <c r="L378" s="42"/>
      <c r="M378" s="44"/>
      <c r="N378" s="45"/>
      <c r="O378" s="44"/>
      <c r="P378" s="46"/>
      <c r="Q378" s="47" t="str">
        <f aca="false">IF(L378="","",IF(M378&lt;&gt;"",M378*L378*100,IF(AND(O378&lt;&gt;"",B378&lt;&gt;""),IFERROR(AVERAGEIF($B$5:$B$1004,B378,$M$5:$M$1004)*L378*100,""),"")))</f>
        <v/>
      </c>
      <c r="R378" s="47" t="str">
        <f aca="false">IF(AND(O378&lt;&gt;"",L378&lt;&gt;""),O378*L378*100,"")</f>
        <v/>
      </c>
      <c r="S378" s="48" t="str">
        <f aca="false">IF(AND(P378&lt;&gt;"",L378&lt;&gt;""),P378*L378*100,"")</f>
        <v/>
      </c>
      <c r="T378" s="49" t="str">
        <f aca="false">IF(AND(Q378&lt;&gt;"",R378&lt;&gt;""),R378-Q378,"")</f>
        <v/>
      </c>
      <c r="U378" s="50" t="str">
        <f aca="false">IF(AND(Q378&lt;&gt;"",Q378&lt;&gt;0,T378&lt;&gt;""),T378/Q378,"")</f>
        <v/>
      </c>
      <c r="V378" s="51" t="str">
        <f aca="false">IF(AND(S378&lt;&gt;"",Q378&lt;&gt;""),S378-Q378,"")</f>
        <v/>
      </c>
      <c r="W378" s="52" t="str">
        <f aca="false">IF(AND(Q378&lt;&gt;"",Q378&lt;&gt;0,V378&lt;&gt;""),V378/Q378,"")</f>
        <v/>
      </c>
      <c r="X378" s="53" t="s">
        <v>37</v>
      </c>
      <c r="Y378" s="54" t="str">
        <f aca="false">IF(AND(O378&lt;&gt;"",M378&lt;&gt;"",O378&gt;M378),CONCATENATE("1 : ",TEXT((O378-M378)/M378,"0.00")),IF(AND(O378&lt;&gt;"",M378&lt;&gt;"",O378&lt;M378),CONCATENATE("-1 : ",TEXT((M378-O378)/M378,"0.00")),"—"))</f>
        <v>—</v>
      </c>
      <c r="Z378" s="55" t="str">
        <f aca="false">IF(AND(P378&lt;&gt;"",M378&lt;&gt;"",P378&gt;M378),CONCATENATE("1 : ",TEXT((P378-M378)/M378,"0.00")),"—")</f>
        <v>—</v>
      </c>
      <c r="AA378" s="56" t="str">
        <f aca="false">IF(AND(C378&lt;&gt;"",E378&lt;&gt;""),E378-C378,"")</f>
        <v/>
      </c>
      <c r="AB378" s="42"/>
      <c r="AC378" s="57"/>
      <c r="AD378" s="58"/>
      <c r="AE378" s="59" t="str">
        <f aca="false">IF(G378&lt;&gt;"",HYPERLINK("https://www.tradingview.com/chart/?symbol="&amp;G378&amp;"&amp;interval=60&amp;from="&amp;(AG378-10*3600)&amp;"&amp;to="&amp;(AG378+50*3600),"📈 1H"),"")</f>
        <v/>
      </c>
      <c r="AF378" s="60" t="str">
        <f aca="false">IF(G378&lt;&gt;"",HYPERLINK("https://www.tradingview.com/chart/?symbol="&amp;G378&amp;"&amp;interval=240&amp;from="&amp;(AG378-10*14400)&amp;"&amp;to="&amp;(AG378+50*14400),"📈 4H"),"")</f>
        <v/>
      </c>
      <c r="AG378" s="36" t="str">
        <f aca="false">IF(C378&lt;&gt;"",INT((C378+IF(D378&lt;&gt;"",D378,0)-DATE(1970,1,1))*86400),"")</f>
        <v/>
      </c>
    </row>
    <row r="379" customFormat="false" ht="19.5" hidden="false" customHeight="true" outlineLevel="0" collapsed="false">
      <c r="A379" s="12" t="n">
        <f aca="false">ROW()-4</f>
        <v>375</v>
      </c>
      <c r="B379" s="13"/>
      <c r="C379" s="14"/>
      <c r="D379" s="15"/>
      <c r="E379" s="14"/>
      <c r="F379" s="15"/>
      <c r="G379" s="16"/>
      <c r="H379" s="17"/>
      <c r="I379" s="18"/>
      <c r="J379" s="19"/>
      <c r="K379" s="14"/>
      <c r="L379" s="17"/>
      <c r="M379" s="19"/>
      <c r="N379" s="20"/>
      <c r="O379" s="19"/>
      <c r="P379" s="21"/>
      <c r="Q379" s="22" t="str">
        <f aca="false">IF(L379="","",IF(M379&lt;&gt;"",M379*L379*100,IF(AND(O379&lt;&gt;"",B379&lt;&gt;""),IFERROR(AVERAGEIF($B$5:$B$1004,B379,$M$5:$M$1004)*L379*100,""),"")))</f>
        <v/>
      </c>
      <c r="R379" s="22" t="str">
        <f aca="false">IF(AND(O379&lt;&gt;"",L379&lt;&gt;""),O379*L379*100,"")</f>
        <v/>
      </c>
      <c r="S379" s="23" t="str">
        <f aca="false">IF(AND(P379&lt;&gt;"",L379&lt;&gt;""),P379*L379*100,"")</f>
        <v/>
      </c>
      <c r="T379" s="24" t="str">
        <f aca="false">IF(AND(Q379&lt;&gt;"",R379&lt;&gt;""),R379-Q379,"")</f>
        <v/>
      </c>
      <c r="U379" s="25" t="str">
        <f aca="false">IF(AND(Q379&lt;&gt;"",Q379&lt;&gt;0,T379&lt;&gt;""),T379/Q379,"")</f>
        <v/>
      </c>
      <c r="V379" s="26" t="str">
        <f aca="false">IF(AND(S379&lt;&gt;"",Q379&lt;&gt;""),S379-Q379,"")</f>
        <v/>
      </c>
      <c r="W379" s="27" t="str">
        <f aca="false">IF(AND(Q379&lt;&gt;"",Q379&lt;&gt;0,V379&lt;&gt;""),V379/Q379,"")</f>
        <v/>
      </c>
      <c r="X379" s="28" t="s">
        <v>37</v>
      </c>
      <c r="Y379" s="29" t="str">
        <f aca="false">IF(AND(O379&lt;&gt;"",M379&lt;&gt;"",O379&gt;M379),CONCATENATE("1 : ",TEXT((O379-M379)/M379,"0.00")),IF(AND(O379&lt;&gt;"",M379&lt;&gt;"",O379&lt;M379),CONCATENATE("-1 : ",TEXT((M379-O379)/M379,"0.00")),"—"))</f>
        <v>—</v>
      </c>
      <c r="Z379" s="30" t="str">
        <f aca="false">IF(AND(P379&lt;&gt;"",M379&lt;&gt;"",P379&gt;M379),CONCATENATE("1 : ",TEXT((P379-M379)/M379,"0.00")),"—")</f>
        <v>—</v>
      </c>
      <c r="AA379" s="31" t="str">
        <f aca="false">IF(AND(C379&lt;&gt;"",E379&lt;&gt;""),E379-C379,"")</f>
        <v/>
      </c>
      <c r="AB379" s="17"/>
      <c r="AC379" s="32"/>
      <c r="AD379" s="33"/>
      <c r="AE379" s="34" t="str">
        <f aca="false">IF(G379&lt;&gt;"",HYPERLINK("https://www.tradingview.com/chart/?symbol="&amp;G379&amp;"&amp;interval=60&amp;from="&amp;(AG379-10*3600)&amp;"&amp;to="&amp;(AG379+50*3600),"📈 1H"),"")</f>
        <v/>
      </c>
      <c r="AF379" s="35" t="str">
        <f aca="false">IF(G379&lt;&gt;"",HYPERLINK("https://www.tradingview.com/chart/?symbol="&amp;G379&amp;"&amp;interval=240&amp;from="&amp;(AG379-10*14400)&amp;"&amp;to="&amp;(AG379+50*14400),"📈 4H"),"")</f>
        <v/>
      </c>
      <c r="AG379" s="36" t="str">
        <f aca="false">IF(C379&lt;&gt;"",INT((C379+IF(D379&lt;&gt;"",D379,0)-DATE(1970,1,1))*86400),"")</f>
        <v/>
      </c>
    </row>
    <row r="380" customFormat="false" ht="19.5" hidden="false" customHeight="true" outlineLevel="0" collapsed="false">
      <c r="A380" s="37" t="n">
        <f aca="false">ROW()-4</f>
        <v>376</v>
      </c>
      <c r="B380" s="38"/>
      <c r="C380" s="39"/>
      <c r="D380" s="40"/>
      <c r="E380" s="39"/>
      <c r="F380" s="40"/>
      <c r="G380" s="41"/>
      <c r="H380" s="42"/>
      <c r="I380" s="43"/>
      <c r="J380" s="44"/>
      <c r="K380" s="39"/>
      <c r="L380" s="42"/>
      <c r="M380" s="44"/>
      <c r="N380" s="45"/>
      <c r="O380" s="44"/>
      <c r="P380" s="46"/>
      <c r="Q380" s="47" t="str">
        <f aca="false">IF(L380="","",IF(M380&lt;&gt;"",M380*L380*100,IF(AND(O380&lt;&gt;"",B380&lt;&gt;""),IFERROR(AVERAGEIF($B$5:$B$1004,B380,$M$5:$M$1004)*L380*100,""),"")))</f>
        <v/>
      </c>
      <c r="R380" s="47" t="str">
        <f aca="false">IF(AND(O380&lt;&gt;"",L380&lt;&gt;""),O380*L380*100,"")</f>
        <v/>
      </c>
      <c r="S380" s="48" t="str">
        <f aca="false">IF(AND(P380&lt;&gt;"",L380&lt;&gt;""),P380*L380*100,"")</f>
        <v/>
      </c>
      <c r="T380" s="49" t="str">
        <f aca="false">IF(AND(Q380&lt;&gt;"",R380&lt;&gt;""),R380-Q380,"")</f>
        <v/>
      </c>
      <c r="U380" s="50" t="str">
        <f aca="false">IF(AND(Q380&lt;&gt;"",Q380&lt;&gt;0,T380&lt;&gt;""),T380/Q380,"")</f>
        <v/>
      </c>
      <c r="V380" s="51" t="str">
        <f aca="false">IF(AND(S380&lt;&gt;"",Q380&lt;&gt;""),S380-Q380,"")</f>
        <v/>
      </c>
      <c r="W380" s="52" t="str">
        <f aca="false">IF(AND(Q380&lt;&gt;"",Q380&lt;&gt;0,V380&lt;&gt;""),V380/Q380,"")</f>
        <v/>
      </c>
      <c r="X380" s="53" t="s">
        <v>37</v>
      </c>
      <c r="Y380" s="54" t="str">
        <f aca="false">IF(AND(O380&lt;&gt;"",M380&lt;&gt;"",O380&gt;M380),CONCATENATE("1 : ",TEXT((O380-M380)/M380,"0.00")),IF(AND(O380&lt;&gt;"",M380&lt;&gt;"",O380&lt;M380),CONCATENATE("-1 : ",TEXT((M380-O380)/M380,"0.00")),"—"))</f>
        <v>—</v>
      </c>
      <c r="Z380" s="55" t="str">
        <f aca="false">IF(AND(P380&lt;&gt;"",M380&lt;&gt;"",P380&gt;M380),CONCATENATE("1 : ",TEXT((P380-M380)/M380,"0.00")),"—")</f>
        <v>—</v>
      </c>
      <c r="AA380" s="56" t="str">
        <f aca="false">IF(AND(C380&lt;&gt;"",E380&lt;&gt;""),E380-C380,"")</f>
        <v/>
      </c>
      <c r="AB380" s="42"/>
      <c r="AC380" s="57"/>
      <c r="AD380" s="58"/>
      <c r="AE380" s="59" t="str">
        <f aca="false">IF(G380&lt;&gt;"",HYPERLINK("https://www.tradingview.com/chart/?symbol="&amp;G380&amp;"&amp;interval=60&amp;from="&amp;(AG380-10*3600)&amp;"&amp;to="&amp;(AG380+50*3600),"📈 1H"),"")</f>
        <v/>
      </c>
      <c r="AF380" s="60" t="str">
        <f aca="false">IF(G380&lt;&gt;"",HYPERLINK("https://www.tradingview.com/chart/?symbol="&amp;G380&amp;"&amp;interval=240&amp;from="&amp;(AG380-10*14400)&amp;"&amp;to="&amp;(AG380+50*14400),"📈 4H"),"")</f>
        <v/>
      </c>
      <c r="AG380" s="36" t="str">
        <f aca="false">IF(C380&lt;&gt;"",INT((C380+IF(D380&lt;&gt;"",D380,0)-DATE(1970,1,1))*86400),"")</f>
        <v/>
      </c>
    </row>
    <row r="381" customFormat="false" ht="19.5" hidden="false" customHeight="true" outlineLevel="0" collapsed="false">
      <c r="A381" s="12" t="n">
        <f aca="false">ROW()-4</f>
        <v>377</v>
      </c>
      <c r="B381" s="13"/>
      <c r="C381" s="14"/>
      <c r="D381" s="15"/>
      <c r="E381" s="14"/>
      <c r="F381" s="15"/>
      <c r="G381" s="16"/>
      <c r="H381" s="17"/>
      <c r="I381" s="18"/>
      <c r="J381" s="19"/>
      <c r="K381" s="14"/>
      <c r="L381" s="17"/>
      <c r="M381" s="19"/>
      <c r="N381" s="20"/>
      <c r="O381" s="19"/>
      <c r="P381" s="21"/>
      <c r="Q381" s="22" t="str">
        <f aca="false">IF(L381="","",IF(M381&lt;&gt;"",M381*L381*100,IF(AND(O381&lt;&gt;"",B381&lt;&gt;""),IFERROR(AVERAGEIF($B$5:$B$1004,B381,$M$5:$M$1004)*L381*100,""),"")))</f>
        <v/>
      </c>
      <c r="R381" s="22" t="str">
        <f aca="false">IF(AND(O381&lt;&gt;"",L381&lt;&gt;""),O381*L381*100,"")</f>
        <v/>
      </c>
      <c r="S381" s="23" t="str">
        <f aca="false">IF(AND(P381&lt;&gt;"",L381&lt;&gt;""),P381*L381*100,"")</f>
        <v/>
      </c>
      <c r="T381" s="24" t="str">
        <f aca="false">IF(AND(Q381&lt;&gt;"",R381&lt;&gt;""),R381-Q381,"")</f>
        <v/>
      </c>
      <c r="U381" s="25" t="str">
        <f aca="false">IF(AND(Q381&lt;&gt;"",Q381&lt;&gt;0,T381&lt;&gt;""),T381/Q381,"")</f>
        <v/>
      </c>
      <c r="V381" s="26" t="str">
        <f aca="false">IF(AND(S381&lt;&gt;"",Q381&lt;&gt;""),S381-Q381,"")</f>
        <v/>
      </c>
      <c r="W381" s="27" t="str">
        <f aca="false">IF(AND(Q381&lt;&gt;"",Q381&lt;&gt;0,V381&lt;&gt;""),V381/Q381,"")</f>
        <v/>
      </c>
      <c r="X381" s="28" t="s">
        <v>37</v>
      </c>
      <c r="Y381" s="29" t="str">
        <f aca="false">IF(AND(O381&lt;&gt;"",M381&lt;&gt;"",O381&gt;M381),CONCATENATE("1 : ",TEXT((O381-M381)/M381,"0.00")),IF(AND(O381&lt;&gt;"",M381&lt;&gt;"",O381&lt;M381),CONCATENATE("-1 : ",TEXT((M381-O381)/M381,"0.00")),"—"))</f>
        <v>—</v>
      </c>
      <c r="Z381" s="30" t="str">
        <f aca="false">IF(AND(P381&lt;&gt;"",M381&lt;&gt;"",P381&gt;M381),CONCATENATE("1 : ",TEXT((P381-M381)/M381,"0.00")),"—")</f>
        <v>—</v>
      </c>
      <c r="AA381" s="31" t="str">
        <f aca="false">IF(AND(C381&lt;&gt;"",E381&lt;&gt;""),E381-C381,"")</f>
        <v/>
      </c>
      <c r="AB381" s="17"/>
      <c r="AC381" s="32"/>
      <c r="AD381" s="33"/>
      <c r="AE381" s="34" t="str">
        <f aca="false">IF(G381&lt;&gt;"",HYPERLINK("https://www.tradingview.com/chart/?symbol="&amp;G381&amp;"&amp;interval=60&amp;from="&amp;(AG381-10*3600)&amp;"&amp;to="&amp;(AG381+50*3600),"📈 1H"),"")</f>
        <v/>
      </c>
      <c r="AF381" s="35" t="str">
        <f aca="false">IF(G381&lt;&gt;"",HYPERLINK("https://www.tradingview.com/chart/?symbol="&amp;G381&amp;"&amp;interval=240&amp;from="&amp;(AG381-10*14400)&amp;"&amp;to="&amp;(AG381+50*14400),"📈 4H"),"")</f>
        <v/>
      </c>
      <c r="AG381" s="36" t="str">
        <f aca="false">IF(C381&lt;&gt;"",INT((C381+IF(D381&lt;&gt;"",D381,0)-DATE(1970,1,1))*86400),"")</f>
        <v/>
      </c>
    </row>
    <row r="382" customFormat="false" ht="19.5" hidden="false" customHeight="true" outlineLevel="0" collapsed="false">
      <c r="A382" s="37" t="n">
        <f aca="false">ROW()-4</f>
        <v>378</v>
      </c>
      <c r="B382" s="38"/>
      <c r="C382" s="39"/>
      <c r="D382" s="40"/>
      <c r="E382" s="39"/>
      <c r="F382" s="40"/>
      <c r="G382" s="41"/>
      <c r="H382" s="42"/>
      <c r="I382" s="43"/>
      <c r="J382" s="44"/>
      <c r="K382" s="39"/>
      <c r="L382" s="42"/>
      <c r="M382" s="44"/>
      <c r="N382" s="45"/>
      <c r="O382" s="44"/>
      <c r="P382" s="46"/>
      <c r="Q382" s="47" t="str">
        <f aca="false">IF(L382="","",IF(M382&lt;&gt;"",M382*L382*100,IF(AND(O382&lt;&gt;"",B382&lt;&gt;""),IFERROR(AVERAGEIF($B$5:$B$1004,B382,$M$5:$M$1004)*L382*100,""),"")))</f>
        <v/>
      </c>
      <c r="R382" s="47" t="str">
        <f aca="false">IF(AND(O382&lt;&gt;"",L382&lt;&gt;""),O382*L382*100,"")</f>
        <v/>
      </c>
      <c r="S382" s="48" t="str">
        <f aca="false">IF(AND(P382&lt;&gt;"",L382&lt;&gt;""),P382*L382*100,"")</f>
        <v/>
      </c>
      <c r="T382" s="49" t="str">
        <f aca="false">IF(AND(Q382&lt;&gt;"",R382&lt;&gt;""),R382-Q382,"")</f>
        <v/>
      </c>
      <c r="U382" s="50" t="str">
        <f aca="false">IF(AND(Q382&lt;&gt;"",Q382&lt;&gt;0,T382&lt;&gt;""),T382/Q382,"")</f>
        <v/>
      </c>
      <c r="V382" s="51" t="str">
        <f aca="false">IF(AND(S382&lt;&gt;"",Q382&lt;&gt;""),S382-Q382,"")</f>
        <v/>
      </c>
      <c r="W382" s="52" t="str">
        <f aca="false">IF(AND(Q382&lt;&gt;"",Q382&lt;&gt;0,V382&lt;&gt;""),V382/Q382,"")</f>
        <v/>
      </c>
      <c r="X382" s="53" t="s">
        <v>37</v>
      </c>
      <c r="Y382" s="54" t="str">
        <f aca="false">IF(AND(O382&lt;&gt;"",M382&lt;&gt;"",O382&gt;M382),CONCATENATE("1 : ",TEXT((O382-M382)/M382,"0.00")),IF(AND(O382&lt;&gt;"",M382&lt;&gt;"",O382&lt;M382),CONCATENATE("-1 : ",TEXT((M382-O382)/M382,"0.00")),"—"))</f>
        <v>—</v>
      </c>
      <c r="Z382" s="55" t="str">
        <f aca="false">IF(AND(P382&lt;&gt;"",M382&lt;&gt;"",P382&gt;M382),CONCATENATE("1 : ",TEXT((P382-M382)/M382,"0.00")),"—")</f>
        <v>—</v>
      </c>
      <c r="AA382" s="56" t="str">
        <f aca="false">IF(AND(C382&lt;&gt;"",E382&lt;&gt;""),E382-C382,"")</f>
        <v/>
      </c>
      <c r="AB382" s="42"/>
      <c r="AC382" s="57"/>
      <c r="AD382" s="58"/>
      <c r="AE382" s="59" t="str">
        <f aca="false">IF(G382&lt;&gt;"",HYPERLINK("https://www.tradingview.com/chart/?symbol="&amp;G382&amp;"&amp;interval=60&amp;from="&amp;(AG382-10*3600)&amp;"&amp;to="&amp;(AG382+50*3600),"📈 1H"),"")</f>
        <v/>
      </c>
      <c r="AF382" s="60" t="str">
        <f aca="false">IF(G382&lt;&gt;"",HYPERLINK("https://www.tradingview.com/chart/?symbol="&amp;G382&amp;"&amp;interval=240&amp;from="&amp;(AG382-10*14400)&amp;"&amp;to="&amp;(AG382+50*14400),"📈 4H"),"")</f>
        <v/>
      </c>
      <c r="AG382" s="36" t="str">
        <f aca="false">IF(C382&lt;&gt;"",INT((C382+IF(D382&lt;&gt;"",D382,0)-DATE(1970,1,1))*86400),"")</f>
        <v/>
      </c>
    </row>
    <row r="383" customFormat="false" ht="19.5" hidden="false" customHeight="true" outlineLevel="0" collapsed="false">
      <c r="A383" s="12" t="n">
        <f aca="false">ROW()-4</f>
        <v>379</v>
      </c>
      <c r="B383" s="13"/>
      <c r="C383" s="14"/>
      <c r="D383" s="15"/>
      <c r="E383" s="14"/>
      <c r="F383" s="15"/>
      <c r="G383" s="16"/>
      <c r="H383" s="17"/>
      <c r="I383" s="18"/>
      <c r="J383" s="19"/>
      <c r="K383" s="14"/>
      <c r="L383" s="17"/>
      <c r="M383" s="19"/>
      <c r="N383" s="20"/>
      <c r="O383" s="19"/>
      <c r="P383" s="21"/>
      <c r="Q383" s="22" t="str">
        <f aca="false">IF(L383="","",IF(M383&lt;&gt;"",M383*L383*100,IF(AND(O383&lt;&gt;"",B383&lt;&gt;""),IFERROR(AVERAGEIF($B$5:$B$1004,B383,$M$5:$M$1004)*L383*100,""),"")))</f>
        <v/>
      </c>
      <c r="R383" s="22" t="str">
        <f aca="false">IF(AND(O383&lt;&gt;"",L383&lt;&gt;""),O383*L383*100,"")</f>
        <v/>
      </c>
      <c r="S383" s="23" t="str">
        <f aca="false">IF(AND(P383&lt;&gt;"",L383&lt;&gt;""),P383*L383*100,"")</f>
        <v/>
      </c>
      <c r="T383" s="24" t="str">
        <f aca="false">IF(AND(Q383&lt;&gt;"",R383&lt;&gt;""),R383-Q383,"")</f>
        <v/>
      </c>
      <c r="U383" s="25" t="str">
        <f aca="false">IF(AND(Q383&lt;&gt;"",Q383&lt;&gt;0,T383&lt;&gt;""),T383/Q383,"")</f>
        <v/>
      </c>
      <c r="V383" s="26" t="str">
        <f aca="false">IF(AND(S383&lt;&gt;"",Q383&lt;&gt;""),S383-Q383,"")</f>
        <v/>
      </c>
      <c r="W383" s="27" t="str">
        <f aca="false">IF(AND(Q383&lt;&gt;"",Q383&lt;&gt;0,V383&lt;&gt;""),V383/Q383,"")</f>
        <v/>
      </c>
      <c r="X383" s="28" t="s">
        <v>37</v>
      </c>
      <c r="Y383" s="29" t="str">
        <f aca="false">IF(AND(O383&lt;&gt;"",M383&lt;&gt;"",O383&gt;M383),CONCATENATE("1 : ",TEXT((O383-M383)/M383,"0.00")),IF(AND(O383&lt;&gt;"",M383&lt;&gt;"",O383&lt;M383),CONCATENATE("-1 : ",TEXT((M383-O383)/M383,"0.00")),"—"))</f>
        <v>—</v>
      </c>
      <c r="Z383" s="30" t="str">
        <f aca="false">IF(AND(P383&lt;&gt;"",M383&lt;&gt;"",P383&gt;M383),CONCATENATE("1 : ",TEXT((P383-M383)/M383,"0.00")),"—")</f>
        <v>—</v>
      </c>
      <c r="AA383" s="31" t="str">
        <f aca="false">IF(AND(C383&lt;&gt;"",E383&lt;&gt;""),E383-C383,"")</f>
        <v/>
      </c>
      <c r="AB383" s="17"/>
      <c r="AC383" s="32"/>
      <c r="AD383" s="33"/>
      <c r="AE383" s="34" t="str">
        <f aca="false">IF(G383&lt;&gt;"",HYPERLINK("https://www.tradingview.com/chart/?symbol="&amp;G383&amp;"&amp;interval=60&amp;from="&amp;(AG383-10*3600)&amp;"&amp;to="&amp;(AG383+50*3600),"📈 1H"),"")</f>
        <v/>
      </c>
      <c r="AF383" s="35" t="str">
        <f aca="false">IF(G383&lt;&gt;"",HYPERLINK("https://www.tradingview.com/chart/?symbol="&amp;G383&amp;"&amp;interval=240&amp;from="&amp;(AG383-10*14400)&amp;"&amp;to="&amp;(AG383+50*14400),"📈 4H"),"")</f>
        <v/>
      </c>
      <c r="AG383" s="36" t="str">
        <f aca="false">IF(C383&lt;&gt;"",INT((C383+IF(D383&lt;&gt;"",D383,0)-DATE(1970,1,1))*86400),"")</f>
        <v/>
      </c>
    </row>
    <row r="384" customFormat="false" ht="19.5" hidden="false" customHeight="true" outlineLevel="0" collapsed="false">
      <c r="A384" s="37" t="n">
        <f aca="false">ROW()-4</f>
        <v>380</v>
      </c>
      <c r="B384" s="38"/>
      <c r="C384" s="39"/>
      <c r="D384" s="40"/>
      <c r="E384" s="39"/>
      <c r="F384" s="40"/>
      <c r="G384" s="41"/>
      <c r="H384" s="42"/>
      <c r="I384" s="43"/>
      <c r="J384" s="44"/>
      <c r="K384" s="39"/>
      <c r="L384" s="42"/>
      <c r="M384" s="44"/>
      <c r="N384" s="45"/>
      <c r="O384" s="44"/>
      <c r="P384" s="46"/>
      <c r="Q384" s="47" t="str">
        <f aca="false">IF(L384="","",IF(M384&lt;&gt;"",M384*L384*100,IF(AND(O384&lt;&gt;"",B384&lt;&gt;""),IFERROR(AVERAGEIF($B$5:$B$1004,B384,$M$5:$M$1004)*L384*100,""),"")))</f>
        <v/>
      </c>
      <c r="R384" s="47" t="str">
        <f aca="false">IF(AND(O384&lt;&gt;"",L384&lt;&gt;""),O384*L384*100,"")</f>
        <v/>
      </c>
      <c r="S384" s="48" t="str">
        <f aca="false">IF(AND(P384&lt;&gt;"",L384&lt;&gt;""),P384*L384*100,"")</f>
        <v/>
      </c>
      <c r="T384" s="49" t="str">
        <f aca="false">IF(AND(Q384&lt;&gt;"",R384&lt;&gt;""),R384-Q384,"")</f>
        <v/>
      </c>
      <c r="U384" s="50" t="str">
        <f aca="false">IF(AND(Q384&lt;&gt;"",Q384&lt;&gt;0,T384&lt;&gt;""),T384/Q384,"")</f>
        <v/>
      </c>
      <c r="V384" s="51" t="str">
        <f aca="false">IF(AND(S384&lt;&gt;"",Q384&lt;&gt;""),S384-Q384,"")</f>
        <v/>
      </c>
      <c r="W384" s="52" t="str">
        <f aca="false">IF(AND(Q384&lt;&gt;"",Q384&lt;&gt;0,V384&lt;&gt;""),V384/Q384,"")</f>
        <v/>
      </c>
      <c r="X384" s="53" t="s">
        <v>37</v>
      </c>
      <c r="Y384" s="54" t="str">
        <f aca="false">IF(AND(O384&lt;&gt;"",M384&lt;&gt;"",O384&gt;M384),CONCATENATE("1 : ",TEXT((O384-M384)/M384,"0.00")),IF(AND(O384&lt;&gt;"",M384&lt;&gt;"",O384&lt;M384),CONCATENATE("-1 : ",TEXT((M384-O384)/M384,"0.00")),"—"))</f>
        <v>—</v>
      </c>
      <c r="Z384" s="55" t="str">
        <f aca="false">IF(AND(P384&lt;&gt;"",M384&lt;&gt;"",P384&gt;M384),CONCATENATE("1 : ",TEXT((P384-M384)/M384,"0.00")),"—")</f>
        <v>—</v>
      </c>
      <c r="AA384" s="56" t="str">
        <f aca="false">IF(AND(C384&lt;&gt;"",E384&lt;&gt;""),E384-C384,"")</f>
        <v/>
      </c>
      <c r="AB384" s="42"/>
      <c r="AC384" s="57"/>
      <c r="AD384" s="58"/>
      <c r="AE384" s="59" t="str">
        <f aca="false">IF(G384&lt;&gt;"",HYPERLINK("https://www.tradingview.com/chart/?symbol="&amp;G384&amp;"&amp;interval=60&amp;from="&amp;(AG384-10*3600)&amp;"&amp;to="&amp;(AG384+50*3600),"📈 1H"),"")</f>
        <v/>
      </c>
      <c r="AF384" s="60" t="str">
        <f aca="false">IF(G384&lt;&gt;"",HYPERLINK("https://www.tradingview.com/chart/?symbol="&amp;G384&amp;"&amp;interval=240&amp;from="&amp;(AG384-10*14400)&amp;"&amp;to="&amp;(AG384+50*14400),"📈 4H"),"")</f>
        <v/>
      </c>
      <c r="AG384" s="36" t="str">
        <f aca="false">IF(C384&lt;&gt;"",INT((C384+IF(D384&lt;&gt;"",D384,0)-DATE(1970,1,1))*86400),"")</f>
        <v/>
      </c>
    </row>
    <row r="385" customFormat="false" ht="19.5" hidden="false" customHeight="true" outlineLevel="0" collapsed="false">
      <c r="A385" s="12" t="n">
        <f aca="false">ROW()-4</f>
        <v>381</v>
      </c>
      <c r="B385" s="13"/>
      <c r="C385" s="14"/>
      <c r="D385" s="15"/>
      <c r="E385" s="14"/>
      <c r="F385" s="15"/>
      <c r="G385" s="16"/>
      <c r="H385" s="17"/>
      <c r="I385" s="18"/>
      <c r="J385" s="19"/>
      <c r="K385" s="14"/>
      <c r="L385" s="17"/>
      <c r="M385" s="19"/>
      <c r="N385" s="20"/>
      <c r="O385" s="19"/>
      <c r="P385" s="21"/>
      <c r="Q385" s="22" t="str">
        <f aca="false">IF(L385="","",IF(M385&lt;&gt;"",M385*L385*100,IF(AND(O385&lt;&gt;"",B385&lt;&gt;""),IFERROR(AVERAGEIF($B$5:$B$1004,B385,$M$5:$M$1004)*L385*100,""),"")))</f>
        <v/>
      </c>
      <c r="R385" s="22" t="str">
        <f aca="false">IF(AND(O385&lt;&gt;"",L385&lt;&gt;""),O385*L385*100,"")</f>
        <v/>
      </c>
      <c r="S385" s="23" t="str">
        <f aca="false">IF(AND(P385&lt;&gt;"",L385&lt;&gt;""),P385*L385*100,"")</f>
        <v/>
      </c>
      <c r="T385" s="24" t="str">
        <f aca="false">IF(AND(Q385&lt;&gt;"",R385&lt;&gt;""),R385-Q385,"")</f>
        <v/>
      </c>
      <c r="U385" s="25" t="str">
        <f aca="false">IF(AND(Q385&lt;&gt;"",Q385&lt;&gt;0,T385&lt;&gt;""),T385/Q385,"")</f>
        <v/>
      </c>
      <c r="V385" s="26" t="str">
        <f aca="false">IF(AND(S385&lt;&gt;"",Q385&lt;&gt;""),S385-Q385,"")</f>
        <v/>
      </c>
      <c r="W385" s="27" t="str">
        <f aca="false">IF(AND(Q385&lt;&gt;"",Q385&lt;&gt;0,V385&lt;&gt;""),V385/Q385,"")</f>
        <v/>
      </c>
      <c r="X385" s="28" t="s">
        <v>37</v>
      </c>
      <c r="Y385" s="29" t="str">
        <f aca="false">IF(AND(O385&lt;&gt;"",M385&lt;&gt;"",O385&gt;M385),CONCATENATE("1 : ",TEXT((O385-M385)/M385,"0.00")),IF(AND(O385&lt;&gt;"",M385&lt;&gt;"",O385&lt;M385),CONCATENATE("-1 : ",TEXT((M385-O385)/M385,"0.00")),"—"))</f>
        <v>—</v>
      </c>
      <c r="Z385" s="30" t="str">
        <f aca="false">IF(AND(P385&lt;&gt;"",M385&lt;&gt;"",P385&gt;M385),CONCATENATE("1 : ",TEXT((P385-M385)/M385,"0.00")),"—")</f>
        <v>—</v>
      </c>
      <c r="AA385" s="31" t="str">
        <f aca="false">IF(AND(C385&lt;&gt;"",E385&lt;&gt;""),E385-C385,"")</f>
        <v/>
      </c>
      <c r="AB385" s="17"/>
      <c r="AC385" s="32"/>
      <c r="AD385" s="33"/>
      <c r="AE385" s="34" t="str">
        <f aca="false">IF(G385&lt;&gt;"",HYPERLINK("https://www.tradingview.com/chart/?symbol="&amp;G385&amp;"&amp;interval=60&amp;from="&amp;(AG385-10*3600)&amp;"&amp;to="&amp;(AG385+50*3600),"📈 1H"),"")</f>
        <v/>
      </c>
      <c r="AF385" s="35" t="str">
        <f aca="false">IF(G385&lt;&gt;"",HYPERLINK("https://www.tradingview.com/chart/?symbol="&amp;G385&amp;"&amp;interval=240&amp;from="&amp;(AG385-10*14400)&amp;"&amp;to="&amp;(AG385+50*14400),"📈 4H"),"")</f>
        <v/>
      </c>
      <c r="AG385" s="36" t="str">
        <f aca="false">IF(C385&lt;&gt;"",INT((C385+IF(D385&lt;&gt;"",D385,0)-DATE(1970,1,1))*86400),"")</f>
        <v/>
      </c>
    </row>
    <row r="386" customFormat="false" ht="19.5" hidden="false" customHeight="true" outlineLevel="0" collapsed="false">
      <c r="A386" s="37" t="n">
        <f aca="false">ROW()-4</f>
        <v>382</v>
      </c>
      <c r="B386" s="38"/>
      <c r="C386" s="39"/>
      <c r="D386" s="40"/>
      <c r="E386" s="39"/>
      <c r="F386" s="40"/>
      <c r="G386" s="41"/>
      <c r="H386" s="42"/>
      <c r="I386" s="43"/>
      <c r="J386" s="44"/>
      <c r="K386" s="39"/>
      <c r="L386" s="42"/>
      <c r="M386" s="44"/>
      <c r="N386" s="45"/>
      <c r="O386" s="44"/>
      <c r="P386" s="46"/>
      <c r="Q386" s="47" t="str">
        <f aca="false">IF(L386="","",IF(M386&lt;&gt;"",M386*L386*100,IF(AND(O386&lt;&gt;"",B386&lt;&gt;""),IFERROR(AVERAGEIF($B$5:$B$1004,B386,$M$5:$M$1004)*L386*100,""),"")))</f>
        <v/>
      </c>
      <c r="R386" s="47" t="str">
        <f aca="false">IF(AND(O386&lt;&gt;"",L386&lt;&gt;""),O386*L386*100,"")</f>
        <v/>
      </c>
      <c r="S386" s="48" t="str">
        <f aca="false">IF(AND(P386&lt;&gt;"",L386&lt;&gt;""),P386*L386*100,"")</f>
        <v/>
      </c>
      <c r="T386" s="49" t="str">
        <f aca="false">IF(AND(Q386&lt;&gt;"",R386&lt;&gt;""),R386-Q386,"")</f>
        <v/>
      </c>
      <c r="U386" s="50" t="str">
        <f aca="false">IF(AND(Q386&lt;&gt;"",Q386&lt;&gt;0,T386&lt;&gt;""),T386/Q386,"")</f>
        <v/>
      </c>
      <c r="V386" s="51" t="str">
        <f aca="false">IF(AND(S386&lt;&gt;"",Q386&lt;&gt;""),S386-Q386,"")</f>
        <v/>
      </c>
      <c r="W386" s="52" t="str">
        <f aca="false">IF(AND(Q386&lt;&gt;"",Q386&lt;&gt;0,V386&lt;&gt;""),V386/Q386,"")</f>
        <v/>
      </c>
      <c r="X386" s="53" t="s">
        <v>37</v>
      </c>
      <c r="Y386" s="54" t="str">
        <f aca="false">IF(AND(O386&lt;&gt;"",M386&lt;&gt;"",O386&gt;M386),CONCATENATE("1 : ",TEXT((O386-M386)/M386,"0.00")),IF(AND(O386&lt;&gt;"",M386&lt;&gt;"",O386&lt;M386),CONCATENATE("-1 : ",TEXT((M386-O386)/M386,"0.00")),"—"))</f>
        <v>—</v>
      </c>
      <c r="Z386" s="55" t="str">
        <f aca="false">IF(AND(P386&lt;&gt;"",M386&lt;&gt;"",P386&gt;M386),CONCATENATE("1 : ",TEXT((P386-M386)/M386,"0.00")),"—")</f>
        <v>—</v>
      </c>
      <c r="AA386" s="56" t="str">
        <f aca="false">IF(AND(C386&lt;&gt;"",E386&lt;&gt;""),E386-C386,"")</f>
        <v/>
      </c>
      <c r="AB386" s="42"/>
      <c r="AC386" s="57"/>
      <c r="AD386" s="58"/>
      <c r="AE386" s="59" t="str">
        <f aca="false">IF(G386&lt;&gt;"",HYPERLINK("https://www.tradingview.com/chart/?symbol="&amp;G386&amp;"&amp;interval=60&amp;from="&amp;(AG386-10*3600)&amp;"&amp;to="&amp;(AG386+50*3600),"📈 1H"),"")</f>
        <v/>
      </c>
      <c r="AF386" s="60" t="str">
        <f aca="false">IF(G386&lt;&gt;"",HYPERLINK("https://www.tradingview.com/chart/?symbol="&amp;G386&amp;"&amp;interval=240&amp;from="&amp;(AG386-10*14400)&amp;"&amp;to="&amp;(AG386+50*14400),"📈 4H"),"")</f>
        <v/>
      </c>
      <c r="AG386" s="36" t="str">
        <f aca="false">IF(C386&lt;&gt;"",INT((C386+IF(D386&lt;&gt;"",D386,0)-DATE(1970,1,1))*86400),"")</f>
        <v/>
      </c>
    </row>
    <row r="387" customFormat="false" ht="19.5" hidden="false" customHeight="true" outlineLevel="0" collapsed="false">
      <c r="A387" s="12" t="n">
        <f aca="false">ROW()-4</f>
        <v>383</v>
      </c>
      <c r="B387" s="13"/>
      <c r="C387" s="14"/>
      <c r="D387" s="15"/>
      <c r="E387" s="14"/>
      <c r="F387" s="15"/>
      <c r="G387" s="16"/>
      <c r="H387" s="17"/>
      <c r="I387" s="18"/>
      <c r="J387" s="19"/>
      <c r="K387" s="14"/>
      <c r="L387" s="17"/>
      <c r="M387" s="19"/>
      <c r="N387" s="20"/>
      <c r="O387" s="19"/>
      <c r="P387" s="21"/>
      <c r="Q387" s="22" t="str">
        <f aca="false">IF(L387="","",IF(M387&lt;&gt;"",M387*L387*100,IF(AND(O387&lt;&gt;"",B387&lt;&gt;""),IFERROR(AVERAGEIF($B$5:$B$1004,B387,$M$5:$M$1004)*L387*100,""),"")))</f>
        <v/>
      </c>
      <c r="R387" s="22" t="str">
        <f aca="false">IF(AND(O387&lt;&gt;"",L387&lt;&gt;""),O387*L387*100,"")</f>
        <v/>
      </c>
      <c r="S387" s="23" t="str">
        <f aca="false">IF(AND(P387&lt;&gt;"",L387&lt;&gt;""),P387*L387*100,"")</f>
        <v/>
      </c>
      <c r="T387" s="24" t="str">
        <f aca="false">IF(AND(Q387&lt;&gt;"",R387&lt;&gt;""),R387-Q387,"")</f>
        <v/>
      </c>
      <c r="U387" s="25" t="str">
        <f aca="false">IF(AND(Q387&lt;&gt;"",Q387&lt;&gt;0,T387&lt;&gt;""),T387/Q387,"")</f>
        <v/>
      </c>
      <c r="V387" s="26" t="str">
        <f aca="false">IF(AND(S387&lt;&gt;"",Q387&lt;&gt;""),S387-Q387,"")</f>
        <v/>
      </c>
      <c r="W387" s="27" t="str">
        <f aca="false">IF(AND(Q387&lt;&gt;"",Q387&lt;&gt;0,V387&lt;&gt;""),V387/Q387,"")</f>
        <v/>
      </c>
      <c r="X387" s="28" t="s">
        <v>37</v>
      </c>
      <c r="Y387" s="29" t="str">
        <f aca="false">IF(AND(O387&lt;&gt;"",M387&lt;&gt;"",O387&gt;M387),CONCATENATE("1 : ",TEXT((O387-M387)/M387,"0.00")),IF(AND(O387&lt;&gt;"",M387&lt;&gt;"",O387&lt;M387),CONCATENATE("-1 : ",TEXT((M387-O387)/M387,"0.00")),"—"))</f>
        <v>—</v>
      </c>
      <c r="Z387" s="30" t="str">
        <f aca="false">IF(AND(P387&lt;&gt;"",M387&lt;&gt;"",P387&gt;M387),CONCATENATE("1 : ",TEXT((P387-M387)/M387,"0.00")),"—")</f>
        <v>—</v>
      </c>
      <c r="AA387" s="31" t="str">
        <f aca="false">IF(AND(C387&lt;&gt;"",E387&lt;&gt;""),E387-C387,"")</f>
        <v/>
      </c>
      <c r="AB387" s="17"/>
      <c r="AC387" s="32"/>
      <c r="AD387" s="33"/>
      <c r="AE387" s="34" t="str">
        <f aca="false">IF(G387&lt;&gt;"",HYPERLINK("https://www.tradingview.com/chart/?symbol="&amp;G387&amp;"&amp;interval=60&amp;from="&amp;(AG387-10*3600)&amp;"&amp;to="&amp;(AG387+50*3600),"📈 1H"),"")</f>
        <v/>
      </c>
      <c r="AF387" s="35" t="str">
        <f aca="false">IF(G387&lt;&gt;"",HYPERLINK("https://www.tradingview.com/chart/?symbol="&amp;G387&amp;"&amp;interval=240&amp;from="&amp;(AG387-10*14400)&amp;"&amp;to="&amp;(AG387+50*14400),"📈 4H"),"")</f>
        <v/>
      </c>
      <c r="AG387" s="36" t="str">
        <f aca="false">IF(C387&lt;&gt;"",INT((C387+IF(D387&lt;&gt;"",D387,0)-DATE(1970,1,1))*86400),"")</f>
        <v/>
      </c>
    </row>
    <row r="388" customFormat="false" ht="19.5" hidden="false" customHeight="true" outlineLevel="0" collapsed="false">
      <c r="A388" s="37" t="n">
        <f aca="false">ROW()-4</f>
        <v>384</v>
      </c>
      <c r="B388" s="38"/>
      <c r="C388" s="39"/>
      <c r="D388" s="40"/>
      <c r="E388" s="39"/>
      <c r="F388" s="40"/>
      <c r="G388" s="41"/>
      <c r="H388" s="42"/>
      <c r="I388" s="43"/>
      <c r="J388" s="44"/>
      <c r="K388" s="39"/>
      <c r="L388" s="42"/>
      <c r="M388" s="44"/>
      <c r="N388" s="45"/>
      <c r="O388" s="44"/>
      <c r="P388" s="46"/>
      <c r="Q388" s="47" t="str">
        <f aca="false">IF(L388="","",IF(M388&lt;&gt;"",M388*L388*100,IF(AND(O388&lt;&gt;"",B388&lt;&gt;""),IFERROR(AVERAGEIF($B$5:$B$1004,B388,$M$5:$M$1004)*L388*100,""),"")))</f>
        <v/>
      </c>
      <c r="R388" s="47" t="str">
        <f aca="false">IF(AND(O388&lt;&gt;"",L388&lt;&gt;""),O388*L388*100,"")</f>
        <v/>
      </c>
      <c r="S388" s="48" t="str">
        <f aca="false">IF(AND(P388&lt;&gt;"",L388&lt;&gt;""),P388*L388*100,"")</f>
        <v/>
      </c>
      <c r="T388" s="49" t="str">
        <f aca="false">IF(AND(Q388&lt;&gt;"",R388&lt;&gt;""),R388-Q388,"")</f>
        <v/>
      </c>
      <c r="U388" s="50" t="str">
        <f aca="false">IF(AND(Q388&lt;&gt;"",Q388&lt;&gt;0,T388&lt;&gt;""),T388/Q388,"")</f>
        <v/>
      </c>
      <c r="V388" s="51" t="str">
        <f aca="false">IF(AND(S388&lt;&gt;"",Q388&lt;&gt;""),S388-Q388,"")</f>
        <v/>
      </c>
      <c r="W388" s="52" t="str">
        <f aca="false">IF(AND(Q388&lt;&gt;"",Q388&lt;&gt;0,V388&lt;&gt;""),V388/Q388,"")</f>
        <v/>
      </c>
      <c r="X388" s="53" t="s">
        <v>37</v>
      </c>
      <c r="Y388" s="54" t="str">
        <f aca="false">IF(AND(O388&lt;&gt;"",M388&lt;&gt;"",O388&gt;M388),CONCATENATE("1 : ",TEXT((O388-M388)/M388,"0.00")),IF(AND(O388&lt;&gt;"",M388&lt;&gt;"",O388&lt;M388),CONCATENATE("-1 : ",TEXT((M388-O388)/M388,"0.00")),"—"))</f>
        <v>—</v>
      </c>
      <c r="Z388" s="55" t="str">
        <f aca="false">IF(AND(P388&lt;&gt;"",M388&lt;&gt;"",P388&gt;M388),CONCATENATE("1 : ",TEXT((P388-M388)/M388,"0.00")),"—")</f>
        <v>—</v>
      </c>
      <c r="AA388" s="56" t="str">
        <f aca="false">IF(AND(C388&lt;&gt;"",E388&lt;&gt;""),E388-C388,"")</f>
        <v/>
      </c>
      <c r="AB388" s="42"/>
      <c r="AC388" s="57"/>
      <c r="AD388" s="58"/>
      <c r="AE388" s="59" t="str">
        <f aca="false">IF(G388&lt;&gt;"",HYPERLINK("https://www.tradingview.com/chart/?symbol="&amp;G388&amp;"&amp;interval=60&amp;from="&amp;(AG388-10*3600)&amp;"&amp;to="&amp;(AG388+50*3600),"📈 1H"),"")</f>
        <v/>
      </c>
      <c r="AF388" s="60" t="str">
        <f aca="false">IF(G388&lt;&gt;"",HYPERLINK("https://www.tradingview.com/chart/?symbol="&amp;G388&amp;"&amp;interval=240&amp;from="&amp;(AG388-10*14400)&amp;"&amp;to="&amp;(AG388+50*14400),"📈 4H"),"")</f>
        <v/>
      </c>
      <c r="AG388" s="36" t="str">
        <f aca="false">IF(C388&lt;&gt;"",INT((C388+IF(D388&lt;&gt;"",D388,0)-DATE(1970,1,1))*86400),"")</f>
        <v/>
      </c>
    </row>
    <row r="389" customFormat="false" ht="19.5" hidden="false" customHeight="true" outlineLevel="0" collapsed="false">
      <c r="A389" s="12" t="n">
        <f aca="false">ROW()-4</f>
        <v>385</v>
      </c>
      <c r="B389" s="13"/>
      <c r="C389" s="14"/>
      <c r="D389" s="15"/>
      <c r="E389" s="14"/>
      <c r="F389" s="15"/>
      <c r="G389" s="16"/>
      <c r="H389" s="17"/>
      <c r="I389" s="18"/>
      <c r="J389" s="19"/>
      <c r="K389" s="14"/>
      <c r="L389" s="17"/>
      <c r="M389" s="19"/>
      <c r="N389" s="20"/>
      <c r="O389" s="19"/>
      <c r="P389" s="21"/>
      <c r="Q389" s="22" t="str">
        <f aca="false">IF(L389="","",IF(M389&lt;&gt;"",M389*L389*100,IF(AND(O389&lt;&gt;"",B389&lt;&gt;""),IFERROR(AVERAGEIF($B$5:$B$1004,B389,$M$5:$M$1004)*L389*100,""),"")))</f>
        <v/>
      </c>
      <c r="R389" s="22" t="str">
        <f aca="false">IF(AND(O389&lt;&gt;"",L389&lt;&gt;""),O389*L389*100,"")</f>
        <v/>
      </c>
      <c r="S389" s="23" t="str">
        <f aca="false">IF(AND(P389&lt;&gt;"",L389&lt;&gt;""),P389*L389*100,"")</f>
        <v/>
      </c>
      <c r="T389" s="24" t="str">
        <f aca="false">IF(AND(Q389&lt;&gt;"",R389&lt;&gt;""),R389-Q389,"")</f>
        <v/>
      </c>
      <c r="U389" s="25" t="str">
        <f aca="false">IF(AND(Q389&lt;&gt;"",Q389&lt;&gt;0,T389&lt;&gt;""),T389/Q389,"")</f>
        <v/>
      </c>
      <c r="V389" s="26" t="str">
        <f aca="false">IF(AND(S389&lt;&gt;"",Q389&lt;&gt;""),S389-Q389,"")</f>
        <v/>
      </c>
      <c r="W389" s="27" t="str">
        <f aca="false">IF(AND(Q389&lt;&gt;"",Q389&lt;&gt;0,V389&lt;&gt;""),V389/Q389,"")</f>
        <v/>
      </c>
      <c r="X389" s="28" t="s">
        <v>37</v>
      </c>
      <c r="Y389" s="29" t="str">
        <f aca="false">IF(AND(O389&lt;&gt;"",M389&lt;&gt;"",O389&gt;M389),CONCATENATE("1 : ",TEXT((O389-M389)/M389,"0.00")),IF(AND(O389&lt;&gt;"",M389&lt;&gt;"",O389&lt;M389),CONCATENATE("-1 : ",TEXT((M389-O389)/M389,"0.00")),"—"))</f>
        <v>—</v>
      </c>
      <c r="Z389" s="30" t="str">
        <f aca="false">IF(AND(P389&lt;&gt;"",M389&lt;&gt;"",P389&gt;M389),CONCATENATE("1 : ",TEXT((P389-M389)/M389,"0.00")),"—")</f>
        <v>—</v>
      </c>
      <c r="AA389" s="31" t="str">
        <f aca="false">IF(AND(C389&lt;&gt;"",E389&lt;&gt;""),E389-C389,"")</f>
        <v/>
      </c>
      <c r="AB389" s="17"/>
      <c r="AC389" s="32"/>
      <c r="AD389" s="33"/>
      <c r="AE389" s="34" t="str">
        <f aca="false">IF(G389&lt;&gt;"",HYPERLINK("https://www.tradingview.com/chart/?symbol="&amp;G389&amp;"&amp;interval=60&amp;from="&amp;(AG389-10*3600)&amp;"&amp;to="&amp;(AG389+50*3600),"📈 1H"),"")</f>
        <v/>
      </c>
      <c r="AF389" s="35" t="str">
        <f aca="false">IF(G389&lt;&gt;"",HYPERLINK("https://www.tradingview.com/chart/?symbol="&amp;G389&amp;"&amp;interval=240&amp;from="&amp;(AG389-10*14400)&amp;"&amp;to="&amp;(AG389+50*14400),"📈 4H"),"")</f>
        <v/>
      </c>
      <c r="AG389" s="36" t="str">
        <f aca="false">IF(C389&lt;&gt;"",INT((C389+IF(D389&lt;&gt;"",D389,0)-DATE(1970,1,1))*86400),"")</f>
        <v/>
      </c>
    </row>
    <row r="390" customFormat="false" ht="19.5" hidden="false" customHeight="true" outlineLevel="0" collapsed="false">
      <c r="A390" s="37" t="n">
        <f aca="false">ROW()-4</f>
        <v>386</v>
      </c>
      <c r="B390" s="38"/>
      <c r="C390" s="39"/>
      <c r="D390" s="40"/>
      <c r="E390" s="39"/>
      <c r="F390" s="40"/>
      <c r="G390" s="41"/>
      <c r="H390" s="42"/>
      <c r="I390" s="43"/>
      <c r="J390" s="44"/>
      <c r="K390" s="39"/>
      <c r="L390" s="42"/>
      <c r="M390" s="44"/>
      <c r="N390" s="45"/>
      <c r="O390" s="44"/>
      <c r="P390" s="46"/>
      <c r="Q390" s="47" t="str">
        <f aca="false">IF(L390="","",IF(M390&lt;&gt;"",M390*L390*100,IF(AND(O390&lt;&gt;"",B390&lt;&gt;""),IFERROR(AVERAGEIF($B$5:$B$1004,B390,$M$5:$M$1004)*L390*100,""),"")))</f>
        <v/>
      </c>
      <c r="R390" s="47" t="str">
        <f aca="false">IF(AND(O390&lt;&gt;"",L390&lt;&gt;""),O390*L390*100,"")</f>
        <v/>
      </c>
      <c r="S390" s="48" t="str">
        <f aca="false">IF(AND(P390&lt;&gt;"",L390&lt;&gt;""),P390*L390*100,"")</f>
        <v/>
      </c>
      <c r="T390" s="49" t="str">
        <f aca="false">IF(AND(Q390&lt;&gt;"",R390&lt;&gt;""),R390-Q390,"")</f>
        <v/>
      </c>
      <c r="U390" s="50" t="str">
        <f aca="false">IF(AND(Q390&lt;&gt;"",Q390&lt;&gt;0,T390&lt;&gt;""),T390/Q390,"")</f>
        <v/>
      </c>
      <c r="V390" s="51" t="str">
        <f aca="false">IF(AND(S390&lt;&gt;"",Q390&lt;&gt;""),S390-Q390,"")</f>
        <v/>
      </c>
      <c r="W390" s="52" t="str">
        <f aca="false">IF(AND(Q390&lt;&gt;"",Q390&lt;&gt;0,V390&lt;&gt;""),V390/Q390,"")</f>
        <v/>
      </c>
      <c r="X390" s="53" t="s">
        <v>37</v>
      </c>
      <c r="Y390" s="54" t="str">
        <f aca="false">IF(AND(O390&lt;&gt;"",M390&lt;&gt;"",O390&gt;M390),CONCATENATE("1 : ",TEXT((O390-M390)/M390,"0.00")),IF(AND(O390&lt;&gt;"",M390&lt;&gt;"",O390&lt;M390),CONCATENATE("-1 : ",TEXT((M390-O390)/M390,"0.00")),"—"))</f>
        <v>—</v>
      </c>
      <c r="Z390" s="55" t="str">
        <f aca="false">IF(AND(P390&lt;&gt;"",M390&lt;&gt;"",P390&gt;M390),CONCATENATE("1 : ",TEXT((P390-M390)/M390,"0.00")),"—")</f>
        <v>—</v>
      </c>
      <c r="AA390" s="56" t="str">
        <f aca="false">IF(AND(C390&lt;&gt;"",E390&lt;&gt;""),E390-C390,"")</f>
        <v/>
      </c>
      <c r="AB390" s="42"/>
      <c r="AC390" s="57"/>
      <c r="AD390" s="58"/>
      <c r="AE390" s="59" t="str">
        <f aca="false">IF(G390&lt;&gt;"",HYPERLINK("https://www.tradingview.com/chart/?symbol="&amp;G390&amp;"&amp;interval=60&amp;from="&amp;(AG390-10*3600)&amp;"&amp;to="&amp;(AG390+50*3600),"📈 1H"),"")</f>
        <v/>
      </c>
      <c r="AF390" s="60" t="str">
        <f aca="false">IF(G390&lt;&gt;"",HYPERLINK("https://www.tradingview.com/chart/?symbol="&amp;G390&amp;"&amp;interval=240&amp;from="&amp;(AG390-10*14400)&amp;"&amp;to="&amp;(AG390+50*14400),"📈 4H"),"")</f>
        <v/>
      </c>
      <c r="AG390" s="36" t="str">
        <f aca="false">IF(C390&lt;&gt;"",INT((C390+IF(D390&lt;&gt;"",D390,0)-DATE(1970,1,1))*86400),"")</f>
        <v/>
      </c>
    </row>
    <row r="391" customFormat="false" ht="19.5" hidden="false" customHeight="true" outlineLevel="0" collapsed="false">
      <c r="A391" s="12" t="n">
        <f aca="false">ROW()-4</f>
        <v>387</v>
      </c>
      <c r="B391" s="13"/>
      <c r="C391" s="14"/>
      <c r="D391" s="15"/>
      <c r="E391" s="14"/>
      <c r="F391" s="15"/>
      <c r="G391" s="16"/>
      <c r="H391" s="17"/>
      <c r="I391" s="18"/>
      <c r="J391" s="19"/>
      <c r="K391" s="14"/>
      <c r="L391" s="17"/>
      <c r="M391" s="19"/>
      <c r="N391" s="20"/>
      <c r="O391" s="19"/>
      <c r="P391" s="21"/>
      <c r="Q391" s="22" t="str">
        <f aca="false">IF(L391="","",IF(M391&lt;&gt;"",M391*L391*100,IF(AND(O391&lt;&gt;"",B391&lt;&gt;""),IFERROR(AVERAGEIF($B$5:$B$1004,B391,$M$5:$M$1004)*L391*100,""),"")))</f>
        <v/>
      </c>
      <c r="R391" s="22" t="str">
        <f aca="false">IF(AND(O391&lt;&gt;"",L391&lt;&gt;""),O391*L391*100,"")</f>
        <v/>
      </c>
      <c r="S391" s="23" t="str">
        <f aca="false">IF(AND(P391&lt;&gt;"",L391&lt;&gt;""),P391*L391*100,"")</f>
        <v/>
      </c>
      <c r="T391" s="24" t="str">
        <f aca="false">IF(AND(Q391&lt;&gt;"",R391&lt;&gt;""),R391-Q391,"")</f>
        <v/>
      </c>
      <c r="U391" s="25" t="str">
        <f aca="false">IF(AND(Q391&lt;&gt;"",Q391&lt;&gt;0,T391&lt;&gt;""),T391/Q391,"")</f>
        <v/>
      </c>
      <c r="V391" s="26" t="str">
        <f aca="false">IF(AND(S391&lt;&gt;"",Q391&lt;&gt;""),S391-Q391,"")</f>
        <v/>
      </c>
      <c r="W391" s="27" t="str">
        <f aca="false">IF(AND(Q391&lt;&gt;"",Q391&lt;&gt;0,V391&lt;&gt;""),V391/Q391,"")</f>
        <v/>
      </c>
      <c r="X391" s="28" t="s">
        <v>37</v>
      </c>
      <c r="Y391" s="29" t="str">
        <f aca="false">IF(AND(O391&lt;&gt;"",M391&lt;&gt;"",O391&gt;M391),CONCATENATE("1 : ",TEXT((O391-M391)/M391,"0.00")),IF(AND(O391&lt;&gt;"",M391&lt;&gt;"",O391&lt;M391),CONCATENATE("-1 : ",TEXT((M391-O391)/M391,"0.00")),"—"))</f>
        <v>—</v>
      </c>
      <c r="Z391" s="30" t="str">
        <f aca="false">IF(AND(P391&lt;&gt;"",M391&lt;&gt;"",P391&gt;M391),CONCATENATE("1 : ",TEXT((P391-M391)/M391,"0.00")),"—")</f>
        <v>—</v>
      </c>
      <c r="AA391" s="31" t="str">
        <f aca="false">IF(AND(C391&lt;&gt;"",E391&lt;&gt;""),E391-C391,"")</f>
        <v/>
      </c>
      <c r="AB391" s="17"/>
      <c r="AC391" s="32"/>
      <c r="AD391" s="33"/>
      <c r="AE391" s="34" t="str">
        <f aca="false">IF(G391&lt;&gt;"",HYPERLINK("https://www.tradingview.com/chart/?symbol="&amp;G391&amp;"&amp;interval=60&amp;from="&amp;(AG391-10*3600)&amp;"&amp;to="&amp;(AG391+50*3600),"📈 1H"),"")</f>
        <v/>
      </c>
      <c r="AF391" s="35" t="str">
        <f aca="false">IF(G391&lt;&gt;"",HYPERLINK("https://www.tradingview.com/chart/?symbol="&amp;G391&amp;"&amp;interval=240&amp;from="&amp;(AG391-10*14400)&amp;"&amp;to="&amp;(AG391+50*14400),"📈 4H"),"")</f>
        <v/>
      </c>
      <c r="AG391" s="36" t="str">
        <f aca="false">IF(C391&lt;&gt;"",INT((C391+IF(D391&lt;&gt;"",D391,0)-DATE(1970,1,1))*86400),"")</f>
        <v/>
      </c>
    </row>
    <row r="392" customFormat="false" ht="19.5" hidden="false" customHeight="true" outlineLevel="0" collapsed="false">
      <c r="A392" s="37" t="n">
        <f aca="false">ROW()-4</f>
        <v>388</v>
      </c>
      <c r="B392" s="38"/>
      <c r="C392" s="39"/>
      <c r="D392" s="40"/>
      <c r="E392" s="39"/>
      <c r="F392" s="40"/>
      <c r="G392" s="41"/>
      <c r="H392" s="42"/>
      <c r="I392" s="43"/>
      <c r="J392" s="44"/>
      <c r="K392" s="39"/>
      <c r="L392" s="42"/>
      <c r="M392" s="44"/>
      <c r="N392" s="45"/>
      <c r="O392" s="44"/>
      <c r="P392" s="46"/>
      <c r="Q392" s="47" t="str">
        <f aca="false">IF(L392="","",IF(M392&lt;&gt;"",M392*L392*100,IF(AND(O392&lt;&gt;"",B392&lt;&gt;""),IFERROR(AVERAGEIF($B$5:$B$1004,B392,$M$5:$M$1004)*L392*100,""),"")))</f>
        <v/>
      </c>
      <c r="R392" s="47" t="str">
        <f aca="false">IF(AND(O392&lt;&gt;"",L392&lt;&gt;""),O392*L392*100,"")</f>
        <v/>
      </c>
      <c r="S392" s="48" t="str">
        <f aca="false">IF(AND(P392&lt;&gt;"",L392&lt;&gt;""),P392*L392*100,"")</f>
        <v/>
      </c>
      <c r="T392" s="49" t="str">
        <f aca="false">IF(AND(Q392&lt;&gt;"",R392&lt;&gt;""),R392-Q392,"")</f>
        <v/>
      </c>
      <c r="U392" s="50" t="str">
        <f aca="false">IF(AND(Q392&lt;&gt;"",Q392&lt;&gt;0,T392&lt;&gt;""),T392/Q392,"")</f>
        <v/>
      </c>
      <c r="V392" s="51" t="str">
        <f aca="false">IF(AND(S392&lt;&gt;"",Q392&lt;&gt;""),S392-Q392,"")</f>
        <v/>
      </c>
      <c r="W392" s="52" t="str">
        <f aca="false">IF(AND(Q392&lt;&gt;"",Q392&lt;&gt;0,V392&lt;&gt;""),V392/Q392,"")</f>
        <v/>
      </c>
      <c r="X392" s="53" t="s">
        <v>37</v>
      </c>
      <c r="Y392" s="54" t="str">
        <f aca="false">IF(AND(O392&lt;&gt;"",M392&lt;&gt;"",O392&gt;M392),CONCATENATE("1 : ",TEXT((O392-M392)/M392,"0.00")),IF(AND(O392&lt;&gt;"",M392&lt;&gt;"",O392&lt;M392),CONCATENATE("-1 : ",TEXT((M392-O392)/M392,"0.00")),"—"))</f>
        <v>—</v>
      </c>
      <c r="Z392" s="55" t="str">
        <f aca="false">IF(AND(P392&lt;&gt;"",M392&lt;&gt;"",P392&gt;M392),CONCATENATE("1 : ",TEXT((P392-M392)/M392,"0.00")),"—")</f>
        <v>—</v>
      </c>
      <c r="AA392" s="56" t="str">
        <f aca="false">IF(AND(C392&lt;&gt;"",E392&lt;&gt;""),E392-C392,"")</f>
        <v/>
      </c>
      <c r="AB392" s="42"/>
      <c r="AC392" s="57"/>
      <c r="AD392" s="58"/>
      <c r="AE392" s="59" t="str">
        <f aca="false">IF(G392&lt;&gt;"",HYPERLINK("https://www.tradingview.com/chart/?symbol="&amp;G392&amp;"&amp;interval=60&amp;from="&amp;(AG392-10*3600)&amp;"&amp;to="&amp;(AG392+50*3600),"📈 1H"),"")</f>
        <v/>
      </c>
      <c r="AF392" s="60" t="str">
        <f aca="false">IF(G392&lt;&gt;"",HYPERLINK("https://www.tradingview.com/chart/?symbol="&amp;G392&amp;"&amp;interval=240&amp;from="&amp;(AG392-10*14400)&amp;"&amp;to="&amp;(AG392+50*14400),"📈 4H"),"")</f>
        <v/>
      </c>
      <c r="AG392" s="36" t="str">
        <f aca="false">IF(C392&lt;&gt;"",INT((C392+IF(D392&lt;&gt;"",D392,0)-DATE(1970,1,1))*86400),"")</f>
        <v/>
      </c>
    </row>
    <row r="393" customFormat="false" ht="19.5" hidden="false" customHeight="true" outlineLevel="0" collapsed="false">
      <c r="A393" s="12" t="n">
        <f aca="false">ROW()-4</f>
        <v>389</v>
      </c>
      <c r="B393" s="13"/>
      <c r="C393" s="14"/>
      <c r="D393" s="15"/>
      <c r="E393" s="14"/>
      <c r="F393" s="15"/>
      <c r="G393" s="16"/>
      <c r="H393" s="17"/>
      <c r="I393" s="18"/>
      <c r="J393" s="19"/>
      <c r="K393" s="14"/>
      <c r="L393" s="17"/>
      <c r="M393" s="19"/>
      <c r="N393" s="20"/>
      <c r="O393" s="19"/>
      <c r="P393" s="21"/>
      <c r="Q393" s="22" t="str">
        <f aca="false">IF(L393="","",IF(M393&lt;&gt;"",M393*L393*100,IF(AND(O393&lt;&gt;"",B393&lt;&gt;""),IFERROR(AVERAGEIF($B$5:$B$1004,B393,$M$5:$M$1004)*L393*100,""),"")))</f>
        <v/>
      </c>
      <c r="R393" s="22" t="str">
        <f aca="false">IF(AND(O393&lt;&gt;"",L393&lt;&gt;""),O393*L393*100,"")</f>
        <v/>
      </c>
      <c r="S393" s="23" t="str">
        <f aca="false">IF(AND(P393&lt;&gt;"",L393&lt;&gt;""),P393*L393*100,"")</f>
        <v/>
      </c>
      <c r="T393" s="24" t="str">
        <f aca="false">IF(AND(Q393&lt;&gt;"",R393&lt;&gt;""),R393-Q393,"")</f>
        <v/>
      </c>
      <c r="U393" s="25" t="str">
        <f aca="false">IF(AND(Q393&lt;&gt;"",Q393&lt;&gt;0,T393&lt;&gt;""),T393/Q393,"")</f>
        <v/>
      </c>
      <c r="V393" s="26" t="str">
        <f aca="false">IF(AND(S393&lt;&gt;"",Q393&lt;&gt;""),S393-Q393,"")</f>
        <v/>
      </c>
      <c r="W393" s="27" t="str">
        <f aca="false">IF(AND(Q393&lt;&gt;"",Q393&lt;&gt;0,V393&lt;&gt;""),V393/Q393,"")</f>
        <v/>
      </c>
      <c r="X393" s="28" t="s">
        <v>37</v>
      </c>
      <c r="Y393" s="29" t="str">
        <f aca="false">IF(AND(O393&lt;&gt;"",M393&lt;&gt;"",O393&gt;M393),CONCATENATE("1 : ",TEXT((O393-M393)/M393,"0.00")),IF(AND(O393&lt;&gt;"",M393&lt;&gt;"",O393&lt;M393),CONCATENATE("-1 : ",TEXT((M393-O393)/M393,"0.00")),"—"))</f>
        <v>—</v>
      </c>
      <c r="Z393" s="30" t="str">
        <f aca="false">IF(AND(P393&lt;&gt;"",M393&lt;&gt;"",P393&gt;M393),CONCATENATE("1 : ",TEXT((P393-M393)/M393,"0.00")),"—")</f>
        <v>—</v>
      </c>
      <c r="AA393" s="31" t="str">
        <f aca="false">IF(AND(C393&lt;&gt;"",E393&lt;&gt;""),E393-C393,"")</f>
        <v/>
      </c>
      <c r="AB393" s="17"/>
      <c r="AC393" s="32"/>
      <c r="AD393" s="33"/>
      <c r="AE393" s="34" t="str">
        <f aca="false">IF(G393&lt;&gt;"",HYPERLINK("https://www.tradingview.com/chart/?symbol="&amp;G393&amp;"&amp;interval=60&amp;from="&amp;(AG393-10*3600)&amp;"&amp;to="&amp;(AG393+50*3600),"📈 1H"),"")</f>
        <v/>
      </c>
      <c r="AF393" s="35" t="str">
        <f aca="false">IF(G393&lt;&gt;"",HYPERLINK("https://www.tradingview.com/chart/?symbol="&amp;G393&amp;"&amp;interval=240&amp;from="&amp;(AG393-10*14400)&amp;"&amp;to="&amp;(AG393+50*14400),"📈 4H"),"")</f>
        <v/>
      </c>
      <c r="AG393" s="36" t="str">
        <f aca="false">IF(C393&lt;&gt;"",INT((C393+IF(D393&lt;&gt;"",D393,0)-DATE(1970,1,1))*86400),"")</f>
        <v/>
      </c>
    </row>
    <row r="394" customFormat="false" ht="19.5" hidden="false" customHeight="true" outlineLevel="0" collapsed="false">
      <c r="A394" s="37" t="n">
        <f aca="false">ROW()-4</f>
        <v>390</v>
      </c>
      <c r="B394" s="38"/>
      <c r="C394" s="39"/>
      <c r="D394" s="40"/>
      <c r="E394" s="39"/>
      <c r="F394" s="40"/>
      <c r="G394" s="41"/>
      <c r="H394" s="42"/>
      <c r="I394" s="43"/>
      <c r="J394" s="44"/>
      <c r="K394" s="39"/>
      <c r="L394" s="42"/>
      <c r="M394" s="44"/>
      <c r="N394" s="45"/>
      <c r="O394" s="44"/>
      <c r="P394" s="46"/>
      <c r="Q394" s="47" t="str">
        <f aca="false">IF(L394="","",IF(M394&lt;&gt;"",M394*L394*100,IF(AND(O394&lt;&gt;"",B394&lt;&gt;""),IFERROR(AVERAGEIF($B$5:$B$1004,B394,$M$5:$M$1004)*L394*100,""),"")))</f>
        <v/>
      </c>
      <c r="R394" s="47" t="str">
        <f aca="false">IF(AND(O394&lt;&gt;"",L394&lt;&gt;""),O394*L394*100,"")</f>
        <v/>
      </c>
      <c r="S394" s="48" t="str">
        <f aca="false">IF(AND(P394&lt;&gt;"",L394&lt;&gt;""),P394*L394*100,"")</f>
        <v/>
      </c>
      <c r="T394" s="49" t="str">
        <f aca="false">IF(AND(Q394&lt;&gt;"",R394&lt;&gt;""),R394-Q394,"")</f>
        <v/>
      </c>
      <c r="U394" s="50" t="str">
        <f aca="false">IF(AND(Q394&lt;&gt;"",Q394&lt;&gt;0,T394&lt;&gt;""),T394/Q394,"")</f>
        <v/>
      </c>
      <c r="V394" s="51" t="str">
        <f aca="false">IF(AND(S394&lt;&gt;"",Q394&lt;&gt;""),S394-Q394,"")</f>
        <v/>
      </c>
      <c r="W394" s="52" t="str">
        <f aca="false">IF(AND(Q394&lt;&gt;"",Q394&lt;&gt;0,V394&lt;&gt;""),V394/Q394,"")</f>
        <v/>
      </c>
      <c r="X394" s="53" t="s">
        <v>37</v>
      </c>
      <c r="Y394" s="54" t="str">
        <f aca="false">IF(AND(O394&lt;&gt;"",M394&lt;&gt;"",O394&gt;M394),CONCATENATE("1 : ",TEXT((O394-M394)/M394,"0.00")),IF(AND(O394&lt;&gt;"",M394&lt;&gt;"",O394&lt;M394),CONCATENATE("-1 : ",TEXT((M394-O394)/M394,"0.00")),"—"))</f>
        <v>—</v>
      </c>
      <c r="Z394" s="55" t="str">
        <f aca="false">IF(AND(P394&lt;&gt;"",M394&lt;&gt;"",P394&gt;M394),CONCATENATE("1 : ",TEXT((P394-M394)/M394,"0.00")),"—")</f>
        <v>—</v>
      </c>
      <c r="AA394" s="56" t="str">
        <f aca="false">IF(AND(C394&lt;&gt;"",E394&lt;&gt;""),E394-C394,"")</f>
        <v/>
      </c>
      <c r="AB394" s="42"/>
      <c r="AC394" s="57"/>
      <c r="AD394" s="58"/>
      <c r="AE394" s="59" t="str">
        <f aca="false">IF(G394&lt;&gt;"",HYPERLINK("https://www.tradingview.com/chart/?symbol="&amp;G394&amp;"&amp;interval=60&amp;from="&amp;(AG394-10*3600)&amp;"&amp;to="&amp;(AG394+50*3600),"📈 1H"),"")</f>
        <v/>
      </c>
      <c r="AF394" s="60" t="str">
        <f aca="false">IF(G394&lt;&gt;"",HYPERLINK("https://www.tradingview.com/chart/?symbol="&amp;G394&amp;"&amp;interval=240&amp;from="&amp;(AG394-10*14400)&amp;"&amp;to="&amp;(AG394+50*14400),"📈 4H"),"")</f>
        <v/>
      </c>
      <c r="AG394" s="36" t="str">
        <f aca="false">IF(C394&lt;&gt;"",INT((C394+IF(D394&lt;&gt;"",D394,0)-DATE(1970,1,1))*86400),"")</f>
        <v/>
      </c>
    </row>
    <row r="395" customFormat="false" ht="19.5" hidden="false" customHeight="true" outlineLevel="0" collapsed="false">
      <c r="A395" s="12" t="n">
        <f aca="false">ROW()-4</f>
        <v>391</v>
      </c>
      <c r="B395" s="13"/>
      <c r="C395" s="14"/>
      <c r="D395" s="15"/>
      <c r="E395" s="14"/>
      <c r="F395" s="15"/>
      <c r="G395" s="16"/>
      <c r="H395" s="17"/>
      <c r="I395" s="18"/>
      <c r="J395" s="19"/>
      <c r="K395" s="14"/>
      <c r="L395" s="17"/>
      <c r="M395" s="19"/>
      <c r="N395" s="20"/>
      <c r="O395" s="19"/>
      <c r="P395" s="21"/>
      <c r="Q395" s="22" t="str">
        <f aca="false">IF(L395="","",IF(M395&lt;&gt;"",M395*L395*100,IF(AND(O395&lt;&gt;"",B395&lt;&gt;""),IFERROR(AVERAGEIF($B$5:$B$1004,B395,$M$5:$M$1004)*L395*100,""),"")))</f>
        <v/>
      </c>
      <c r="R395" s="22" t="str">
        <f aca="false">IF(AND(O395&lt;&gt;"",L395&lt;&gt;""),O395*L395*100,"")</f>
        <v/>
      </c>
      <c r="S395" s="23" t="str">
        <f aca="false">IF(AND(P395&lt;&gt;"",L395&lt;&gt;""),P395*L395*100,"")</f>
        <v/>
      </c>
      <c r="T395" s="24" t="str">
        <f aca="false">IF(AND(Q395&lt;&gt;"",R395&lt;&gt;""),R395-Q395,"")</f>
        <v/>
      </c>
      <c r="U395" s="25" t="str">
        <f aca="false">IF(AND(Q395&lt;&gt;"",Q395&lt;&gt;0,T395&lt;&gt;""),T395/Q395,"")</f>
        <v/>
      </c>
      <c r="V395" s="26" t="str">
        <f aca="false">IF(AND(S395&lt;&gt;"",Q395&lt;&gt;""),S395-Q395,"")</f>
        <v/>
      </c>
      <c r="W395" s="27" t="str">
        <f aca="false">IF(AND(Q395&lt;&gt;"",Q395&lt;&gt;0,V395&lt;&gt;""),V395/Q395,"")</f>
        <v/>
      </c>
      <c r="X395" s="28" t="s">
        <v>37</v>
      </c>
      <c r="Y395" s="29" t="str">
        <f aca="false">IF(AND(O395&lt;&gt;"",M395&lt;&gt;"",O395&gt;M395),CONCATENATE("1 : ",TEXT((O395-M395)/M395,"0.00")),IF(AND(O395&lt;&gt;"",M395&lt;&gt;"",O395&lt;M395),CONCATENATE("-1 : ",TEXT((M395-O395)/M395,"0.00")),"—"))</f>
        <v>—</v>
      </c>
      <c r="Z395" s="30" t="str">
        <f aca="false">IF(AND(P395&lt;&gt;"",M395&lt;&gt;"",P395&gt;M395),CONCATENATE("1 : ",TEXT((P395-M395)/M395,"0.00")),"—")</f>
        <v>—</v>
      </c>
      <c r="AA395" s="31" t="str">
        <f aca="false">IF(AND(C395&lt;&gt;"",E395&lt;&gt;""),E395-C395,"")</f>
        <v/>
      </c>
      <c r="AB395" s="17"/>
      <c r="AC395" s="32"/>
      <c r="AD395" s="33"/>
      <c r="AE395" s="34" t="str">
        <f aca="false">IF(G395&lt;&gt;"",HYPERLINK("https://www.tradingview.com/chart/?symbol="&amp;G395&amp;"&amp;interval=60&amp;from="&amp;(AG395-10*3600)&amp;"&amp;to="&amp;(AG395+50*3600),"📈 1H"),"")</f>
        <v/>
      </c>
      <c r="AF395" s="35" t="str">
        <f aca="false">IF(G395&lt;&gt;"",HYPERLINK("https://www.tradingview.com/chart/?symbol="&amp;G395&amp;"&amp;interval=240&amp;from="&amp;(AG395-10*14400)&amp;"&amp;to="&amp;(AG395+50*14400),"📈 4H"),"")</f>
        <v/>
      </c>
      <c r="AG395" s="36" t="str">
        <f aca="false">IF(C395&lt;&gt;"",INT((C395+IF(D395&lt;&gt;"",D395,0)-DATE(1970,1,1))*86400),"")</f>
        <v/>
      </c>
    </row>
    <row r="396" customFormat="false" ht="19.5" hidden="false" customHeight="true" outlineLevel="0" collapsed="false">
      <c r="A396" s="37" t="n">
        <f aca="false">ROW()-4</f>
        <v>392</v>
      </c>
      <c r="B396" s="38"/>
      <c r="C396" s="39"/>
      <c r="D396" s="40"/>
      <c r="E396" s="39"/>
      <c r="F396" s="40"/>
      <c r="G396" s="41"/>
      <c r="H396" s="42"/>
      <c r="I396" s="43"/>
      <c r="J396" s="44"/>
      <c r="K396" s="39"/>
      <c r="L396" s="42"/>
      <c r="M396" s="44"/>
      <c r="N396" s="45"/>
      <c r="O396" s="44"/>
      <c r="P396" s="46"/>
      <c r="Q396" s="47" t="str">
        <f aca="false">IF(L396="","",IF(M396&lt;&gt;"",M396*L396*100,IF(AND(O396&lt;&gt;"",B396&lt;&gt;""),IFERROR(AVERAGEIF($B$5:$B$1004,B396,$M$5:$M$1004)*L396*100,""),"")))</f>
        <v/>
      </c>
      <c r="R396" s="47" t="str">
        <f aca="false">IF(AND(O396&lt;&gt;"",L396&lt;&gt;""),O396*L396*100,"")</f>
        <v/>
      </c>
      <c r="S396" s="48" t="str">
        <f aca="false">IF(AND(P396&lt;&gt;"",L396&lt;&gt;""),P396*L396*100,"")</f>
        <v/>
      </c>
      <c r="T396" s="49" t="str">
        <f aca="false">IF(AND(Q396&lt;&gt;"",R396&lt;&gt;""),R396-Q396,"")</f>
        <v/>
      </c>
      <c r="U396" s="50" t="str">
        <f aca="false">IF(AND(Q396&lt;&gt;"",Q396&lt;&gt;0,T396&lt;&gt;""),T396/Q396,"")</f>
        <v/>
      </c>
      <c r="V396" s="51" t="str">
        <f aca="false">IF(AND(S396&lt;&gt;"",Q396&lt;&gt;""),S396-Q396,"")</f>
        <v/>
      </c>
      <c r="W396" s="52" t="str">
        <f aca="false">IF(AND(Q396&lt;&gt;"",Q396&lt;&gt;0,V396&lt;&gt;""),V396/Q396,"")</f>
        <v/>
      </c>
      <c r="X396" s="53" t="s">
        <v>37</v>
      </c>
      <c r="Y396" s="54" t="str">
        <f aca="false">IF(AND(O396&lt;&gt;"",M396&lt;&gt;"",O396&gt;M396),CONCATENATE("1 : ",TEXT((O396-M396)/M396,"0.00")),IF(AND(O396&lt;&gt;"",M396&lt;&gt;"",O396&lt;M396),CONCATENATE("-1 : ",TEXT((M396-O396)/M396,"0.00")),"—"))</f>
        <v>—</v>
      </c>
      <c r="Z396" s="55" t="str">
        <f aca="false">IF(AND(P396&lt;&gt;"",M396&lt;&gt;"",P396&gt;M396),CONCATENATE("1 : ",TEXT((P396-M396)/M396,"0.00")),"—")</f>
        <v>—</v>
      </c>
      <c r="AA396" s="56" t="str">
        <f aca="false">IF(AND(C396&lt;&gt;"",E396&lt;&gt;""),E396-C396,"")</f>
        <v/>
      </c>
      <c r="AB396" s="42"/>
      <c r="AC396" s="57"/>
      <c r="AD396" s="58"/>
      <c r="AE396" s="59" t="str">
        <f aca="false">IF(G396&lt;&gt;"",HYPERLINK("https://www.tradingview.com/chart/?symbol="&amp;G396&amp;"&amp;interval=60&amp;from="&amp;(AG396-10*3600)&amp;"&amp;to="&amp;(AG396+50*3600),"📈 1H"),"")</f>
        <v/>
      </c>
      <c r="AF396" s="60" t="str">
        <f aca="false">IF(G396&lt;&gt;"",HYPERLINK("https://www.tradingview.com/chart/?symbol="&amp;G396&amp;"&amp;interval=240&amp;from="&amp;(AG396-10*14400)&amp;"&amp;to="&amp;(AG396+50*14400),"📈 4H"),"")</f>
        <v/>
      </c>
      <c r="AG396" s="36" t="str">
        <f aca="false">IF(C396&lt;&gt;"",INT((C396+IF(D396&lt;&gt;"",D396,0)-DATE(1970,1,1))*86400),"")</f>
        <v/>
      </c>
    </row>
    <row r="397" customFormat="false" ht="19.5" hidden="false" customHeight="true" outlineLevel="0" collapsed="false">
      <c r="A397" s="12" t="n">
        <f aca="false">ROW()-4</f>
        <v>393</v>
      </c>
      <c r="B397" s="13"/>
      <c r="C397" s="14"/>
      <c r="D397" s="15"/>
      <c r="E397" s="14"/>
      <c r="F397" s="15"/>
      <c r="G397" s="16"/>
      <c r="H397" s="17"/>
      <c r="I397" s="18"/>
      <c r="J397" s="19"/>
      <c r="K397" s="14"/>
      <c r="L397" s="17"/>
      <c r="M397" s="19"/>
      <c r="N397" s="20"/>
      <c r="O397" s="19"/>
      <c r="P397" s="21"/>
      <c r="Q397" s="22" t="str">
        <f aca="false">IF(L397="","",IF(M397&lt;&gt;"",M397*L397*100,IF(AND(O397&lt;&gt;"",B397&lt;&gt;""),IFERROR(AVERAGEIF($B$5:$B$1004,B397,$M$5:$M$1004)*L397*100,""),"")))</f>
        <v/>
      </c>
      <c r="R397" s="22" t="str">
        <f aca="false">IF(AND(O397&lt;&gt;"",L397&lt;&gt;""),O397*L397*100,"")</f>
        <v/>
      </c>
      <c r="S397" s="23" t="str">
        <f aca="false">IF(AND(P397&lt;&gt;"",L397&lt;&gt;""),P397*L397*100,"")</f>
        <v/>
      </c>
      <c r="T397" s="24" t="str">
        <f aca="false">IF(AND(Q397&lt;&gt;"",R397&lt;&gt;""),R397-Q397,"")</f>
        <v/>
      </c>
      <c r="U397" s="25" t="str">
        <f aca="false">IF(AND(Q397&lt;&gt;"",Q397&lt;&gt;0,T397&lt;&gt;""),T397/Q397,"")</f>
        <v/>
      </c>
      <c r="V397" s="26" t="str">
        <f aca="false">IF(AND(S397&lt;&gt;"",Q397&lt;&gt;""),S397-Q397,"")</f>
        <v/>
      </c>
      <c r="W397" s="27" t="str">
        <f aca="false">IF(AND(Q397&lt;&gt;"",Q397&lt;&gt;0,V397&lt;&gt;""),V397/Q397,"")</f>
        <v/>
      </c>
      <c r="X397" s="28" t="s">
        <v>37</v>
      </c>
      <c r="Y397" s="29" t="str">
        <f aca="false">IF(AND(O397&lt;&gt;"",M397&lt;&gt;"",O397&gt;M397),CONCATENATE("1 : ",TEXT((O397-M397)/M397,"0.00")),IF(AND(O397&lt;&gt;"",M397&lt;&gt;"",O397&lt;M397),CONCATENATE("-1 : ",TEXT((M397-O397)/M397,"0.00")),"—"))</f>
        <v>—</v>
      </c>
      <c r="Z397" s="30" t="str">
        <f aca="false">IF(AND(P397&lt;&gt;"",M397&lt;&gt;"",P397&gt;M397),CONCATENATE("1 : ",TEXT((P397-M397)/M397,"0.00")),"—")</f>
        <v>—</v>
      </c>
      <c r="AA397" s="31" t="str">
        <f aca="false">IF(AND(C397&lt;&gt;"",E397&lt;&gt;""),E397-C397,"")</f>
        <v/>
      </c>
      <c r="AB397" s="17"/>
      <c r="AC397" s="32"/>
      <c r="AD397" s="33"/>
      <c r="AE397" s="34" t="str">
        <f aca="false">IF(G397&lt;&gt;"",HYPERLINK("https://www.tradingview.com/chart/?symbol="&amp;G397&amp;"&amp;interval=60&amp;from="&amp;(AG397-10*3600)&amp;"&amp;to="&amp;(AG397+50*3600),"📈 1H"),"")</f>
        <v/>
      </c>
      <c r="AF397" s="35" t="str">
        <f aca="false">IF(G397&lt;&gt;"",HYPERLINK("https://www.tradingview.com/chart/?symbol="&amp;G397&amp;"&amp;interval=240&amp;from="&amp;(AG397-10*14400)&amp;"&amp;to="&amp;(AG397+50*14400),"📈 4H"),"")</f>
        <v/>
      </c>
      <c r="AG397" s="36" t="str">
        <f aca="false">IF(C397&lt;&gt;"",INT((C397+IF(D397&lt;&gt;"",D397,0)-DATE(1970,1,1))*86400),"")</f>
        <v/>
      </c>
    </row>
    <row r="398" customFormat="false" ht="19.5" hidden="false" customHeight="true" outlineLevel="0" collapsed="false">
      <c r="A398" s="37" t="n">
        <f aca="false">ROW()-4</f>
        <v>394</v>
      </c>
      <c r="B398" s="38"/>
      <c r="C398" s="39"/>
      <c r="D398" s="40"/>
      <c r="E398" s="39"/>
      <c r="F398" s="40"/>
      <c r="G398" s="41"/>
      <c r="H398" s="42"/>
      <c r="I398" s="43"/>
      <c r="J398" s="44"/>
      <c r="K398" s="39"/>
      <c r="L398" s="42"/>
      <c r="M398" s="44"/>
      <c r="N398" s="45"/>
      <c r="O398" s="44"/>
      <c r="P398" s="46"/>
      <c r="Q398" s="47" t="str">
        <f aca="false">IF(L398="","",IF(M398&lt;&gt;"",M398*L398*100,IF(AND(O398&lt;&gt;"",B398&lt;&gt;""),IFERROR(AVERAGEIF($B$5:$B$1004,B398,$M$5:$M$1004)*L398*100,""),"")))</f>
        <v/>
      </c>
      <c r="R398" s="47" t="str">
        <f aca="false">IF(AND(O398&lt;&gt;"",L398&lt;&gt;""),O398*L398*100,"")</f>
        <v/>
      </c>
      <c r="S398" s="48" t="str">
        <f aca="false">IF(AND(P398&lt;&gt;"",L398&lt;&gt;""),P398*L398*100,"")</f>
        <v/>
      </c>
      <c r="T398" s="49" t="str">
        <f aca="false">IF(AND(Q398&lt;&gt;"",R398&lt;&gt;""),R398-Q398,"")</f>
        <v/>
      </c>
      <c r="U398" s="50" t="str">
        <f aca="false">IF(AND(Q398&lt;&gt;"",Q398&lt;&gt;0,T398&lt;&gt;""),T398/Q398,"")</f>
        <v/>
      </c>
      <c r="V398" s="51" t="str">
        <f aca="false">IF(AND(S398&lt;&gt;"",Q398&lt;&gt;""),S398-Q398,"")</f>
        <v/>
      </c>
      <c r="W398" s="52" t="str">
        <f aca="false">IF(AND(Q398&lt;&gt;"",Q398&lt;&gt;0,V398&lt;&gt;""),V398/Q398,"")</f>
        <v/>
      </c>
      <c r="X398" s="53" t="s">
        <v>37</v>
      </c>
      <c r="Y398" s="54" t="str">
        <f aca="false">IF(AND(O398&lt;&gt;"",M398&lt;&gt;"",O398&gt;M398),CONCATENATE("1 : ",TEXT((O398-M398)/M398,"0.00")),IF(AND(O398&lt;&gt;"",M398&lt;&gt;"",O398&lt;M398),CONCATENATE("-1 : ",TEXT((M398-O398)/M398,"0.00")),"—"))</f>
        <v>—</v>
      </c>
      <c r="Z398" s="55" t="str">
        <f aca="false">IF(AND(P398&lt;&gt;"",M398&lt;&gt;"",P398&gt;M398),CONCATENATE("1 : ",TEXT((P398-M398)/M398,"0.00")),"—")</f>
        <v>—</v>
      </c>
      <c r="AA398" s="56" t="str">
        <f aca="false">IF(AND(C398&lt;&gt;"",E398&lt;&gt;""),E398-C398,"")</f>
        <v/>
      </c>
      <c r="AB398" s="42"/>
      <c r="AC398" s="57"/>
      <c r="AD398" s="58"/>
      <c r="AE398" s="59" t="str">
        <f aca="false">IF(G398&lt;&gt;"",HYPERLINK("https://www.tradingview.com/chart/?symbol="&amp;G398&amp;"&amp;interval=60&amp;from="&amp;(AG398-10*3600)&amp;"&amp;to="&amp;(AG398+50*3600),"📈 1H"),"")</f>
        <v/>
      </c>
      <c r="AF398" s="60" t="str">
        <f aca="false">IF(G398&lt;&gt;"",HYPERLINK("https://www.tradingview.com/chart/?symbol="&amp;G398&amp;"&amp;interval=240&amp;from="&amp;(AG398-10*14400)&amp;"&amp;to="&amp;(AG398+50*14400),"📈 4H"),"")</f>
        <v/>
      </c>
      <c r="AG398" s="36" t="str">
        <f aca="false">IF(C398&lt;&gt;"",INT((C398+IF(D398&lt;&gt;"",D398,0)-DATE(1970,1,1))*86400),"")</f>
        <v/>
      </c>
    </row>
    <row r="399" customFormat="false" ht="19.5" hidden="false" customHeight="true" outlineLevel="0" collapsed="false">
      <c r="A399" s="12" t="n">
        <f aca="false">ROW()-4</f>
        <v>395</v>
      </c>
      <c r="B399" s="13"/>
      <c r="C399" s="14"/>
      <c r="D399" s="15"/>
      <c r="E399" s="14"/>
      <c r="F399" s="15"/>
      <c r="G399" s="16"/>
      <c r="H399" s="17"/>
      <c r="I399" s="18"/>
      <c r="J399" s="19"/>
      <c r="K399" s="14"/>
      <c r="L399" s="17"/>
      <c r="M399" s="19"/>
      <c r="N399" s="20"/>
      <c r="O399" s="19"/>
      <c r="P399" s="21"/>
      <c r="Q399" s="22" t="str">
        <f aca="false">IF(L399="","",IF(M399&lt;&gt;"",M399*L399*100,IF(AND(O399&lt;&gt;"",B399&lt;&gt;""),IFERROR(AVERAGEIF($B$5:$B$1004,B399,$M$5:$M$1004)*L399*100,""),"")))</f>
        <v/>
      </c>
      <c r="R399" s="22" t="str">
        <f aca="false">IF(AND(O399&lt;&gt;"",L399&lt;&gt;""),O399*L399*100,"")</f>
        <v/>
      </c>
      <c r="S399" s="23" t="str">
        <f aca="false">IF(AND(P399&lt;&gt;"",L399&lt;&gt;""),P399*L399*100,"")</f>
        <v/>
      </c>
      <c r="T399" s="24" t="str">
        <f aca="false">IF(AND(Q399&lt;&gt;"",R399&lt;&gt;""),R399-Q399,"")</f>
        <v/>
      </c>
      <c r="U399" s="25" t="str">
        <f aca="false">IF(AND(Q399&lt;&gt;"",Q399&lt;&gt;0,T399&lt;&gt;""),T399/Q399,"")</f>
        <v/>
      </c>
      <c r="V399" s="26" t="str">
        <f aca="false">IF(AND(S399&lt;&gt;"",Q399&lt;&gt;""),S399-Q399,"")</f>
        <v/>
      </c>
      <c r="W399" s="27" t="str">
        <f aca="false">IF(AND(Q399&lt;&gt;"",Q399&lt;&gt;0,V399&lt;&gt;""),V399/Q399,"")</f>
        <v/>
      </c>
      <c r="X399" s="28" t="s">
        <v>37</v>
      </c>
      <c r="Y399" s="29" t="str">
        <f aca="false">IF(AND(O399&lt;&gt;"",M399&lt;&gt;"",O399&gt;M399),CONCATENATE("1 : ",TEXT((O399-M399)/M399,"0.00")),IF(AND(O399&lt;&gt;"",M399&lt;&gt;"",O399&lt;M399),CONCATENATE("-1 : ",TEXT((M399-O399)/M399,"0.00")),"—"))</f>
        <v>—</v>
      </c>
      <c r="Z399" s="30" t="str">
        <f aca="false">IF(AND(P399&lt;&gt;"",M399&lt;&gt;"",P399&gt;M399),CONCATENATE("1 : ",TEXT((P399-M399)/M399,"0.00")),"—")</f>
        <v>—</v>
      </c>
      <c r="AA399" s="31" t="str">
        <f aca="false">IF(AND(C399&lt;&gt;"",E399&lt;&gt;""),E399-C399,"")</f>
        <v/>
      </c>
      <c r="AB399" s="17"/>
      <c r="AC399" s="32"/>
      <c r="AD399" s="33"/>
      <c r="AE399" s="34" t="str">
        <f aca="false">IF(G399&lt;&gt;"",HYPERLINK("https://www.tradingview.com/chart/?symbol="&amp;G399&amp;"&amp;interval=60&amp;from="&amp;(AG399-10*3600)&amp;"&amp;to="&amp;(AG399+50*3600),"📈 1H"),"")</f>
        <v/>
      </c>
      <c r="AF399" s="35" t="str">
        <f aca="false">IF(G399&lt;&gt;"",HYPERLINK("https://www.tradingview.com/chart/?symbol="&amp;G399&amp;"&amp;interval=240&amp;from="&amp;(AG399-10*14400)&amp;"&amp;to="&amp;(AG399+50*14400),"📈 4H"),"")</f>
        <v/>
      </c>
      <c r="AG399" s="36" t="str">
        <f aca="false">IF(C399&lt;&gt;"",INT((C399+IF(D399&lt;&gt;"",D399,0)-DATE(1970,1,1))*86400),"")</f>
        <v/>
      </c>
    </row>
    <row r="400" customFormat="false" ht="19.5" hidden="false" customHeight="true" outlineLevel="0" collapsed="false">
      <c r="A400" s="37" t="n">
        <f aca="false">ROW()-4</f>
        <v>396</v>
      </c>
      <c r="B400" s="38"/>
      <c r="C400" s="39"/>
      <c r="D400" s="40"/>
      <c r="E400" s="39"/>
      <c r="F400" s="40"/>
      <c r="G400" s="41"/>
      <c r="H400" s="42"/>
      <c r="I400" s="43"/>
      <c r="J400" s="44"/>
      <c r="K400" s="39"/>
      <c r="L400" s="42"/>
      <c r="M400" s="44"/>
      <c r="N400" s="45"/>
      <c r="O400" s="44"/>
      <c r="P400" s="46"/>
      <c r="Q400" s="47" t="str">
        <f aca="false">IF(L400="","",IF(M400&lt;&gt;"",M400*L400*100,IF(AND(O400&lt;&gt;"",B400&lt;&gt;""),IFERROR(AVERAGEIF($B$5:$B$1004,B400,$M$5:$M$1004)*L400*100,""),"")))</f>
        <v/>
      </c>
      <c r="R400" s="47" t="str">
        <f aca="false">IF(AND(O400&lt;&gt;"",L400&lt;&gt;""),O400*L400*100,"")</f>
        <v/>
      </c>
      <c r="S400" s="48" t="str">
        <f aca="false">IF(AND(P400&lt;&gt;"",L400&lt;&gt;""),P400*L400*100,"")</f>
        <v/>
      </c>
      <c r="T400" s="49" t="str">
        <f aca="false">IF(AND(Q400&lt;&gt;"",R400&lt;&gt;""),R400-Q400,"")</f>
        <v/>
      </c>
      <c r="U400" s="50" t="str">
        <f aca="false">IF(AND(Q400&lt;&gt;"",Q400&lt;&gt;0,T400&lt;&gt;""),T400/Q400,"")</f>
        <v/>
      </c>
      <c r="V400" s="51" t="str">
        <f aca="false">IF(AND(S400&lt;&gt;"",Q400&lt;&gt;""),S400-Q400,"")</f>
        <v/>
      </c>
      <c r="W400" s="52" t="str">
        <f aca="false">IF(AND(Q400&lt;&gt;"",Q400&lt;&gt;0,V400&lt;&gt;""),V400/Q400,"")</f>
        <v/>
      </c>
      <c r="X400" s="53" t="s">
        <v>37</v>
      </c>
      <c r="Y400" s="54" t="str">
        <f aca="false">IF(AND(O400&lt;&gt;"",M400&lt;&gt;"",O400&gt;M400),CONCATENATE("1 : ",TEXT((O400-M400)/M400,"0.00")),IF(AND(O400&lt;&gt;"",M400&lt;&gt;"",O400&lt;M400),CONCATENATE("-1 : ",TEXT((M400-O400)/M400,"0.00")),"—"))</f>
        <v>—</v>
      </c>
      <c r="Z400" s="55" t="str">
        <f aca="false">IF(AND(P400&lt;&gt;"",M400&lt;&gt;"",P400&gt;M400),CONCATENATE("1 : ",TEXT((P400-M400)/M400,"0.00")),"—")</f>
        <v>—</v>
      </c>
      <c r="AA400" s="56" t="str">
        <f aca="false">IF(AND(C400&lt;&gt;"",E400&lt;&gt;""),E400-C400,"")</f>
        <v/>
      </c>
      <c r="AB400" s="42"/>
      <c r="AC400" s="57"/>
      <c r="AD400" s="58"/>
      <c r="AE400" s="59" t="str">
        <f aca="false">IF(G400&lt;&gt;"",HYPERLINK("https://www.tradingview.com/chart/?symbol="&amp;G400&amp;"&amp;interval=60&amp;from="&amp;(AG400-10*3600)&amp;"&amp;to="&amp;(AG400+50*3600),"📈 1H"),"")</f>
        <v/>
      </c>
      <c r="AF400" s="60" t="str">
        <f aca="false">IF(G400&lt;&gt;"",HYPERLINK("https://www.tradingview.com/chart/?symbol="&amp;G400&amp;"&amp;interval=240&amp;from="&amp;(AG400-10*14400)&amp;"&amp;to="&amp;(AG400+50*14400),"📈 4H"),"")</f>
        <v/>
      </c>
      <c r="AG400" s="36" t="str">
        <f aca="false">IF(C400&lt;&gt;"",INT((C400+IF(D400&lt;&gt;"",D400,0)-DATE(1970,1,1))*86400),"")</f>
        <v/>
      </c>
    </row>
    <row r="401" customFormat="false" ht="19.5" hidden="false" customHeight="true" outlineLevel="0" collapsed="false">
      <c r="A401" s="12" t="n">
        <f aca="false">ROW()-4</f>
        <v>397</v>
      </c>
      <c r="B401" s="13"/>
      <c r="C401" s="14"/>
      <c r="D401" s="15"/>
      <c r="E401" s="14"/>
      <c r="F401" s="15"/>
      <c r="G401" s="16"/>
      <c r="H401" s="17"/>
      <c r="I401" s="18"/>
      <c r="J401" s="19"/>
      <c r="K401" s="14"/>
      <c r="L401" s="17"/>
      <c r="M401" s="19"/>
      <c r="N401" s="20"/>
      <c r="O401" s="19"/>
      <c r="P401" s="21"/>
      <c r="Q401" s="22" t="str">
        <f aca="false">IF(L401="","",IF(M401&lt;&gt;"",M401*L401*100,IF(AND(O401&lt;&gt;"",B401&lt;&gt;""),IFERROR(AVERAGEIF($B$5:$B$1004,B401,$M$5:$M$1004)*L401*100,""),"")))</f>
        <v/>
      </c>
      <c r="R401" s="22" t="str">
        <f aca="false">IF(AND(O401&lt;&gt;"",L401&lt;&gt;""),O401*L401*100,"")</f>
        <v/>
      </c>
      <c r="S401" s="23" t="str">
        <f aca="false">IF(AND(P401&lt;&gt;"",L401&lt;&gt;""),P401*L401*100,"")</f>
        <v/>
      </c>
      <c r="T401" s="24" t="str">
        <f aca="false">IF(AND(Q401&lt;&gt;"",R401&lt;&gt;""),R401-Q401,"")</f>
        <v/>
      </c>
      <c r="U401" s="25" t="str">
        <f aca="false">IF(AND(Q401&lt;&gt;"",Q401&lt;&gt;0,T401&lt;&gt;""),T401/Q401,"")</f>
        <v/>
      </c>
      <c r="V401" s="26" t="str">
        <f aca="false">IF(AND(S401&lt;&gt;"",Q401&lt;&gt;""),S401-Q401,"")</f>
        <v/>
      </c>
      <c r="W401" s="27" t="str">
        <f aca="false">IF(AND(Q401&lt;&gt;"",Q401&lt;&gt;0,V401&lt;&gt;""),V401/Q401,"")</f>
        <v/>
      </c>
      <c r="X401" s="28" t="s">
        <v>37</v>
      </c>
      <c r="Y401" s="29" t="str">
        <f aca="false">IF(AND(O401&lt;&gt;"",M401&lt;&gt;"",O401&gt;M401),CONCATENATE("1 : ",TEXT((O401-M401)/M401,"0.00")),IF(AND(O401&lt;&gt;"",M401&lt;&gt;"",O401&lt;M401),CONCATENATE("-1 : ",TEXT((M401-O401)/M401,"0.00")),"—"))</f>
        <v>—</v>
      </c>
      <c r="Z401" s="30" t="str">
        <f aca="false">IF(AND(P401&lt;&gt;"",M401&lt;&gt;"",P401&gt;M401),CONCATENATE("1 : ",TEXT((P401-M401)/M401,"0.00")),"—")</f>
        <v>—</v>
      </c>
      <c r="AA401" s="31" t="str">
        <f aca="false">IF(AND(C401&lt;&gt;"",E401&lt;&gt;""),E401-C401,"")</f>
        <v/>
      </c>
      <c r="AB401" s="17"/>
      <c r="AC401" s="32"/>
      <c r="AD401" s="33"/>
      <c r="AE401" s="34" t="str">
        <f aca="false">IF(G401&lt;&gt;"",HYPERLINK("https://www.tradingview.com/chart/?symbol="&amp;G401&amp;"&amp;interval=60&amp;from="&amp;(AG401-10*3600)&amp;"&amp;to="&amp;(AG401+50*3600),"📈 1H"),"")</f>
        <v/>
      </c>
      <c r="AF401" s="35" t="str">
        <f aca="false">IF(G401&lt;&gt;"",HYPERLINK("https://www.tradingview.com/chart/?symbol="&amp;G401&amp;"&amp;interval=240&amp;from="&amp;(AG401-10*14400)&amp;"&amp;to="&amp;(AG401+50*14400),"📈 4H"),"")</f>
        <v/>
      </c>
      <c r="AG401" s="36" t="str">
        <f aca="false">IF(C401&lt;&gt;"",INT((C401+IF(D401&lt;&gt;"",D401,0)-DATE(1970,1,1))*86400),"")</f>
        <v/>
      </c>
    </row>
    <row r="402" customFormat="false" ht="19.5" hidden="false" customHeight="true" outlineLevel="0" collapsed="false">
      <c r="A402" s="37" t="n">
        <f aca="false">ROW()-4</f>
        <v>398</v>
      </c>
      <c r="B402" s="38"/>
      <c r="C402" s="39"/>
      <c r="D402" s="40"/>
      <c r="E402" s="39"/>
      <c r="F402" s="40"/>
      <c r="G402" s="41"/>
      <c r="H402" s="42"/>
      <c r="I402" s="43"/>
      <c r="J402" s="44"/>
      <c r="K402" s="39"/>
      <c r="L402" s="42"/>
      <c r="M402" s="44"/>
      <c r="N402" s="45"/>
      <c r="O402" s="44"/>
      <c r="P402" s="46"/>
      <c r="Q402" s="47" t="str">
        <f aca="false">IF(L402="","",IF(M402&lt;&gt;"",M402*L402*100,IF(AND(O402&lt;&gt;"",B402&lt;&gt;""),IFERROR(AVERAGEIF($B$5:$B$1004,B402,$M$5:$M$1004)*L402*100,""),"")))</f>
        <v/>
      </c>
      <c r="R402" s="47" t="str">
        <f aca="false">IF(AND(O402&lt;&gt;"",L402&lt;&gt;""),O402*L402*100,"")</f>
        <v/>
      </c>
      <c r="S402" s="48" t="str">
        <f aca="false">IF(AND(P402&lt;&gt;"",L402&lt;&gt;""),P402*L402*100,"")</f>
        <v/>
      </c>
      <c r="T402" s="49" t="str">
        <f aca="false">IF(AND(Q402&lt;&gt;"",R402&lt;&gt;""),R402-Q402,"")</f>
        <v/>
      </c>
      <c r="U402" s="50" t="str">
        <f aca="false">IF(AND(Q402&lt;&gt;"",Q402&lt;&gt;0,T402&lt;&gt;""),T402/Q402,"")</f>
        <v/>
      </c>
      <c r="V402" s="51" t="str">
        <f aca="false">IF(AND(S402&lt;&gt;"",Q402&lt;&gt;""),S402-Q402,"")</f>
        <v/>
      </c>
      <c r="W402" s="52" t="str">
        <f aca="false">IF(AND(Q402&lt;&gt;"",Q402&lt;&gt;0,V402&lt;&gt;""),V402/Q402,"")</f>
        <v/>
      </c>
      <c r="X402" s="53" t="s">
        <v>37</v>
      </c>
      <c r="Y402" s="54" t="str">
        <f aca="false">IF(AND(O402&lt;&gt;"",M402&lt;&gt;"",O402&gt;M402),CONCATENATE("1 : ",TEXT((O402-M402)/M402,"0.00")),IF(AND(O402&lt;&gt;"",M402&lt;&gt;"",O402&lt;M402),CONCATENATE("-1 : ",TEXT((M402-O402)/M402,"0.00")),"—"))</f>
        <v>—</v>
      </c>
      <c r="Z402" s="55" t="str">
        <f aca="false">IF(AND(P402&lt;&gt;"",M402&lt;&gt;"",P402&gt;M402),CONCATENATE("1 : ",TEXT((P402-M402)/M402,"0.00")),"—")</f>
        <v>—</v>
      </c>
      <c r="AA402" s="56" t="str">
        <f aca="false">IF(AND(C402&lt;&gt;"",E402&lt;&gt;""),E402-C402,"")</f>
        <v/>
      </c>
      <c r="AB402" s="42"/>
      <c r="AC402" s="57"/>
      <c r="AD402" s="58"/>
      <c r="AE402" s="59" t="str">
        <f aca="false">IF(G402&lt;&gt;"",HYPERLINK("https://www.tradingview.com/chart/?symbol="&amp;G402&amp;"&amp;interval=60&amp;from="&amp;(AG402-10*3600)&amp;"&amp;to="&amp;(AG402+50*3600),"📈 1H"),"")</f>
        <v/>
      </c>
      <c r="AF402" s="60" t="str">
        <f aca="false">IF(G402&lt;&gt;"",HYPERLINK("https://www.tradingview.com/chart/?symbol="&amp;G402&amp;"&amp;interval=240&amp;from="&amp;(AG402-10*14400)&amp;"&amp;to="&amp;(AG402+50*14400),"📈 4H"),"")</f>
        <v/>
      </c>
      <c r="AG402" s="36" t="str">
        <f aca="false">IF(C402&lt;&gt;"",INT((C402+IF(D402&lt;&gt;"",D402,0)-DATE(1970,1,1))*86400),"")</f>
        <v/>
      </c>
    </row>
    <row r="403" customFormat="false" ht="19.5" hidden="false" customHeight="true" outlineLevel="0" collapsed="false">
      <c r="A403" s="12" t="n">
        <f aca="false">ROW()-4</f>
        <v>399</v>
      </c>
      <c r="B403" s="13"/>
      <c r="C403" s="14"/>
      <c r="D403" s="15"/>
      <c r="E403" s="14"/>
      <c r="F403" s="15"/>
      <c r="G403" s="16"/>
      <c r="H403" s="17"/>
      <c r="I403" s="18"/>
      <c r="J403" s="19"/>
      <c r="K403" s="14"/>
      <c r="L403" s="17"/>
      <c r="M403" s="19"/>
      <c r="N403" s="20"/>
      <c r="O403" s="19"/>
      <c r="P403" s="21"/>
      <c r="Q403" s="22" t="str">
        <f aca="false">IF(L403="","",IF(M403&lt;&gt;"",M403*L403*100,IF(AND(O403&lt;&gt;"",B403&lt;&gt;""),IFERROR(AVERAGEIF($B$5:$B$1004,B403,$M$5:$M$1004)*L403*100,""),"")))</f>
        <v/>
      </c>
      <c r="R403" s="22" t="str">
        <f aca="false">IF(AND(O403&lt;&gt;"",L403&lt;&gt;""),O403*L403*100,"")</f>
        <v/>
      </c>
      <c r="S403" s="23" t="str">
        <f aca="false">IF(AND(P403&lt;&gt;"",L403&lt;&gt;""),P403*L403*100,"")</f>
        <v/>
      </c>
      <c r="T403" s="24" t="str">
        <f aca="false">IF(AND(Q403&lt;&gt;"",R403&lt;&gt;""),R403-Q403,"")</f>
        <v/>
      </c>
      <c r="U403" s="25" t="str">
        <f aca="false">IF(AND(Q403&lt;&gt;"",Q403&lt;&gt;0,T403&lt;&gt;""),T403/Q403,"")</f>
        <v/>
      </c>
      <c r="V403" s="26" t="str">
        <f aca="false">IF(AND(S403&lt;&gt;"",Q403&lt;&gt;""),S403-Q403,"")</f>
        <v/>
      </c>
      <c r="W403" s="27" t="str">
        <f aca="false">IF(AND(Q403&lt;&gt;"",Q403&lt;&gt;0,V403&lt;&gt;""),V403/Q403,"")</f>
        <v/>
      </c>
      <c r="X403" s="28" t="s">
        <v>37</v>
      </c>
      <c r="Y403" s="29" t="str">
        <f aca="false">IF(AND(O403&lt;&gt;"",M403&lt;&gt;"",O403&gt;M403),CONCATENATE("1 : ",TEXT((O403-M403)/M403,"0.00")),IF(AND(O403&lt;&gt;"",M403&lt;&gt;"",O403&lt;M403),CONCATENATE("-1 : ",TEXT((M403-O403)/M403,"0.00")),"—"))</f>
        <v>—</v>
      </c>
      <c r="Z403" s="30" t="str">
        <f aca="false">IF(AND(P403&lt;&gt;"",M403&lt;&gt;"",P403&gt;M403),CONCATENATE("1 : ",TEXT((P403-M403)/M403,"0.00")),"—")</f>
        <v>—</v>
      </c>
      <c r="AA403" s="31" t="str">
        <f aca="false">IF(AND(C403&lt;&gt;"",E403&lt;&gt;""),E403-C403,"")</f>
        <v/>
      </c>
      <c r="AB403" s="17"/>
      <c r="AC403" s="32"/>
      <c r="AD403" s="33"/>
      <c r="AE403" s="34" t="str">
        <f aca="false">IF(G403&lt;&gt;"",HYPERLINK("https://www.tradingview.com/chart/?symbol="&amp;G403&amp;"&amp;interval=60&amp;from="&amp;(AG403-10*3600)&amp;"&amp;to="&amp;(AG403+50*3600),"📈 1H"),"")</f>
        <v/>
      </c>
      <c r="AF403" s="35" t="str">
        <f aca="false">IF(G403&lt;&gt;"",HYPERLINK("https://www.tradingview.com/chart/?symbol="&amp;G403&amp;"&amp;interval=240&amp;from="&amp;(AG403-10*14400)&amp;"&amp;to="&amp;(AG403+50*14400),"📈 4H"),"")</f>
        <v/>
      </c>
      <c r="AG403" s="36" t="str">
        <f aca="false">IF(C403&lt;&gt;"",INT((C403+IF(D403&lt;&gt;"",D403,0)-DATE(1970,1,1))*86400),"")</f>
        <v/>
      </c>
    </row>
    <row r="404" customFormat="false" ht="19.5" hidden="false" customHeight="true" outlineLevel="0" collapsed="false">
      <c r="A404" s="37" t="n">
        <f aca="false">ROW()-4</f>
        <v>400</v>
      </c>
      <c r="B404" s="38"/>
      <c r="C404" s="39"/>
      <c r="D404" s="40"/>
      <c r="E404" s="39"/>
      <c r="F404" s="40"/>
      <c r="G404" s="41"/>
      <c r="H404" s="42"/>
      <c r="I404" s="43"/>
      <c r="J404" s="44"/>
      <c r="K404" s="39"/>
      <c r="L404" s="42"/>
      <c r="M404" s="44"/>
      <c r="N404" s="45"/>
      <c r="O404" s="44"/>
      <c r="P404" s="46"/>
      <c r="Q404" s="47" t="str">
        <f aca="false">IF(L404="","",IF(M404&lt;&gt;"",M404*L404*100,IF(AND(O404&lt;&gt;"",B404&lt;&gt;""),IFERROR(AVERAGEIF($B$5:$B$1004,B404,$M$5:$M$1004)*L404*100,""),"")))</f>
        <v/>
      </c>
      <c r="R404" s="47" t="str">
        <f aca="false">IF(AND(O404&lt;&gt;"",L404&lt;&gt;""),O404*L404*100,"")</f>
        <v/>
      </c>
      <c r="S404" s="48" t="str">
        <f aca="false">IF(AND(P404&lt;&gt;"",L404&lt;&gt;""),P404*L404*100,"")</f>
        <v/>
      </c>
      <c r="T404" s="49" t="str">
        <f aca="false">IF(AND(Q404&lt;&gt;"",R404&lt;&gt;""),R404-Q404,"")</f>
        <v/>
      </c>
      <c r="U404" s="50" t="str">
        <f aca="false">IF(AND(Q404&lt;&gt;"",Q404&lt;&gt;0,T404&lt;&gt;""),T404/Q404,"")</f>
        <v/>
      </c>
      <c r="V404" s="51" t="str">
        <f aca="false">IF(AND(S404&lt;&gt;"",Q404&lt;&gt;""),S404-Q404,"")</f>
        <v/>
      </c>
      <c r="W404" s="52" t="str">
        <f aca="false">IF(AND(Q404&lt;&gt;"",Q404&lt;&gt;0,V404&lt;&gt;""),V404/Q404,"")</f>
        <v/>
      </c>
      <c r="X404" s="53" t="s">
        <v>37</v>
      </c>
      <c r="Y404" s="54" t="str">
        <f aca="false">IF(AND(O404&lt;&gt;"",M404&lt;&gt;"",O404&gt;M404),CONCATENATE("1 : ",TEXT((O404-M404)/M404,"0.00")),IF(AND(O404&lt;&gt;"",M404&lt;&gt;"",O404&lt;M404),CONCATENATE("-1 : ",TEXT((M404-O404)/M404,"0.00")),"—"))</f>
        <v>—</v>
      </c>
      <c r="Z404" s="55" t="str">
        <f aca="false">IF(AND(P404&lt;&gt;"",M404&lt;&gt;"",P404&gt;M404),CONCATENATE("1 : ",TEXT((P404-M404)/M404,"0.00")),"—")</f>
        <v>—</v>
      </c>
      <c r="AA404" s="56" t="str">
        <f aca="false">IF(AND(C404&lt;&gt;"",E404&lt;&gt;""),E404-C404,"")</f>
        <v/>
      </c>
      <c r="AB404" s="42"/>
      <c r="AC404" s="57"/>
      <c r="AD404" s="58"/>
      <c r="AE404" s="59" t="str">
        <f aca="false">IF(G404&lt;&gt;"",HYPERLINK("https://www.tradingview.com/chart/?symbol="&amp;G404&amp;"&amp;interval=60&amp;from="&amp;(AG404-10*3600)&amp;"&amp;to="&amp;(AG404+50*3600),"📈 1H"),"")</f>
        <v/>
      </c>
      <c r="AF404" s="60" t="str">
        <f aca="false">IF(G404&lt;&gt;"",HYPERLINK("https://www.tradingview.com/chart/?symbol="&amp;G404&amp;"&amp;interval=240&amp;from="&amp;(AG404-10*14400)&amp;"&amp;to="&amp;(AG404+50*14400),"📈 4H"),"")</f>
        <v/>
      </c>
      <c r="AG404" s="36" t="str">
        <f aca="false">IF(C404&lt;&gt;"",INT((C404+IF(D404&lt;&gt;"",D404,0)-DATE(1970,1,1))*86400),"")</f>
        <v/>
      </c>
    </row>
    <row r="405" customFormat="false" ht="19.5" hidden="false" customHeight="true" outlineLevel="0" collapsed="false">
      <c r="A405" s="12" t="n">
        <f aca="false">ROW()-4</f>
        <v>401</v>
      </c>
      <c r="B405" s="13"/>
      <c r="C405" s="14"/>
      <c r="D405" s="15"/>
      <c r="E405" s="14"/>
      <c r="F405" s="15"/>
      <c r="G405" s="16"/>
      <c r="H405" s="17"/>
      <c r="I405" s="18"/>
      <c r="J405" s="19"/>
      <c r="K405" s="14"/>
      <c r="L405" s="17"/>
      <c r="M405" s="19"/>
      <c r="N405" s="20"/>
      <c r="O405" s="19"/>
      <c r="P405" s="21"/>
      <c r="Q405" s="22" t="str">
        <f aca="false">IF(L405="","",IF(M405&lt;&gt;"",M405*L405*100,IF(AND(O405&lt;&gt;"",B405&lt;&gt;""),IFERROR(AVERAGEIF($B$5:$B$1004,B405,$M$5:$M$1004)*L405*100,""),"")))</f>
        <v/>
      </c>
      <c r="R405" s="22" t="str">
        <f aca="false">IF(AND(O405&lt;&gt;"",L405&lt;&gt;""),O405*L405*100,"")</f>
        <v/>
      </c>
      <c r="S405" s="23" t="str">
        <f aca="false">IF(AND(P405&lt;&gt;"",L405&lt;&gt;""),P405*L405*100,"")</f>
        <v/>
      </c>
      <c r="T405" s="24" t="str">
        <f aca="false">IF(AND(Q405&lt;&gt;"",R405&lt;&gt;""),R405-Q405,"")</f>
        <v/>
      </c>
      <c r="U405" s="25" t="str">
        <f aca="false">IF(AND(Q405&lt;&gt;"",Q405&lt;&gt;0,T405&lt;&gt;""),T405/Q405,"")</f>
        <v/>
      </c>
      <c r="V405" s="26" t="str">
        <f aca="false">IF(AND(S405&lt;&gt;"",Q405&lt;&gt;""),S405-Q405,"")</f>
        <v/>
      </c>
      <c r="W405" s="27" t="str">
        <f aca="false">IF(AND(Q405&lt;&gt;"",Q405&lt;&gt;0,V405&lt;&gt;""),V405/Q405,"")</f>
        <v/>
      </c>
      <c r="X405" s="28" t="s">
        <v>37</v>
      </c>
      <c r="Y405" s="29" t="str">
        <f aca="false">IF(AND(O405&lt;&gt;"",M405&lt;&gt;"",O405&gt;M405),CONCATENATE("1 : ",TEXT((O405-M405)/M405,"0.00")),IF(AND(O405&lt;&gt;"",M405&lt;&gt;"",O405&lt;M405),CONCATENATE("-1 : ",TEXT((M405-O405)/M405,"0.00")),"—"))</f>
        <v>—</v>
      </c>
      <c r="Z405" s="30" t="str">
        <f aca="false">IF(AND(P405&lt;&gt;"",M405&lt;&gt;"",P405&gt;M405),CONCATENATE("1 : ",TEXT((P405-M405)/M405,"0.00")),"—")</f>
        <v>—</v>
      </c>
      <c r="AA405" s="31" t="str">
        <f aca="false">IF(AND(C405&lt;&gt;"",E405&lt;&gt;""),E405-C405,"")</f>
        <v/>
      </c>
      <c r="AB405" s="17"/>
      <c r="AC405" s="32"/>
      <c r="AD405" s="33"/>
      <c r="AE405" s="34" t="str">
        <f aca="false">IF(G405&lt;&gt;"",HYPERLINK("https://www.tradingview.com/chart/?symbol="&amp;G405&amp;"&amp;interval=60&amp;from="&amp;(AG405-10*3600)&amp;"&amp;to="&amp;(AG405+50*3600),"📈 1H"),"")</f>
        <v/>
      </c>
      <c r="AF405" s="35" t="str">
        <f aca="false">IF(G405&lt;&gt;"",HYPERLINK("https://www.tradingview.com/chart/?symbol="&amp;G405&amp;"&amp;interval=240&amp;from="&amp;(AG405-10*14400)&amp;"&amp;to="&amp;(AG405+50*14400),"📈 4H"),"")</f>
        <v/>
      </c>
      <c r="AG405" s="36" t="str">
        <f aca="false">IF(C405&lt;&gt;"",INT((C405+IF(D405&lt;&gt;"",D405,0)-DATE(1970,1,1))*86400),"")</f>
        <v/>
      </c>
    </row>
    <row r="406" customFormat="false" ht="19.5" hidden="false" customHeight="true" outlineLevel="0" collapsed="false">
      <c r="A406" s="37" t="n">
        <f aca="false">ROW()-4</f>
        <v>402</v>
      </c>
      <c r="B406" s="38"/>
      <c r="C406" s="39"/>
      <c r="D406" s="40"/>
      <c r="E406" s="39"/>
      <c r="F406" s="40"/>
      <c r="G406" s="41"/>
      <c r="H406" s="42"/>
      <c r="I406" s="43"/>
      <c r="J406" s="44"/>
      <c r="K406" s="39"/>
      <c r="L406" s="42"/>
      <c r="M406" s="44"/>
      <c r="N406" s="45"/>
      <c r="O406" s="44"/>
      <c r="P406" s="46"/>
      <c r="Q406" s="47" t="str">
        <f aca="false">IF(L406="","",IF(M406&lt;&gt;"",M406*L406*100,IF(AND(O406&lt;&gt;"",B406&lt;&gt;""),IFERROR(AVERAGEIF($B$5:$B$1004,B406,$M$5:$M$1004)*L406*100,""),"")))</f>
        <v/>
      </c>
      <c r="R406" s="47" t="str">
        <f aca="false">IF(AND(O406&lt;&gt;"",L406&lt;&gt;""),O406*L406*100,"")</f>
        <v/>
      </c>
      <c r="S406" s="48" t="str">
        <f aca="false">IF(AND(P406&lt;&gt;"",L406&lt;&gt;""),P406*L406*100,"")</f>
        <v/>
      </c>
      <c r="T406" s="49" t="str">
        <f aca="false">IF(AND(Q406&lt;&gt;"",R406&lt;&gt;""),R406-Q406,"")</f>
        <v/>
      </c>
      <c r="U406" s="50" t="str">
        <f aca="false">IF(AND(Q406&lt;&gt;"",Q406&lt;&gt;0,T406&lt;&gt;""),T406/Q406,"")</f>
        <v/>
      </c>
      <c r="V406" s="51" t="str">
        <f aca="false">IF(AND(S406&lt;&gt;"",Q406&lt;&gt;""),S406-Q406,"")</f>
        <v/>
      </c>
      <c r="W406" s="52" t="str">
        <f aca="false">IF(AND(Q406&lt;&gt;"",Q406&lt;&gt;0,V406&lt;&gt;""),V406/Q406,"")</f>
        <v/>
      </c>
      <c r="X406" s="53" t="s">
        <v>37</v>
      </c>
      <c r="Y406" s="54" t="str">
        <f aca="false">IF(AND(O406&lt;&gt;"",M406&lt;&gt;"",O406&gt;M406),CONCATENATE("1 : ",TEXT((O406-M406)/M406,"0.00")),IF(AND(O406&lt;&gt;"",M406&lt;&gt;"",O406&lt;M406),CONCATENATE("-1 : ",TEXT((M406-O406)/M406,"0.00")),"—"))</f>
        <v>—</v>
      </c>
      <c r="Z406" s="55" t="str">
        <f aca="false">IF(AND(P406&lt;&gt;"",M406&lt;&gt;"",P406&gt;M406),CONCATENATE("1 : ",TEXT((P406-M406)/M406,"0.00")),"—")</f>
        <v>—</v>
      </c>
      <c r="AA406" s="56" t="str">
        <f aca="false">IF(AND(C406&lt;&gt;"",E406&lt;&gt;""),E406-C406,"")</f>
        <v/>
      </c>
      <c r="AB406" s="42"/>
      <c r="AC406" s="57"/>
      <c r="AD406" s="58"/>
      <c r="AE406" s="59" t="str">
        <f aca="false">IF(G406&lt;&gt;"",HYPERLINK("https://www.tradingview.com/chart/?symbol="&amp;G406&amp;"&amp;interval=60&amp;from="&amp;(AG406-10*3600)&amp;"&amp;to="&amp;(AG406+50*3600),"📈 1H"),"")</f>
        <v/>
      </c>
      <c r="AF406" s="60" t="str">
        <f aca="false">IF(G406&lt;&gt;"",HYPERLINK("https://www.tradingview.com/chart/?symbol="&amp;G406&amp;"&amp;interval=240&amp;from="&amp;(AG406-10*14400)&amp;"&amp;to="&amp;(AG406+50*14400),"📈 4H"),"")</f>
        <v/>
      </c>
      <c r="AG406" s="36" t="str">
        <f aca="false">IF(C406&lt;&gt;"",INT((C406+IF(D406&lt;&gt;"",D406,0)-DATE(1970,1,1))*86400),"")</f>
        <v/>
      </c>
    </row>
    <row r="407" customFormat="false" ht="19.5" hidden="false" customHeight="true" outlineLevel="0" collapsed="false">
      <c r="A407" s="12" t="n">
        <f aca="false">ROW()-4</f>
        <v>403</v>
      </c>
      <c r="B407" s="13"/>
      <c r="C407" s="14"/>
      <c r="D407" s="15"/>
      <c r="E407" s="14"/>
      <c r="F407" s="15"/>
      <c r="G407" s="16"/>
      <c r="H407" s="17"/>
      <c r="I407" s="18"/>
      <c r="J407" s="19"/>
      <c r="K407" s="14"/>
      <c r="L407" s="17"/>
      <c r="M407" s="19"/>
      <c r="N407" s="20"/>
      <c r="O407" s="19"/>
      <c r="P407" s="21"/>
      <c r="Q407" s="22" t="str">
        <f aca="false">IF(L407="","",IF(M407&lt;&gt;"",M407*L407*100,IF(AND(O407&lt;&gt;"",B407&lt;&gt;""),IFERROR(AVERAGEIF($B$5:$B$1004,B407,$M$5:$M$1004)*L407*100,""),"")))</f>
        <v/>
      </c>
      <c r="R407" s="22" t="str">
        <f aca="false">IF(AND(O407&lt;&gt;"",L407&lt;&gt;""),O407*L407*100,"")</f>
        <v/>
      </c>
      <c r="S407" s="23" t="str">
        <f aca="false">IF(AND(P407&lt;&gt;"",L407&lt;&gt;""),P407*L407*100,"")</f>
        <v/>
      </c>
      <c r="T407" s="24" t="str">
        <f aca="false">IF(AND(Q407&lt;&gt;"",R407&lt;&gt;""),R407-Q407,"")</f>
        <v/>
      </c>
      <c r="U407" s="25" t="str">
        <f aca="false">IF(AND(Q407&lt;&gt;"",Q407&lt;&gt;0,T407&lt;&gt;""),T407/Q407,"")</f>
        <v/>
      </c>
      <c r="V407" s="26" t="str">
        <f aca="false">IF(AND(S407&lt;&gt;"",Q407&lt;&gt;""),S407-Q407,"")</f>
        <v/>
      </c>
      <c r="W407" s="27" t="str">
        <f aca="false">IF(AND(Q407&lt;&gt;"",Q407&lt;&gt;0,V407&lt;&gt;""),V407/Q407,"")</f>
        <v/>
      </c>
      <c r="X407" s="28" t="s">
        <v>37</v>
      </c>
      <c r="Y407" s="29" t="str">
        <f aca="false">IF(AND(O407&lt;&gt;"",M407&lt;&gt;"",O407&gt;M407),CONCATENATE("1 : ",TEXT((O407-M407)/M407,"0.00")),IF(AND(O407&lt;&gt;"",M407&lt;&gt;"",O407&lt;M407),CONCATENATE("-1 : ",TEXT((M407-O407)/M407,"0.00")),"—"))</f>
        <v>—</v>
      </c>
      <c r="Z407" s="30" t="str">
        <f aca="false">IF(AND(P407&lt;&gt;"",M407&lt;&gt;"",P407&gt;M407),CONCATENATE("1 : ",TEXT((P407-M407)/M407,"0.00")),"—")</f>
        <v>—</v>
      </c>
      <c r="AA407" s="31" t="str">
        <f aca="false">IF(AND(C407&lt;&gt;"",E407&lt;&gt;""),E407-C407,"")</f>
        <v/>
      </c>
      <c r="AB407" s="17"/>
      <c r="AC407" s="32"/>
      <c r="AD407" s="33"/>
      <c r="AE407" s="34" t="str">
        <f aca="false">IF(G407&lt;&gt;"",HYPERLINK("https://www.tradingview.com/chart/?symbol="&amp;G407&amp;"&amp;interval=60&amp;from="&amp;(AG407-10*3600)&amp;"&amp;to="&amp;(AG407+50*3600),"📈 1H"),"")</f>
        <v/>
      </c>
      <c r="AF407" s="35" t="str">
        <f aca="false">IF(G407&lt;&gt;"",HYPERLINK("https://www.tradingview.com/chart/?symbol="&amp;G407&amp;"&amp;interval=240&amp;from="&amp;(AG407-10*14400)&amp;"&amp;to="&amp;(AG407+50*14400),"📈 4H"),"")</f>
        <v/>
      </c>
      <c r="AG407" s="36" t="str">
        <f aca="false">IF(C407&lt;&gt;"",INT((C407+IF(D407&lt;&gt;"",D407,0)-DATE(1970,1,1))*86400),"")</f>
        <v/>
      </c>
    </row>
    <row r="408" customFormat="false" ht="19.5" hidden="false" customHeight="true" outlineLevel="0" collapsed="false">
      <c r="A408" s="37" t="n">
        <f aca="false">ROW()-4</f>
        <v>404</v>
      </c>
      <c r="B408" s="38"/>
      <c r="C408" s="39"/>
      <c r="D408" s="40"/>
      <c r="E408" s="39"/>
      <c r="F408" s="40"/>
      <c r="G408" s="41"/>
      <c r="H408" s="42"/>
      <c r="I408" s="43"/>
      <c r="J408" s="44"/>
      <c r="K408" s="39"/>
      <c r="L408" s="42"/>
      <c r="M408" s="44"/>
      <c r="N408" s="45"/>
      <c r="O408" s="44"/>
      <c r="P408" s="46"/>
      <c r="Q408" s="47" t="str">
        <f aca="false">IF(L408="","",IF(M408&lt;&gt;"",M408*L408*100,IF(AND(O408&lt;&gt;"",B408&lt;&gt;""),IFERROR(AVERAGEIF($B$5:$B$1004,B408,$M$5:$M$1004)*L408*100,""),"")))</f>
        <v/>
      </c>
      <c r="R408" s="47" t="str">
        <f aca="false">IF(AND(O408&lt;&gt;"",L408&lt;&gt;""),O408*L408*100,"")</f>
        <v/>
      </c>
      <c r="S408" s="48" t="str">
        <f aca="false">IF(AND(P408&lt;&gt;"",L408&lt;&gt;""),P408*L408*100,"")</f>
        <v/>
      </c>
      <c r="T408" s="49" t="str">
        <f aca="false">IF(AND(Q408&lt;&gt;"",R408&lt;&gt;""),R408-Q408,"")</f>
        <v/>
      </c>
      <c r="U408" s="50" t="str">
        <f aca="false">IF(AND(Q408&lt;&gt;"",Q408&lt;&gt;0,T408&lt;&gt;""),T408/Q408,"")</f>
        <v/>
      </c>
      <c r="V408" s="51" t="str">
        <f aca="false">IF(AND(S408&lt;&gt;"",Q408&lt;&gt;""),S408-Q408,"")</f>
        <v/>
      </c>
      <c r="W408" s="52" t="str">
        <f aca="false">IF(AND(Q408&lt;&gt;"",Q408&lt;&gt;0,V408&lt;&gt;""),V408/Q408,"")</f>
        <v/>
      </c>
      <c r="X408" s="53" t="s">
        <v>37</v>
      </c>
      <c r="Y408" s="54" t="str">
        <f aca="false">IF(AND(O408&lt;&gt;"",M408&lt;&gt;"",O408&gt;M408),CONCATENATE("1 : ",TEXT((O408-M408)/M408,"0.00")),IF(AND(O408&lt;&gt;"",M408&lt;&gt;"",O408&lt;M408),CONCATENATE("-1 : ",TEXT((M408-O408)/M408,"0.00")),"—"))</f>
        <v>—</v>
      </c>
      <c r="Z408" s="55" t="str">
        <f aca="false">IF(AND(P408&lt;&gt;"",M408&lt;&gt;"",P408&gt;M408),CONCATENATE("1 : ",TEXT((P408-M408)/M408,"0.00")),"—")</f>
        <v>—</v>
      </c>
      <c r="AA408" s="56" t="str">
        <f aca="false">IF(AND(C408&lt;&gt;"",E408&lt;&gt;""),E408-C408,"")</f>
        <v/>
      </c>
      <c r="AB408" s="42"/>
      <c r="AC408" s="57"/>
      <c r="AD408" s="58"/>
      <c r="AE408" s="59" t="str">
        <f aca="false">IF(G408&lt;&gt;"",HYPERLINK("https://www.tradingview.com/chart/?symbol="&amp;G408&amp;"&amp;interval=60&amp;from="&amp;(AG408-10*3600)&amp;"&amp;to="&amp;(AG408+50*3600),"📈 1H"),"")</f>
        <v/>
      </c>
      <c r="AF408" s="60" t="str">
        <f aca="false">IF(G408&lt;&gt;"",HYPERLINK("https://www.tradingview.com/chart/?symbol="&amp;G408&amp;"&amp;interval=240&amp;from="&amp;(AG408-10*14400)&amp;"&amp;to="&amp;(AG408+50*14400),"📈 4H"),"")</f>
        <v/>
      </c>
      <c r="AG408" s="36" t="str">
        <f aca="false">IF(C408&lt;&gt;"",INT((C408+IF(D408&lt;&gt;"",D408,0)-DATE(1970,1,1))*86400),"")</f>
        <v/>
      </c>
    </row>
    <row r="409" customFormat="false" ht="19.5" hidden="false" customHeight="true" outlineLevel="0" collapsed="false">
      <c r="A409" s="12" t="n">
        <f aca="false">ROW()-4</f>
        <v>405</v>
      </c>
      <c r="B409" s="13"/>
      <c r="C409" s="14"/>
      <c r="D409" s="15"/>
      <c r="E409" s="14"/>
      <c r="F409" s="15"/>
      <c r="G409" s="16"/>
      <c r="H409" s="17"/>
      <c r="I409" s="18"/>
      <c r="J409" s="19"/>
      <c r="K409" s="14"/>
      <c r="L409" s="17"/>
      <c r="M409" s="19"/>
      <c r="N409" s="20"/>
      <c r="O409" s="19"/>
      <c r="P409" s="21"/>
      <c r="Q409" s="22" t="str">
        <f aca="false">IF(L409="","",IF(M409&lt;&gt;"",M409*L409*100,IF(AND(O409&lt;&gt;"",B409&lt;&gt;""),IFERROR(AVERAGEIF($B$5:$B$1004,B409,$M$5:$M$1004)*L409*100,""),"")))</f>
        <v/>
      </c>
      <c r="R409" s="22" t="str">
        <f aca="false">IF(AND(O409&lt;&gt;"",L409&lt;&gt;""),O409*L409*100,"")</f>
        <v/>
      </c>
      <c r="S409" s="23" t="str">
        <f aca="false">IF(AND(P409&lt;&gt;"",L409&lt;&gt;""),P409*L409*100,"")</f>
        <v/>
      </c>
      <c r="T409" s="24" t="str">
        <f aca="false">IF(AND(Q409&lt;&gt;"",R409&lt;&gt;""),R409-Q409,"")</f>
        <v/>
      </c>
      <c r="U409" s="25" t="str">
        <f aca="false">IF(AND(Q409&lt;&gt;"",Q409&lt;&gt;0,T409&lt;&gt;""),T409/Q409,"")</f>
        <v/>
      </c>
      <c r="V409" s="26" t="str">
        <f aca="false">IF(AND(S409&lt;&gt;"",Q409&lt;&gt;""),S409-Q409,"")</f>
        <v/>
      </c>
      <c r="W409" s="27" t="str">
        <f aca="false">IF(AND(Q409&lt;&gt;"",Q409&lt;&gt;0,V409&lt;&gt;""),V409/Q409,"")</f>
        <v/>
      </c>
      <c r="X409" s="28" t="s">
        <v>37</v>
      </c>
      <c r="Y409" s="29" t="str">
        <f aca="false">IF(AND(O409&lt;&gt;"",M409&lt;&gt;"",O409&gt;M409),CONCATENATE("1 : ",TEXT((O409-M409)/M409,"0.00")),IF(AND(O409&lt;&gt;"",M409&lt;&gt;"",O409&lt;M409),CONCATENATE("-1 : ",TEXT((M409-O409)/M409,"0.00")),"—"))</f>
        <v>—</v>
      </c>
      <c r="Z409" s="30" t="str">
        <f aca="false">IF(AND(P409&lt;&gt;"",M409&lt;&gt;"",P409&gt;M409),CONCATENATE("1 : ",TEXT((P409-M409)/M409,"0.00")),"—")</f>
        <v>—</v>
      </c>
      <c r="AA409" s="31" t="str">
        <f aca="false">IF(AND(C409&lt;&gt;"",E409&lt;&gt;""),E409-C409,"")</f>
        <v/>
      </c>
      <c r="AB409" s="17"/>
      <c r="AC409" s="32"/>
      <c r="AD409" s="33"/>
      <c r="AE409" s="34" t="str">
        <f aca="false">IF(G409&lt;&gt;"",HYPERLINK("https://www.tradingview.com/chart/?symbol="&amp;G409&amp;"&amp;interval=60&amp;from="&amp;(AG409-10*3600)&amp;"&amp;to="&amp;(AG409+50*3600),"📈 1H"),"")</f>
        <v/>
      </c>
      <c r="AF409" s="35" t="str">
        <f aca="false">IF(G409&lt;&gt;"",HYPERLINK("https://www.tradingview.com/chart/?symbol="&amp;G409&amp;"&amp;interval=240&amp;from="&amp;(AG409-10*14400)&amp;"&amp;to="&amp;(AG409+50*14400),"📈 4H"),"")</f>
        <v/>
      </c>
      <c r="AG409" s="36" t="str">
        <f aca="false">IF(C409&lt;&gt;"",INT((C409+IF(D409&lt;&gt;"",D409,0)-DATE(1970,1,1))*86400),"")</f>
        <v/>
      </c>
    </row>
    <row r="410" customFormat="false" ht="19.5" hidden="false" customHeight="true" outlineLevel="0" collapsed="false">
      <c r="A410" s="37" t="n">
        <f aca="false">ROW()-4</f>
        <v>406</v>
      </c>
      <c r="B410" s="38"/>
      <c r="C410" s="39"/>
      <c r="D410" s="40"/>
      <c r="E410" s="39"/>
      <c r="F410" s="40"/>
      <c r="G410" s="41"/>
      <c r="H410" s="42"/>
      <c r="I410" s="43"/>
      <c r="J410" s="44"/>
      <c r="K410" s="39"/>
      <c r="L410" s="42"/>
      <c r="M410" s="44"/>
      <c r="N410" s="45"/>
      <c r="O410" s="44"/>
      <c r="P410" s="46"/>
      <c r="Q410" s="47" t="str">
        <f aca="false">IF(L410="","",IF(M410&lt;&gt;"",M410*L410*100,IF(AND(O410&lt;&gt;"",B410&lt;&gt;""),IFERROR(AVERAGEIF($B$5:$B$1004,B410,$M$5:$M$1004)*L410*100,""),"")))</f>
        <v/>
      </c>
      <c r="R410" s="47" t="str">
        <f aca="false">IF(AND(O410&lt;&gt;"",L410&lt;&gt;""),O410*L410*100,"")</f>
        <v/>
      </c>
      <c r="S410" s="48" t="str">
        <f aca="false">IF(AND(P410&lt;&gt;"",L410&lt;&gt;""),P410*L410*100,"")</f>
        <v/>
      </c>
      <c r="T410" s="49" t="str">
        <f aca="false">IF(AND(Q410&lt;&gt;"",R410&lt;&gt;""),R410-Q410,"")</f>
        <v/>
      </c>
      <c r="U410" s="50" t="str">
        <f aca="false">IF(AND(Q410&lt;&gt;"",Q410&lt;&gt;0,T410&lt;&gt;""),T410/Q410,"")</f>
        <v/>
      </c>
      <c r="V410" s="51" t="str">
        <f aca="false">IF(AND(S410&lt;&gt;"",Q410&lt;&gt;""),S410-Q410,"")</f>
        <v/>
      </c>
      <c r="W410" s="52" t="str">
        <f aca="false">IF(AND(Q410&lt;&gt;"",Q410&lt;&gt;0,V410&lt;&gt;""),V410/Q410,"")</f>
        <v/>
      </c>
      <c r="X410" s="53" t="s">
        <v>37</v>
      </c>
      <c r="Y410" s="54" t="str">
        <f aca="false">IF(AND(O410&lt;&gt;"",M410&lt;&gt;"",O410&gt;M410),CONCATENATE("1 : ",TEXT((O410-M410)/M410,"0.00")),IF(AND(O410&lt;&gt;"",M410&lt;&gt;"",O410&lt;M410),CONCATENATE("-1 : ",TEXT((M410-O410)/M410,"0.00")),"—"))</f>
        <v>—</v>
      </c>
      <c r="Z410" s="55" t="str">
        <f aca="false">IF(AND(P410&lt;&gt;"",M410&lt;&gt;"",P410&gt;M410),CONCATENATE("1 : ",TEXT((P410-M410)/M410,"0.00")),"—")</f>
        <v>—</v>
      </c>
      <c r="AA410" s="56" t="str">
        <f aca="false">IF(AND(C410&lt;&gt;"",E410&lt;&gt;""),E410-C410,"")</f>
        <v/>
      </c>
      <c r="AB410" s="42"/>
      <c r="AC410" s="57"/>
      <c r="AD410" s="58"/>
      <c r="AE410" s="59" t="str">
        <f aca="false">IF(G410&lt;&gt;"",HYPERLINK("https://www.tradingview.com/chart/?symbol="&amp;G410&amp;"&amp;interval=60&amp;from="&amp;(AG410-10*3600)&amp;"&amp;to="&amp;(AG410+50*3600),"📈 1H"),"")</f>
        <v/>
      </c>
      <c r="AF410" s="60" t="str">
        <f aca="false">IF(G410&lt;&gt;"",HYPERLINK("https://www.tradingview.com/chart/?symbol="&amp;G410&amp;"&amp;interval=240&amp;from="&amp;(AG410-10*14400)&amp;"&amp;to="&amp;(AG410+50*14400),"📈 4H"),"")</f>
        <v/>
      </c>
      <c r="AG410" s="36" t="str">
        <f aca="false">IF(C410&lt;&gt;"",INT((C410+IF(D410&lt;&gt;"",D410,0)-DATE(1970,1,1))*86400),"")</f>
        <v/>
      </c>
    </row>
    <row r="411" customFormat="false" ht="19.5" hidden="false" customHeight="true" outlineLevel="0" collapsed="false">
      <c r="A411" s="12" t="n">
        <f aca="false">ROW()-4</f>
        <v>407</v>
      </c>
      <c r="B411" s="13"/>
      <c r="C411" s="14"/>
      <c r="D411" s="15"/>
      <c r="E411" s="14"/>
      <c r="F411" s="15"/>
      <c r="G411" s="16"/>
      <c r="H411" s="17"/>
      <c r="I411" s="18"/>
      <c r="J411" s="19"/>
      <c r="K411" s="14"/>
      <c r="L411" s="17"/>
      <c r="M411" s="19"/>
      <c r="N411" s="20"/>
      <c r="O411" s="19"/>
      <c r="P411" s="21"/>
      <c r="Q411" s="22" t="str">
        <f aca="false">IF(L411="","",IF(M411&lt;&gt;"",M411*L411*100,IF(AND(O411&lt;&gt;"",B411&lt;&gt;""),IFERROR(AVERAGEIF($B$5:$B$1004,B411,$M$5:$M$1004)*L411*100,""),"")))</f>
        <v/>
      </c>
      <c r="R411" s="22" t="str">
        <f aca="false">IF(AND(O411&lt;&gt;"",L411&lt;&gt;""),O411*L411*100,"")</f>
        <v/>
      </c>
      <c r="S411" s="23" t="str">
        <f aca="false">IF(AND(P411&lt;&gt;"",L411&lt;&gt;""),P411*L411*100,"")</f>
        <v/>
      </c>
      <c r="T411" s="24" t="str">
        <f aca="false">IF(AND(Q411&lt;&gt;"",R411&lt;&gt;""),R411-Q411,"")</f>
        <v/>
      </c>
      <c r="U411" s="25" t="str">
        <f aca="false">IF(AND(Q411&lt;&gt;"",Q411&lt;&gt;0,T411&lt;&gt;""),T411/Q411,"")</f>
        <v/>
      </c>
      <c r="V411" s="26" t="str">
        <f aca="false">IF(AND(S411&lt;&gt;"",Q411&lt;&gt;""),S411-Q411,"")</f>
        <v/>
      </c>
      <c r="W411" s="27" t="str">
        <f aca="false">IF(AND(Q411&lt;&gt;"",Q411&lt;&gt;0,V411&lt;&gt;""),V411/Q411,"")</f>
        <v/>
      </c>
      <c r="X411" s="28" t="s">
        <v>37</v>
      </c>
      <c r="Y411" s="29" t="str">
        <f aca="false">IF(AND(O411&lt;&gt;"",M411&lt;&gt;"",O411&gt;M411),CONCATENATE("1 : ",TEXT((O411-M411)/M411,"0.00")),IF(AND(O411&lt;&gt;"",M411&lt;&gt;"",O411&lt;M411),CONCATENATE("-1 : ",TEXT((M411-O411)/M411,"0.00")),"—"))</f>
        <v>—</v>
      </c>
      <c r="Z411" s="30" t="str">
        <f aca="false">IF(AND(P411&lt;&gt;"",M411&lt;&gt;"",P411&gt;M411),CONCATENATE("1 : ",TEXT((P411-M411)/M411,"0.00")),"—")</f>
        <v>—</v>
      </c>
      <c r="AA411" s="31" t="str">
        <f aca="false">IF(AND(C411&lt;&gt;"",E411&lt;&gt;""),E411-C411,"")</f>
        <v/>
      </c>
      <c r="AB411" s="17"/>
      <c r="AC411" s="32"/>
      <c r="AD411" s="33"/>
      <c r="AE411" s="34" t="str">
        <f aca="false">IF(G411&lt;&gt;"",HYPERLINK("https://www.tradingview.com/chart/?symbol="&amp;G411&amp;"&amp;interval=60&amp;from="&amp;(AG411-10*3600)&amp;"&amp;to="&amp;(AG411+50*3600),"📈 1H"),"")</f>
        <v/>
      </c>
      <c r="AF411" s="35" t="str">
        <f aca="false">IF(G411&lt;&gt;"",HYPERLINK("https://www.tradingview.com/chart/?symbol="&amp;G411&amp;"&amp;interval=240&amp;from="&amp;(AG411-10*14400)&amp;"&amp;to="&amp;(AG411+50*14400),"📈 4H"),"")</f>
        <v/>
      </c>
      <c r="AG411" s="36" t="str">
        <f aca="false">IF(C411&lt;&gt;"",INT((C411+IF(D411&lt;&gt;"",D411,0)-DATE(1970,1,1))*86400),"")</f>
        <v/>
      </c>
    </row>
    <row r="412" customFormat="false" ht="19.5" hidden="false" customHeight="true" outlineLevel="0" collapsed="false">
      <c r="A412" s="37" t="n">
        <f aca="false">ROW()-4</f>
        <v>408</v>
      </c>
      <c r="B412" s="38"/>
      <c r="C412" s="39"/>
      <c r="D412" s="40"/>
      <c r="E412" s="39"/>
      <c r="F412" s="40"/>
      <c r="G412" s="41"/>
      <c r="H412" s="42"/>
      <c r="I412" s="43"/>
      <c r="J412" s="44"/>
      <c r="K412" s="39"/>
      <c r="L412" s="42"/>
      <c r="M412" s="44"/>
      <c r="N412" s="45"/>
      <c r="O412" s="44"/>
      <c r="P412" s="46"/>
      <c r="Q412" s="47" t="str">
        <f aca="false">IF(L412="","",IF(M412&lt;&gt;"",M412*L412*100,IF(AND(O412&lt;&gt;"",B412&lt;&gt;""),IFERROR(AVERAGEIF($B$5:$B$1004,B412,$M$5:$M$1004)*L412*100,""),"")))</f>
        <v/>
      </c>
      <c r="R412" s="47" t="str">
        <f aca="false">IF(AND(O412&lt;&gt;"",L412&lt;&gt;""),O412*L412*100,"")</f>
        <v/>
      </c>
      <c r="S412" s="48" t="str">
        <f aca="false">IF(AND(P412&lt;&gt;"",L412&lt;&gt;""),P412*L412*100,"")</f>
        <v/>
      </c>
      <c r="T412" s="49" t="str">
        <f aca="false">IF(AND(Q412&lt;&gt;"",R412&lt;&gt;""),R412-Q412,"")</f>
        <v/>
      </c>
      <c r="U412" s="50" t="str">
        <f aca="false">IF(AND(Q412&lt;&gt;"",Q412&lt;&gt;0,T412&lt;&gt;""),T412/Q412,"")</f>
        <v/>
      </c>
      <c r="V412" s="51" t="str">
        <f aca="false">IF(AND(S412&lt;&gt;"",Q412&lt;&gt;""),S412-Q412,"")</f>
        <v/>
      </c>
      <c r="W412" s="52" t="str">
        <f aca="false">IF(AND(Q412&lt;&gt;"",Q412&lt;&gt;0,V412&lt;&gt;""),V412/Q412,"")</f>
        <v/>
      </c>
      <c r="X412" s="53" t="s">
        <v>37</v>
      </c>
      <c r="Y412" s="54" t="str">
        <f aca="false">IF(AND(O412&lt;&gt;"",M412&lt;&gt;"",O412&gt;M412),CONCATENATE("1 : ",TEXT((O412-M412)/M412,"0.00")),IF(AND(O412&lt;&gt;"",M412&lt;&gt;"",O412&lt;M412),CONCATENATE("-1 : ",TEXT((M412-O412)/M412,"0.00")),"—"))</f>
        <v>—</v>
      </c>
      <c r="Z412" s="55" t="str">
        <f aca="false">IF(AND(P412&lt;&gt;"",M412&lt;&gt;"",P412&gt;M412),CONCATENATE("1 : ",TEXT((P412-M412)/M412,"0.00")),"—")</f>
        <v>—</v>
      </c>
      <c r="AA412" s="56" t="str">
        <f aca="false">IF(AND(C412&lt;&gt;"",E412&lt;&gt;""),E412-C412,"")</f>
        <v/>
      </c>
      <c r="AB412" s="42"/>
      <c r="AC412" s="57"/>
      <c r="AD412" s="58"/>
      <c r="AE412" s="59" t="str">
        <f aca="false">IF(G412&lt;&gt;"",HYPERLINK("https://www.tradingview.com/chart/?symbol="&amp;G412&amp;"&amp;interval=60&amp;from="&amp;(AG412-10*3600)&amp;"&amp;to="&amp;(AG412+50*3600),"📈 1H"),"")</f>
        <v/>
      </c>
      <c r="AF412" s="60" t="str">
        <f aca="false">IF(G412&lt;&gt;"",HYPERLINK("https://www.tradingview.com/chart/?symbol="&amp;G412&amp;"&amp;interval=240&amp;from="&amp;(AG412-10*14400)&amp;"&amp;to="&amp;(AG412+50*14400),"📈 4H"),"")</f>
        <v/>
      </c>
      <c r="AG412" s="36" t="str">
        <f aca="false">IF(C412&lt;&gt;"",INT((C412+IF(D412&lt;&gt;"",D412,0)-DATE(1970,1,1))*86400),"")</f>
        <v/>
      </c>
    </row>
    <row r="413" customFormat="false" ht="19.5" hidden="false" customHeight="true" outlineLevel="0" collapsed="false">
      <c r="A413" s="12" t="n">
        <f aca="false">ROW()-4</f>
        <v>409</v>
      </c>
      <c r="B413" s="13"/>
      <c r="C413" s="14"/>
      <c r="D413" s="15"/>
      <c r="E413" s="14"/>
      <c r="F413" s="15"/>
      <c r="G413" s="16"/>
      <c r="H413" s="17"/>
      <c r="I413" s="18"/>
      <c r="J413" s="19"/>
      <c r="K413" s="14"/>
      <c r="L413" s="17"/>
      <c r="M413" s="19"/>
      <c r="N413" s="20"/>
      <c r="O413" s="19"/>
      <c r="P413" s="21"/>
      <c r="Q413" s="22" t="str">
        <f aca="false">IF(L413="","",IF(M413&lt;&gt;"",M413*L413*100,IF(AND(O413&lt;&gt;"",B413&lt;&gt;""),IFERROR(AVERAGEIF($B$5:$B$1004,B413,$M$5:$M$1004)*L413*100,""),"")))</f>
        <v/>
      </c>
      <c r="R413" s="22" t="str">
        <f aca="false">IF(AND(O413&lt;&gt;"",L413&lt;&gt;""),O413*L413*100,"")</f>
        <v/>
      </c>
      <c r="S413" s="23" t="str">
        <f aca="false">IF(AND(P413&lt;&gt;"",L413&lt;&gt;""),P413*L413*100,"")</f>
        <v/>
      </c>
      <c r="T413" s="24" t="str">
        <f aca="false">IF(AND(Q413&lt;&gt;"",R413&lt;&gt;""),R413-Q413,"")</f>
        <v/>
      </c>
      <c r="U413" s="25" t="str">
        <f aca="false">IF(AND(Q413&lt;&gt;"",Q413&lt;&gt;0,T413&lt;&gt;""),T413/Q413,"")</f>
        <v/>
      </c>
      <c r="V413" s="26" t="str">
        <f aca="false">IF(AND(S413&lt;&gt;"",Q413&lt;&gt;""),S413-Q413,"")</f>
        <v/>
      </c>
      <c r="W413" s="27" t="str">
        <f aca="false">IF(AND(Q413&lt;&gt;"",Q413&lt;&gt;0,V413&lt;&gt;""),V413/Q413,"")</f>
        <v/>
      </c>
      <c r="X413" s="28" t="s">
        <v>37</v>
      </c>
      <c r="Y413" s="29" t="str">
        <f aca="false">IF(AND(O413&lt;&gt;"",M413&lt;&gt;"",O413&gt;M413),CONCATENATE("1 : ",TEXT((O413-M413)/M413,"0.00")),IF(AND(O413&lt;&gt;"",M413&lt;&gt;"",O413&lt;M413),CONCATENATE("-1 : ",TEXT((M413-O413)/M413,"0.00")),"—"))</f>
        <v>—</v>
      </c>
      <c r="Z413" s="30" t="str">
        <f aca="false">IF(AND(P413&lt;&gt;"",M413&lt;&gt;"",P413&gt;M413),CONCATENATE("1 : ",TEXT((P413-M413)/M413,"0.00")),"—")</f>
        <v>—</v>
      </c>
      <c r="AA413" s="31" t="str">
        <f aca="false">IF(AND(C413&lt;&gt;"",E413&lt;&gt;""),E413-C413,"")</f>
        <v/>
      </c>
      <c r="AB413" s="17"/>
      <c r="AC413" s="32"/>
      <c r="AD413" s="33"/>
      <c r="AE413" s="34" t="str">
        <f aca="false">IF(G413&lt;&gt;"",HYPERLINK("https://www.tradingview.com/chart/?symbol="&amp;G413&amp;"&amp;interval=60&amp;from="&amp;(AG413-10*3600)&amp;"&amp;to="&amp;(AG413+50*3600),"📈 1H"),"")</f>
        <v/>
      </c>
      <c r="AF413" s="35" t="str">
        <f aca="false">IF(G413&lt;&gt;"",HYPERLINK("https://www.tradingview.com/chart/?symbol="&amp;G413&amp;"&amp;interval=240&amp;from="&amp;(AG413-10*14400)&amp;"&amp;to="&amp;(AG413+50*14400),"📈 4H"),"")</f>
        <v/>
      </c>
      <c r="AG413" s="36" t="str">
        <f aca="false">IF(C413&lt;&gt;"",INT((C413+IF(D413&lt;&gt;"",D413,0)-DATE(1970,1,1))*86400),"")</f>
        <v/>
      </c>
    </row>
    <row r="414" customFormat="false" ht="19.5" hidden="false" customHeight="true" outlineLevel="0" collapsed="false">
      <c r="A414" s="37" t="n">
        <f aca="false">ROW()-4</f>
        <v>410</v>
      </c>
      <c r="B414" s="38"/>
      <c r="C414" s="39"/>
      <c r="D414" s="40"/>
      <c r="E414" s="39"/>
      <c r="F414" s="40"/>
      <c r="G414" s="41"/>
      <c r="H414" s="42"/>
      <c r="I414" s="43"/>
      <c r="J414" s="44"/>
      <c r="K414" s="39"/>
      <c r="L414" s="42"/>
      <c r="M414" s="44"/>
      <c r="N414" s="45"/>
      <c r="O414" s="44"/>
      <c r="P414" s="46"/>
      <c r="Q414" s="47" t="str">
        <f aca="false">IF(L414="","",IF(M414&lt;&gt;"",M414*L414*100,IF(AND(O414&lt;&gt;"",B414&lt;&gt;""),IFERROR(AVERAGEIF($B$5:$B$1004,B414,$M$5:$M$1004)*L414*100,""),"")))</f>
        <v/>
      </c>
      <c r="R414" s="47" t="str">
        <f aca="false">IF(AND(O414&lt;&gt;"",L414&lt;&gt;""),O414*L414*100,"")</f>
        <v/>
      </c>
      <c r="S414" s="48" t="str">
        <f aca="false">IF(AND(P414&lt;&gt;"",L414&lt;&gt;""),P414*L414*100,"")</f>
        <v/>
      </c>
      <c r="T414" s="49" t="str">
        <f aca="false">IF(AND(Q414&lt;&gt;"",R414&lt;&gt;""),R414-Q414,"")</f>
        <v/>
      </c>
      <c r="U414" s="50" t="str">
        <f aca="false">IF(AND(Q414&lt;&gt;"",Q414&lt;&gt;0,T414&lt;&gt;""),T414/Q414,"")</f>
        <v/>
      </c>
      <c r="V414" s="51" t="str">
        <f aca="false">IF(AND(S414&lt;&gt;"",Q414&lt;&gt;""),S414-Q414,"")</f>
        <v/>
      </c>
      <c r="W414" s="52" t="str">
        <f aca="false">IF(AND(Q414&lt;&gt;"",Q414&lt;&gt;0,V414&lt;&gt;""),V414/Q414,"")</f>
        <v/>
      </c>
      <c r="X414" s="53" t="s">
        <v>37</v>
      </c>
      <c r="Y414" s="54" t="str">
        <f aca="false">IF(AND(O414&lt;&gt;"",M414&lt;&gt;"",O414&gt;M414),CONCATENATE("1 : ",TEXT((O414-M414)/M414,"0.00")),IF(AND(O414&lt;&gt;"",M414&lt;&gt;"",O414&lt;M414),CONCATENATE("-1 : ",TEXT((M414-O414)/M414,"0.00")),"—"))</f>
        <v>—</v>
      </c>
      <c r="Z414" s="55" t="str">
        <f aca="false">IF(AND(P414&lt;&gt;"",M414&lt;&gt;"",P414&gt;M414),CONCATENATE("1 : ",TEXT((P414-M414)/M414,"0.00")),"—")</f>
        <v>—</v>
      </c>
      <c r="AA414" s="56" t="str">
        <f aca="false">IF(AND(C414&lt;&gt;"",E414&lt;&gt;""),E414-C414,"")</f>
        <v/>
      </c>
      <c r="AB414" s="42"/>
      <c r="AC414" s="57"/>
      <c r="AD414" s="58"/>
      <c r="AE414" s="59" t="str">
        <f aca="false">IF(G414&lt;&gt;"",HYPERLINK("https://www.tradingview.com/chart/?symbol="&amp;G414&amp;"&amp;interval=60&amp;from="&amp;(AG414-10*3600)&amp;"&amp;to="&amp;(AG414+50*3600),"📈 1H"),"")</f>
        <v/>
      </c>
      <c r="AF414" s="60" t="str">
        <f aca="false">IF(G414&lt;&gt;"",HYPERLINK("https://www.tradingview.com/chart/?symbol="&amp;G414&amp;"&amp;interval=240&amp;from="&amp;(AG414-10*14400)&amp;"&amp;to="&amp;(AG414+50*14400),"📈 4H"),"")</f>
        <v/>
      </c>
      <c r="AG414" s="36" t="str">
        <f aca="false">IF(C414&lt;&gt;"",INT((C414+IF(D414&lt;&gt;"",D414,0)-DATE(1970,1,1))*86400),"")</f>
        <v/>
      </c>
    </row>
    <row r="415" customFormat="false" ht="19.5" hidden="false" customHeight="true" outlineLevel="0" collapsed="false">
      <c r="A415" s="12" t="n">
        <f aca="false">ROW()-4</f>
        <v>411</v>
      </c>
      <c r="B415" s="13"/>
      <c r="C415" s="14"/>
      <c r="D415" s="15"/>
      <c r="E415" s="14"/>
      <c r="F415" s="15"/>
      <c r="G415" s="16"/>
      <c r="H415" s="17"/>
      <c r="I415" s="18"/>
      <c r="J415" s="19"/>
      <c r="K415" s="14"/>
      <c r="L415" s="17"/>
      <c r="M415" s="19"/>
      <c r="N415" s="20"/>
      <c r="O415" s="19"/>
      <c r="P415" s="21"/>
      <c r="Q415" s="22" t="str">
        <f aca="false">IF(L415="","",IF(M415&lt;&gt;"",M415*L415*100,IF(AND(O415&lt;&gt;"",B415&lt;&gt;""),IFERROR(AVERAGEIF($B$5:$B$1004,B415,$M$5:$M$1004)*L415*100,""),"")))</f>
        <v/>
      </c>
      <c r="R415" s="22" t="str">
        <f aca="false">IF(AND(O415&lt;&gt;"",L415&lt;&gt;""),O415*L415*100,"")</f>
        <v/>
      </c>
      <c r="S415" s="23" t="str">
        <f aca="false">IF(AND(P415&lt;&gt;"",L415&lt;&gt;""),P415*L415*100,"")</f>
        <v/>
      </c>
      <c r="T415" s="24" t="str">
        <f aca="false">IF(AND(Q415&lt;&gt;"",R415&lt;&gt;""),R415-Q415,"")</f>
        <v/>
      </c>
      <c r="U415" s="25" t="str">
        <f aca="false">IF(AND(Q415&lt;&gt;"",Q415&lt;&gt;0,T415&lt;&gt;""),T415/Q415,"")</f>
        <v/>
      </c>
      <c r="V415" s="26" t="str">
        <f aca="false">IF(AND(S415&lt;&gt;"",Q415&lt;&gt;""),S415-Q415,"")</f>
        <v/>
      </c>
      <c r="W415" s="27" t="str">
        <f aca="false">IF(AND(Q415&lt;&gt;"",Q415&lt;&gt;0,V415&lt;&gt;""),V415/Q415,"")</f>
        <v/>
      </c>
      <c r="X415" s="28" t="s">
        <v>37</v>
      </c>
      <c r="Y415" s="29" t="str">
        <f aca="false">IF(AND(O415&lt;&gt;"",M415&lt;&gt;"",O415&gt;M415),CONCATENATE("1 : ",TEXT((O415-M415)/M415,"0.00")),IF(AND(O415&lt;&gt;"",M415&lt;&gt;"",O415&lt;M415),CONCATENATE("-1 : ",TEXT((M415-O415)/M415,"0.00")),"—"))</f>
        <v>—</v>
      </c>
      <c r="Z415" s="30" t="str">
        <f aca="false">IF(AND(P415&lt;&gt;"",M415&lt;&gt;"",P415&gt;M415),CONCATENATE("1 : ",TEXT((P415-M415)/M415,"0.00")),"—")</f>
        <v>—</v>
      </c>
      <c r="AA415" s="31" t="str">
        <f aca="false">IF(AND(C415&lt;&gt;"",E415&lt;&gt;""),E415-C415,"")</f>
        <v/>
      </c>
      <c r="AB415" s="17"/>
      <c r="AC415" s="32"/>
      <c r="AD415" s="33"/>
      <c r="AE415" s="34" t="str">
        <f aca="false">IF(G415&lt;&gt;"",HYPERLINK("https://www.tradingview.com/chart/?symbol="&amp;G415&amp;"&amp;interval=60&amp;from="&amp;(AG415-10*3600)&amp;"&amp;to="&amp;(AG415+50*3600),"📈 1H"),"")</f>
        <v/>
      </c>
      <c r="AF415" s="35" t="str">
        <f aca="false">IF(G415&lt;&gt;"",HYPERLINK("https://www.tradingview.com/chart/?symbol="&amp;G415&amp;"&amp;interval=240&amp;from="&amp;(AG415-10*14400)&amp;"&amp;to="&amp;(AG415+50*14400),"📈 4H"),"")</f>
        <v/>
      </c>
      <c r="AG415" s="36" t="str">
        <f aca="false">IF(C415&lt;&gt;"",INT((C415+IF(D415&lt;&gt;"",D415,0)-DATE(1970,1,1))*86400),"")</f>
        <v/>
      </c>
    </row>
    <row r="416" customFormat="false" ht="19.5" hidden="false" customHeight="true" outlineLevel="0" collapsed="false">
      <c r="A416" s="37" t="n">
        <f aca="false">ROW()-4</f>
        <v>412</v>
      </c>
      <c r="B416" s="38"/>
      <c r="C416" s="39"/>
      <c r="D416" s="40"/>
      <c r="E416" s="39"/>
      <c r="F416" s="40"/>
      <c r="G416" s="41"/>
      <c r="H416" s="42"/>
      <c r="I416" s="43"/>
      <c r="J416" s="44"/>
      <c r="K416" s="39"/>
      <c r="L416" s="42"/>
      <c r="M416" s="44"/>
      <c r="N416" s="45"/>
      <c r="O416" s="44"/>
      <c r="P416" s="46"/>
      <c r="Q416" s="47" t="str">
        <f aca="false">IF(L416="","",IF(M416&lt;&gt;"",M416*L416*100,IF(AND(O416&lt;&gt;"",B416&lt;&gt;""),IFERROR(AVERAGEIF($B$5:$B$1004,B416,$M$5:$M$1004)*L416*100,""),"")))</f>
        <v/>
      </c>
      <c r="R416" s="47" t="str">
        <f aca="false">IF(AND(O416&lt;&gt;"",L416&lt;&gt;""),O416*L416*100,"")</f>
        <v/>
      </c>
      <c r="S416" s="48" t="str">
        <f aca="false">IF(AND(P416&lt;&gt;"",L416&lt;&gt;""),P416*L416*100,"")</f>
        <v/>
      </c>
      <c r="T416" s="49" t="str">
        <f aca="false">IF(AND(Q416&lt;&gt;"",R416&lt;&gt;""),R416-Q416,"")</f>
        <v/>
      </c>
      <c r="U416" s="50" t="str">
        <f aca="false">IF(AND(Q416&lt;&gt;"",Q416&lt;&gt;0,T416&lt;&gt;""),T416/Q416,"")</f>
        <v/>
      </c>
      <c r="V416" s="51" t="str">
        <f aca="false">IF(AND(S416&lt;&gt;"",Q416&lt;&gt;""),S416-Q416,"")</f>
        <v/>
      </c>
      <c r="W416" s="52" t="str">
        <f aca="false">IF(AND(Q416&lt;&gt;"",Q416&lt;&gt;0,V416&lt;&gt;""),V416/Q416,"")</f>
        <v/>
      </c>
      <c r="X416" s="53" t="s">
        <v>37</v>
      </c>
      <c r="Y416" s="54" t="str">
        <f aca="false">IF(AND(O416&lt;&gt;"",M416&lt;&gt;"",O416&gt;M416),CONCATENATE("1 : ",TEXT((O416-M416)/M416,"0.00")),IF(AND(O416&lt;&gt;"",M416&lt;&gt;"",O416&lt;M416),CONCATENATE("-1 : ",TEXT((M416-O416)/M416,"0.00")),"—"))</f>
        <v>—</v>
      </c>
      <c r="Z416" s="55" t="str">
        <f aca="false">IF(AND(P416&lt;&gt;"",M416&lt;&gt;"",P416&gt;M416),CONCATENATE("1 : ",TEXT((P416-M416)/M416,"0.00")),"—")</f>
        <v>—</v>
      </c>
      <c r="AA416" s="56" t="str">
        <f aca="false">IF(AND(C416&lt;&gt;"",E416&lt;&gt;""),E416-C416,"")</f>
        <v/>
      </c>
      <c r="AB416" s="42"/>
      <c r="AC416" s="57"/>
      <c r="AD416" s="58"/>
      <c r="AE416" s="59" t="str">
        <f aca="false">IF(G416&lt;&gt;"",HYPERLINK("https://www.tradingview.com/chart/?symbol="&amp;G416&amp;"&amp;interval=60&amp;from="&amp;(AG416-10*3600)&amp;"&amp;to="&amp;(AG416+50*3600),"📈 1H"),"")</f>
        <v/>
      </c>
      <c r="AF416" s="60" t="str">
        <f aca="false">IF(G416&lt;&gt;"",HYPERLINK("https://www.tradingview.com/chart/?symbol="&amp;G416&amp;"&amp;interval=240&amp;from="&amp;(AG416-10*14400)&amp;"&amp;to="&amp;(AG416+50*14400),"📈 4H"),"")</f>
        <v/>
      </c>
      <c r="AG416" s="36" t="str">
        <f aca="false">IF(C416&lt;&gt;"",INT((C416+IF(D416&lt;&gt;"",D416,0)-DATE(1970,1,1))*86400),"")</f>
        <v/>
      </c>
    </row>
    <row r="417" customFormat="false" ht="19.5" hidden="false" customHeight="true" outlineLevel="0" collapsed="false">
      <c r="A417" s="12" t="n">
        <f aca="false">ROW()-4</f>
        <v>413</v>
      </c>
      <c r="B417" s="13"/>
      <c r="C417" s="14"/>
      <c r="D417" s="15"/>
      <c r="E417" s="14"/>
      <c r="F417" s="15"/>
      <c r="G417" s="16"/>
      <c r="H417" s="17"/>
      <c r="I417" s="18"/>
      <c r="J417" s="19"/>
      <c r="K417" s="14"/>
      <c r="L417" s="17"/>
      <c r="M417" s="19"/>
      <c r="N417" s="20"/>
      <c r="O417" s="19"/>
      <c r="P417" s="21"/>
      <c r="Q417" s="22" t="str">
        <f aca="false">IF(L417="","",IF(M417&lt;&gt;"",M417*L417*100,IF(AND(O417&lt;&gt;"",B417&lt;&gt;""),IFERROR(AVERAGEIF($B$5:$B$1004,B417,$M$5:$M$1004)*L417*100,""),"")))</f>
        <v/>
      </c>
      <c r="R417" s="22" t="str">
        <f aca="false">IF(AND(O417&lt;&gt;"",L417&lt;&gt;""),O417*L417*100,"")</f>
        <v/>
      </c>
      <c r="S417" s="23" t="str">
        <f aca="false">IF(AND(P417&lt;&gt;"",L417&lt;&gt;""),P417*L417*100,"")</f>
        <v/>
      </c>
      <c r="T417" s="24" t="str">
        <f aca="false">IF(AND(Q417&lt;&gt;"",R417&lt;&gt;""),R417-Q417,"")</f>
        <v/>
      </c>
      <c r="U417" s="25" t="str">
        <f aca="false">IF(AND(Q417&lt;&gt;"",Q417&lt;&gt;0,T417&lt;&gt;""),T417/Q417,"")</f>
        <v/>
      </c>
      <c r="V417" s="26" t="str">
        <f aca="false">IF(AND(S417&lt;&gt;"",Q417&lt;&gt;""),S417-Q417,"")</f>
        <v/>
      </c>
      <c r="W417" s="27" t="str">
        <f aca="false">IF(AND(Q417&lt;&gt;"",Q417&lt;&gt;0,V417&lt;&gt;""),V417/Q417,"")</f>
        <v/>
      </c>
      <c r="X417" s="28" t="s">
        <v>37</v>
      </c>
      <c r="Y417" s="29" t="str">
        <f aca="false">IF(AND(O417&lt;&gt;"",M417&lt;&gt;"",O417&gt;M417),CONCATENATE("1 : ",TEXT((O417-M417)/M417,"0.00")),IF(AND(O417&lt;&gt;"",M417&lt;&gt;"",O417&lt;M417),CONCATENATE("-1 : ",TEXT((M417-O417)/M417,"0.00")),"—"))</f>
        <v>—</v>
      </c>
      <c r="Z417" s="30" t="str">
        <f aca="false">IF(AND(P417&lt;&gt;"",M417&lt;&gt;"",P417&gt;M417),CONCATENATE("1 : ",TEXT((P417-M417)/M417,"0.00")),"—")</f>
        <v>—</v>
      </c>
      <c r="AA417" s="31" t="str">
        <f aca="false">IF(AND(C417&lt;&gt;"",E417&lt;&gt;""),E417-C417,"")</f>
        <v/>
      </c>
      <c r="AB417" s="17"/>
      <c r="AC417" s="32"/>
      <c r="AD417" s="33"/>
      <c r="AE417" s="34" t="str">
        <f aca="false">IF(G417&lt;&gt;"",HYPERLINK("https://www.tradingview.com/chart/?symbol="&amp;G417&amp;"&amp;interval=60&amp;from="&amp;(AG417-10*3600)&amp;"&amp;to="&amp;(AG417+50*3600),"📈 1H"),"")</f>
        <v/>
      </c>
      <c r="AF417" s="35" t="str">
        <f aca="false">IF(G417&lt;&gt;"",HYPERLINK("https://www.tradingview.com/chart/?symbol="&amp;G417&amp;"&amp;interval=240&amp;from="&amp;(AG417-10*14400)&amp;"&amp;to="&amp;(AG417+50*14400),"📈 4H"),"")</f>
        <v/>
      </c>
      <c r="AG417" s="36" t="str">
        <f aca="false">IF(C417&lt;&gt;"",INT((C417+IF(D417&lt;&gt;"",D417,0)-DATE(1970,1,1))*86400),"")</f>
        <v/>
      </c>
    </row>
    <row r="418" customFormat="false" ht="19.5" hidden="false" customHeight="true" outlineLevel="0" collapsed="false">
      <c r="A418" s="37" t="n">
        <f aca="false">ROW()-4</f>
        <v>414</v>
      </c>
      <c r="B418" s="38"/>
      <c r="C418" s="39"/>
      <c r="D418" s="40"/>
      <c r="E418" s="39"/>
      <c r="F418" s="40"/>
      <c r="G418" s="41"/>
      <c r="H418" s="42"/>
      <c r="I418" s="43"/>
      <c r="J418" s="44"/>
      <c r="K418" s="39"/>
      <c r="L418" s="42"/>
      <c r="M418" s="44"/>
      <c r="N418" s="45"/>
      <c r="O418" s="44"/>
      <c r="P418" s="46"/>
      <c r="Q418" s="47" t="str">
        <f aca="false">IF(L418="","",IF(M418&lt;&gt;"",M418*L418*100,IF(AND(O418&lt;&gt;"",B418&lt;&gt;""),IFERROR(AVERAGEIF($B$5:$B$1004,B418,$M$5:$M$1004)*L418*100,""),"")))</f>
        <v/>
      </c>
      <c r="R418" s="47" t="str">
        <f aca="false">IF(AND(O418&lt;&gt;"",L418&lt;&gt;""),O418*L418*100,"")</f>
        <v/>
      </c>
      <c r="S418" s="48" t="str">
        <f aca="false">IF(AND(P418&lt;&gt;"",L418&lt;&gt;""),P418*L418*100,"")</f>
        <v/>
      </c>
      <c r="T418" s="49" t="str">
        <f aca="false">IF(AND(Q418&lt;&gt;"",R418&lt;&gt;""),R418-Q418,"")</f>
        <v/>
      </c>
      <c r="U418" s="50" t="str">
        <f aca="false">IF(AND(Q418&lt;&gt;"",Q418&lt;&gt;0,T418&lt;&gt;""),T418/Q418,"")</f>
        <v/>
      </c>
      <c r="V418" s="51" t="str">
        <f aca="false">IF(AND(S418&lt;&gt;"",Q418&lt;&gt;""),S418-Q418,"")</f>
        <v/>
      </c>
      <c r="W418" s="52" t="str">
        <f aca="false">IF(AND(Q418&lt;&gt;"",Q418&lt;&gt;0,V418&lt;&gt;""),V418/Q418,"")</f>
        <v/>
      </c>
      <c r="X418" s="53" t="s">
        <v>37</v>
      </c>
      <c r="Y418" s="54" t="str">
        <f aca="false">IF(AND(O418&lt;&gt;"",M418&lt;&gt;"",O418&gt;M418),CONCATENATE("1 : ",TEXT((O418-M418)/M418,"0.00")),IF(AND(O418&lt;&gt;"",M418&lt;&gt;"",O418&lt;M418),CONCATENATE("-1 : ",TEXT((M418-O418)/M418,"0.00")),"—"))</f>
        <v>—</v>
      </c>
      <c r="Z418" s="55" t="str">
        <f aca="false">IF(AND(P418&lt;&gt;"",M418&lt;&gt;"",P418&gt;M418),CONCATENATE("1 : ",TEXT((P418-M418)/M418,"0.00")),"—")</f>
        <v>—</v>
      </c>
      <c r="AA418" s="56" t="str">
        <f aca="false">IF(AND(C418&lt;&gt;"",E418&lt;&gt;""),E418-C418,"")</f>
        <v/>
      </c>
      <c r="AB418" s="42"/>
      <c r="AC418" s="57"/>
      <c r="AD418" s="58"/>
      <c r="AE418" s="59" t="str">
        <f aca="false">IF(G418&lt;&gt;"",HYPERLINK("https://www.tradingview.com/chart/?symbol="&amp;G418&amp;"&amp;interval=60&amp;from="&amp;(AG418-10*3600)&amp;"&amp;to="&amp;(AG418+50*3600),"📈 1H"),"")</f>
        <v/>
      </c>
      <c r="AF418" s="60" t="str">
        <f aca="false">IF(G418&lt;&gt;"",HYPERLINK("https://www.tradingview.com/chart/?symbol="&amp;G418&amp;"&amp;interval=240&amp;from="&amp;(AG418-10*14400)&amp;"&amp;to="&amp;(AG418+50*14400),"📈 4H"),"")</f>
        <v/>
      </c>
      <c r="AG418" s="36" t="str">
        <f aca="false">IF(C418&lt;&gt;"",INT((C418+IF(D418&lt;&gt;"",D418,0)-DATE(1970,1,1))*86400),"")</f>
        <v/>
      </c>
    </row>
    <row r="419" customFormat="false" ht="19.5" hidden="false" customHeight="true" outlineLevel="0" collapsed="false">
      <c r="A419" s="12" t="n">
        <f aca="false">ROW()-4</f>
        <v>415</v>
      </c>
      <c r="B419" s="13"/>
      <c r="C419" s="14"/>
      <c r="D419" s="15"/>
      <c r="E419" s="14"/>
      <c r="F419" s="15"/>
      <c r="G419" s="16"/>
      <c r="H419" s="17"/>
      <c r="I419" s="18"/>
      <c r="J419" s="19"/>
      <c r="K419" s="14"/>
      <c r="L419" s="17"/>
      <c r="M419" s="19"/>
      <c r="N419" s="20"/>
      <c r="O419" s="19"/>
      <c r="P419" s="21"/>
      <c r="Q419" s="22" t="str">
        <f aca="false">IF(L419="","",IF(M419&lt;&gt;"",M419*L419*100,IF(AND(O419&lt;&gt;"",B419&lt;&gt;""),IFERROR(AVERAGEIF($B$5:$B$1004,B419,$M$5:$M$1004)*L419*100,""),"")))</f>
        <v/>
      </c>
      <c r="R419" s="22" t="str">
        <f aca="false">IF(AND(O419&lt;&gt;"",L419&lt;&gt;""),O419*L419*100,"")</f>
        <v/>
      </c>
      <c r="S419" s="23" t="str">
        <f aca="false">IF(AND(P419&lt;&gt;"",L419&lt;&gt;""),P419*L419*100,"")</f>
        <v/>
      </c>
      <c r="T419" s="24" t="str">
        <f aca="false">IF(AND(Q419&lt;&gt;"",R419&lt;&gt;""),R419-Q419,"")</f>
        <v/>
      </c>
      <c r="U419" s="25" t="str">
        <f aca="false">IF(AND(Q419&lt;&gt;"",Q419&lt;&gt;0,T419&lt;&gt;""),T419/Q419,"")</f>
        <v/>
      </c>
      <c r="V419" s="26" t="str">
        <f aca="false">IF(AND(S419&lt;&gt;"",Q419&lt;&gt;""),S419-Q419,"")</f>
        <v/>
      </c>
      <c r="W419" s="27" t="str">
        <f aca="false">IF(AND(Q419&lt;&gt;"",Q419&lt;&gt;0,V419&lt;&gt;""),V419/Q419,"")</f>
        <v/>
      </c>
      <c r="X419" s="28" t="s">
        <v>37</v>
      </c>
      <c r="Y419" s="29" t="str">
        <f aca="false">IF(AND(O419&lt;&gt;"",M419&lt;&gt;"",O419&gt;M419),CONCATENATE("1 : ",TEXT((O419-M419)/M419,"0.00")),IF(AND(O419&lt;&gt;"",M419&lt;&gt;"",O419&lt;M419),CONCATENATE("-1 : ",TEXT((M419-O419)/M419,"0.00")),"—"))</f>
        <v>—</v>
      </c>
      <c r="Z419" s="30" t="str">
        <f aca="false">IF(AND(P419&lt;&gt;"",M419&lt;&gt;"",P419&gt;M419),CONCATENATE("1 : ",TEXT((P419-M419)/M419,"0.00")),"—")</f>
        <v>—</v>
      </c>
      <c r="AA419" s="31" t="str">
        <f aca="false">IF(AND(C419&lt;&gt;"",E419&lt;&gt;""),E419-C419,"")</f>
        <v/>
      </c>
      <c r="AB419" s="17"/>
      <c r="AC419" s="32"/>
      <c r="AD419" s="33"/>
      <c r="AE419" s="34" t="str">
        <f aca="false">IF(G419&lt;&gt;"",HYPERLINK("https://www.tradingview.com/chart/?symbol="&amp;G419&amp;"&amp;interval=60&amp;from="&amp;(AG419-10*3600)&amp;"&amp;to="&amp;(AG419+50*3600),"📈 1H"),"")</f>
        <v/>
      </c>
      <c r="AF419" s="35" t="str">
        <f aca="false">IF(G419&lt;&gt;"",HYPERLINK("https://www.tradingview.com/chart/?symbol="&amp;G419&amp;"&amp;interval=240&amp;from="&amp;(AG419-10*14400)&amp;"&amp;to="&amp;(AG419+50*14400),"📈 4H"),"")</f>
        <v/>
      </c>
      <c r="AG419" s="36" t="str">
        <f aca="false">IF(C419&lt;&gt;"",INT((C419+IF(D419&lt;&gt;"",D419,0)-DATE(1970,1,1))*86400),"")</f>
        <v/>
      </c>
    </row>
    <row r="420" customFormat="false" ht="19.5" hidden="false" customHeight="true" outlineLevel="0" collapsed="false">
      <c r="A420" s="37" t="n">
        <f aca="false">ROW()-4</f>
        <v>416</v>
      </c>
      <c r="B420" s="38"/>
      <c r="C420" s="39"/>
      <c r="D420" s="40"/>
      <c r="E420" s="39"/>
      <c r="F420" s="40"/>
      <c r="G420" s="41"/>
      <c r="H420" s="42"/>
      <c r="I420" s="43"/>
      <c r="J420" s="44"/>
      <c r="K420" s="39"/>
      <c r="L420" s="42"/>
      <c r="M420" s="44"/>
      <c r="N420" s="45"/>
      <c r="O420" s="44"/>
      <c r="P420" s="46"/>
      <c r="Q420" s="47" t="str">
        <f aca="false">IF(L420="","",IF(M420&lt;&gt;"",M420*L420*100,IF(AND(O420&lt;&gt;"",B420&lt;&gt;""),IFERROR(AVERAGEIF($B$5:$B$1004,B420,$M$5:$M$1004)*L420*100,""),"")))</f>
        <v/>
      </c>
      <c r="R420" s="47" t="str">
        <f aca="false">IF(AND(O420&lt;&gt;"",L420&lt;&gt;""),O420*L420*100,"")</f>
        <v/>
      </c>
      <c r="S420" s="48" t="str">
        <f aca="false">IF(AND(P420&lt;&gt;"",L420&lt;&gt;""),P420*L420*100,"")</f>
        <v/>
      </c>
      <c r="T420" s="49" t="str">
        <f aca="false">IF(AND(Q420&lt;&gt;"",R420&lt;&gt;""),R420-Q420,"")</f>
        <v/>
      </c>
      <c r="U420" s="50" t="str">
        <f aca="false">IF(AND(Q420&lt;&gt;"",Q420&lt;&gt;0,T420&lt;&gt;""),T420/Q420,"")</f>
        <v/>
      </c>
      <c r="V420" s="51" t="str">
        <f aca="false">IF(AND(S420&lt;&gt;"",Q420&lt;&gt;""),S420-Q420,"")</f>
        <v/>
      </c>
      <c r="W420" s="52" t="str">
        <f aca="false">IF(AND(Q420&lt;&gt;"",Q420&lt;&gt;0,V420&lt;&gt;""),V420/Q420,"")</f>
        <v/>
      </c>
      <c r="X420" s="53" t="s">
        <v>37</v>
      </c>
      <c r="Y420" s="54" t="str">
        <f aca="false">IF(AND(O420&lt;&gt;"",M420&lt;&gt;"",O420&gt;M420),CONCATENATE("1 : ",TEXT((O420-M420)/M420,"0.00")),IF(AND(O420&lt;&gt;"",M420&lt;&gt;"",O420&lt;M420),CONCATENATE("-1 : ",TEXT((M420-O420)/M420,"0.00")),"—"))</f>
        <v>—</v>
      </c>
      <c r="Z420" s="55" t="str">
        <f aca="false">IF(AND(P420&lt;&gt;"",M420&lt;&gt;"",P420&gt;M420),CONCATENATE("1 : ",TEXT((P420-M420)/M420,"0.00")),"—")</f>
        <v>—</v>
      </c>
      <c r="AA420" s="56" t="str">
        <f aca="false">IF(AND(C420&lt;&gt;"",E420&lt;&gt;""),E420-C420,"")</f>
        <v/>
      </c>
      <c r="AB420" s="42"/>
      <c r="AC420" s="57"/>
      <c r="AD420" s="58"/>
      <c r="AE420" s="59" t="str">
        <f aca="false">IF(G420&lt;&gt;"",HYPERLINK("https://www.tradingview.com/chart/?symbol="&amp;G420&amp;"&amp;interval=60&amp;from="&amp;(AG420-10*3600)&amp;"&amp;to="&amp;(AG420+50*3600),"📈 1H"),"")</f>
        <v/>
      </c>
      <c r="AF420" s="60" t="str">
        <f aca="false">IF(G420&lt;&gt;"",HYPERLINK("https://www.tradingview.com/chart/?symbol="&amp;G420&amp;"&amp;interval=240&amp;from="&amp;(AG420-10*14400)&amp;"&amp;to="&amp;(AG420+50*14400),"📈 4H"),"")</f>
        <v/>
      </c>
      <c r="AG420" s="36" t="str">
        <f aca="false">IF(C420&lt;&gt;"",INT((C420+IF(D420&lt;&gt;"",D420,0)-DATE(1970,1,1))*86400),"")</f>
        <v/>
      </c>
    </row>
    <row r="421" customFormat="false" ht="19.5" hidden="false" customHeight="true" outlineLevel="0" collapsed="false">
      <c r="A421" s="12" t="n">
        <f aca="false">ROW()-4</f>
        <v>417</v>
      </c>
      <c r="B421" s="13"/>
      <c r="C421" s="14"/>
      <c r="D421" s="15"/>
      <c r="E421" s="14"/>
      <c r="F421" s="15"/>
      <c r="G421" s="16"/>
      <c r="H421" s="17"/>
      <c r="I421" s="18"/>
      <c r="J421" s="19"/>
      <c r="K421" s="14"/>
      <c r="L421" s="17"/>
      <c r="M421" s="19"/>
      <c r="N421" s="20"/>
      <c r="O421" s="19"/>
      <c r="P421" s="21"/>
      <c r="Q421" s="22" t="str">
        <f aca="false">IF(L421="","",IF(M421&lt;&gt;"",M421*L421*100,IF(AND(O421&lt;&gt;"",B421&lt;&gt;""),IFERROR(AVERAGEIF($B$5:$B$1004,B421,$M$5:$M$1004)*L421*100,""),"")))</f>
        <v/>
      </c>
      <c r="R421" s="22" t="str">
        <f aca="false">IF(AND(O421&lt;&gt;"",L421&lt;&gt;""),O421*L421*100,"")</f>
        <v/>
      </c>
      <c r="S421" s="23" t="str">
        <f aca="false">IF(AND(P421&lt;&gt;"",L421&lt;&gt;""),P421*L421*100,"")</f>
        <v/>
      </c>
      <c r="T421" s="24" t="str">
        <f aca="false">IF(AND(Q421&lt;&gt;"",R421&lt;&gt;""),R421-Q421,"")</f>
        <v/>
      </c>
      <c r="U421" s="25" t="str">
        <f aca="false">IF(AND(Q421&lt;&gt;"",Q421&lt;&gt;0,T421&lt;&gt;""),T421/Q421,"")</f>
        <v/>
      </c>
      <c r="V421" s="26" t="str">
        <f aca="false">IF(AND(S421&lt;&gt;"",Q421&lt;&gt;""),S421-Q421,"")</f>
        <v/>
      </c>
      <c r="W421" s="27" t="str">
        <f aca="false">IF(AND(Q421&lt;&gt;"",Q421&lt;&gt;0,V421&lt;&gt;""),V421/Q421,"")</f>
        <v/>
      </c>
      <c r="X421" s="28" t="s">
        <v>37</v>
      </c>
      <c r="Y421" s="29" t="str">
        <f aca="false">IF(AND(O421&lt;&gt;"",M421&lt;&gt;"",O421&gt;M421),CONCATENATE("1 : ",TEXT((O421-M421)/M421,"0.00")),IF(AND(O421&lt;&gt;"",M421&lt;&gt;"",O421&lt;M421),CONCATENATE("-1 : ",TEXT((M421-O421)/M421,"0.00")),"—"))</f>
        <v>—</v>
      </c>
      <c r="Z421" s="30" t="str">
        <f aca="false">IF(AND(P421&lt;&gt;"",M421&lt;&gt;"",P421&gt;M421),CONCATENATE("1 : ",TEXT((P421-M421)/M421,"0.00")),"—")</f>
        <v>—</v>
      </c>
      <c r="AA421" s="31" t="str">
        <f aca="false">IF(AND(C421&lt;&gt;"",E421&lt;&gt;""),E421-C421,"")</f>
        <v/>
      </c>
      <c r="AB421" s="17"/>
      <c r="AC421" s="32"/>
      <c r="AD421" s="33"/>
      <c r="AE421" s="34" t="str">
        <f aca="false">IF(G421&lt;&gt;"",HYPERLINK("https://www.tradingview.com/chart/?symbol="&amp;G421&amp;"&amp;interval=60&amp;from="&amp;(AG421-10*3600)&amp;"&amp;to="&amp;(AG421+50*3600),"📈 1H"),"")</f>
        <v/>
      </c>
      <c r="AF421" s="35" t="str">
        <f aca="false">IF(G421&lt;&gt;"",HYPERLINK("https://www.tradingview.com/chart/?symbol="&amp;G421&amp;"&amp;interval=240&amp;from="&amp;(AG421-10*14400)&amp;"&amp;to="&amp;(AG421+50*14400),"📈 4H"),"")</f>
        <v/>
      </c>
      <c r="AG421" s="36" t="str">
        <f aca="false">IF(C421&lt;&gt;"",INT((C421+IF(D421&lt;&gt;"",D421,0)-DATE(1970,1,1))*86400),"")</f>
        <v/>
      </c>
    </row>
    <row r="422" customFormat="false" ht="19.5" hidden="false" customHeight="true" outlineLevel="0" collapsed="false">
      <c r="A422" s="37" t="n">
        <f aca="false">ROW()-4</f>
        <v>418</v>
      </c>
      <c r="B422" s="38"/>
      <c r="C422" s="39"/>
      <c r="D422" s="40"/>
      <c r="E422" s="39"/>
      <c r="F422" s="40"/>
      <c r="G422" s="41"/>
      <c r="H422" s="42"/>
      <c r="I422" s="43"/>
      <c r="J422" s="44"/>
      <c r="K422" s="39"/>
      <c r="L422" s="42"/>
      <c r="M422" s="44"/>
      <c r="N422" s="45"/>
      <c r="O422" s="44"/>
      <c r="P422" s="46"/>
      <c r="Q422" s="47" t="str">
        <f aca="false">IF(L422="","",IF(M422&lt;&gt;"",M422*L422*100,IF(AND(O422&lt;&gt;"",B422&lt;&gt;""),IFERROR(AVERAGEIF($B$5:$B$1004,B422,$M$5:$M$1004)*L422*100,""),"")))</f>
        <v/>
      </c>
      <c r="R422" s="47" t="str">
        <f aca="false">IF(AND(O422&lt;&gt;"",L422&lt;&gt;""),O422*L422*100,"")</f>
        <v/>
      </c>
      <c r="S422" s="48" t="str">
        <f aca="false">IF(AND(P422&lt;&gt;"",L422&lt;&gt;""),P422*L422*100,"")</f>
        <v/>
      </c>
      <c r="T422" s="49" t="str">
        <f aca="false">IF(AND(Q422&lt;&gt;"",R422&lt;&gt;""),R422-Q422,"")</f>
        <v/>
      </c>
      <c r="U422" s="50" t="str">
        <f aca="false">IF(AND(Q422&lt;&gt;"",Q422&lt;&gt;0,T422&lt;&gt;""),T422/Q422,"")</f>
        <v/>
      </c>
      <c r="V422" s="51" t="str">
        <f aca="false">IF(AND(S422&lt;&gt;"",Q422&lt;&gt;""),S422-Q422,"")</f>
        <v/>
      </c>
      <c r="W422" s="52" t="str">
        <f aca="false">IF(AND(Q422&lt;&gt;"",Q422&lt;&gt;0,V422&lt;&gt;""),V422/Q422,"")</f>
        <v/>
      </c>
      <c r="X422" s="53" t="s">
        <v>37</v>
      </c>
      <c r="Y422" s="54" t="str">
        <f aca="false">IF(AND(O422&lt;&gt;"",M422&lt;&gt;"",O422&gt;M422),CONCATENATE("1 : ",TEXT((O422-M422)/M422,"0.00")),IF(AND(O422&lt;&gt;"",M422&lt;&gt;"",O422&lt;M422),CONCATENATE("-1 : ",TEXT((M422-O422)/M422,"0.00")),"—"))</f>
        <v>—</v>
      </c>
      <c r="Z422" s="55" t="str">
        <f aca="false">IF(AND(P422&lt;&gt;"",M422&lt;&gt;"",P422&gt;M422),CONCATENATE("1 : ",TEXT((P422-M422)/M422,"0.00")),"—")</f>
        <v>—</v>
      </c>
      <c r="AA422" s="56" t="str">
        <f aca="false">IF(AND(C422&lt;&gt;"",E422&lt;&gt;""),E422-C422,"")</f>
        <v/>
      </c>
      <c r="AB422" s="42"/>
      <c r="AC422" s="57"/>
      <c r="AD422" s="58"/>
      <c r="AE422" s="59" t="str">
        <f aca="false">IF(G422&lt;&gt;"",HYPERLINK("https://www.tradingview.com/chart/?symbol="&amp;G422&amp;"&amp;interval=60&amp;from="&amp;(AG422-10*3600)&amp;"&amp;to="&amp;(AG422+50*3600),"📈 1H"),"")</f>
        <v/>
      </c>
      <c r="AF422" s="60" t="str">
        <f aca="false">IF(G422&lt;&gt;"",HYPERLINK("https://www.tradingview.com/chart/?symbol="&amp;G422&amp;"&amp;interval=240&amp;from="&amp;(AG422-10*14400)&amp;"&amp;to="&amp;(AG422+50*14400),"📈 4H"),"")</f>
        <v/>
      </c>
      <c r="AG422" s="36" t="str">
        <f aca="false">IF(C422&lt;&gt;"",INT((C422+IF(D422&lt;&gt;"",D422,0)-DATE(1970,1,1))*86400),"")</f>
        <v/>
      </c>
    </row>
    <row r="423" customFormat="false" ht="19.5" hidden="false" customHeight="true" outlineLevel="0" collapsed="false">
      <c r="A423" s="12" t="n">
        <f aca="false">ROW()-4</f>
        <v>419</v>
      </c>
      <c r="B423" s="13"/>
      <c r="C423" s="14"/>
      <c r="D423" s="15"/>
      <c r="E423" s="14"/>
      <c r="F423" s="15"/>
      <c r="G423" s="16"/>
      <c r="H423" s="17"/>
      <c r="I423" s="18"/>
      <c r="J423" s="19"/>
      <c r="K423" s="14"/>
      <c r="L423" s="17"/>
      <c r="M423" s="19"/>
      <c r="N423" s="20"/>
      <c r="O423" s="19"/>
      <c r="P423" s="21"/>
      <c r="Q423" s="22" t="str">
        <f aca="false">IF(L423="","",IF(M423&lt;&gt;"",M423*L423*100,IF(AND(O423&lt;&gt;"",B423&lt;&gt;""),IFERROR(AVERAGEIF($B$5:$B$1004,B423,$M$5:$M$1004)*L423*100,""),"")))</f>
        <v/>
      </c>
      <c r="R423" s="22" t="str">
        <f aca="false">IF(AND(O423&lt;&gt;"",L423&lt;&gt;""),O423*L423*100,"")</f>
        <v/>
      </c>
      <c r="S423" s="23" t="str">
        <f aca="false">IF(AND(P423&lt;&gt;"",L423&lt;&gt;""),P423*L423*100,"")</f>
        <v/>
      </c>
      <c r="T423" s="24" t="str">
        <f aca="false">IF(AND(Q423&lt;&gt;"",R423&lt;&gt;""),R423-Q423,"")</f>
        <v/>
      </c>
      <c r="U423" s="25" t="str">
        <f aca="false">IF(AND(Q423&lt;&gt;"",Q423&lt;&gt;0,T423&lt;&gt;""),T423/Q423,"")</f>
        <v/>
      </c>
      <c r="V423" s="26" t="str">
        <f aca="false">IF(AND(S423&lt;&gt;"",Q423&lt;&gt;""),S423-Q423,"")</f>
        <v/>
      </c>
      <c r="W423" s="27" t="str">
        <f aca="false">IF(AND(Q423&lt;&gt;"",Q423&lt;&gt;0,V423&lt;&gt;""),V423/Q423,"")</f>
        <v/>
      </c>
      <c r="X423" s="28" t="s">
        <v>37</v>
      </c>
      <c r="Y423" s="29" t="str">
        <f aca="false">IF(AND(O423&lt;&gt;"",M423&lt;&gt;"",O423&gt;M423),CONCATENATE("1 : ",TEXT((O423-M423)/M423,"0.00")),IF(AND(O423&lt;&gt;"",M423&lt;&gt;"",O423&lt;M423),CONCATENATE("-1 : ",TEXT((M423-O423)/M423,"0.00")),"—"))</f>
        <v>—</v>
      </c>
      <c r="Z423" s="30" t="str">
        <f aca="false">IF(AND(P423&lt;&gt;"",M423&lt;&gt;"",P423&gt;M423),CONCATENATE("1 : ",TEXT((P423-M423)/M423,"0.00")),"—")</f>
        <v>—</v>
      </c>
      <c r="AA423" s="31" t="str">
        <f aca="false">IF(AND(C423&lt;&gt;"",E423&lt;&gt;""),E423-C423,"")</f>
        <v/>
      </c>
      <c r="AB423" s="17"/>
      <c r="AC423" s="32"/>
      <c r="AD423" s="33"/>
      <c r="AE423" s="34" t="str">
        <f aca="false">IF(G423&lt;&gt;"",HYPERLINK("https://www.tradingview.com/chart/?symbol="&amp;G423&amp;"&amp;interval=60&amp;from="&amp;(AG423-10*3600)&amp;"&amp;to="&amp;(AG423+50*3600),"📈 1H"),"")</f>
        <v/>
      </c>
      <c r="AF423" s="35" t="str">
        <f aca="false">IF(G423&lt;&gt;"",HYPERLINK("https://www.tradingview.com/chart/?symbol="&amp;G423&amp;"&amp;interval=240&amp;from="&amp;(AG423-10*14400)&amp;"&amp;to="&amp;(AG423+50*14400),"📈 4H"),"")</f>
        <v/>
      </c>
      <c r="AG423" s="36" t="str">
        <f aca="false">IF(C423&lt;&gt;"",INT((C423+IF(D423&lt;&gt;"",D423,0)-DATE(1970,1,1))*86400),"")</f>
        <v/>
      </c>
    </row>
    <row r="424" customFormat="false" ht="19.5" hidden="false" customHeight="true" outlineLevel="0" collapsed="false">
      <c r="A424" s="37" t="n">
        <f aca="false">ROW()-4</f>
        <v>420</v>
      </c>
      <c r="B424" s="38"/>
      <c r="C424" s="39"/>
      <c r="D424" s="40"/>
      <c r="E424" s="39"/>
      <c r="F424" s="40"/>
      <c r="G424" s="41"/>
      <c r="H424" s="42"/>
      <c r="I424" s="43"/>
      <c r="J424" s="44"/>
      <c r="K424" s="39"/>
      <c r="L424" s="42"/>
      <c r="M424" s="44"/>
      <c r="N424" s="45"/>
      <c r="O424" s="44"/>
      <c r="P424" s="46"/>
      <c r="Q424" s="47" t="str">
        <f aca="false">IF(L424="","",IF(M424&lt;&gt;"",M424*L424*100,IF(AND(O424&lt;&gt;"",B424&lt;&gt;""),IFERROR(AVERAGEIF($B$5:$B$1004,B424,$M$5:$M$1004)*L424*100,""),"")))</f>
        <v/>
      </c>
      <c r="R424" s="47" t="str">
        <f aca="false">IF(AND(O424&lt;&gt;"",L424&lt;&gt;""),O424*L424*100,"")</f>
        <v/>
      </c>
      <c r="S424" s="48" t="str">
        <f aca="false">IF(AND(P424&lt;&gt;"",L424&lt;&gt;""),P424*L424*100,"")</f>
        <v/>
      </c>
      <c r="T424" s="49" t="str">
        <f aca="false">IF(AND(Q424&lt;&gt;"",R424&lt;&gt;""),R424-Q424,"")</f>
        <v/>
      </c>
      <c r="U424" s="50" t="str">
        <f aca="false">IF(AND(Q424&lt;&gt;"",Q424&lt;&gt;0,T424&lt;&gt;""),T424/Q424,"")</f>
        <v/>
      </c>
      <c r="V424" s="51" t="str">
        <f aca="false">IF(AND(S424&lt;&gt;"",Q424&lt;&gt;""),S424-Q424,"")</f>
        <v/>
      </c>
      <c r="W424" s="52" t="str">
        <f aca="false">IF(AND(Q424&lt;&gt;"",Q424&lt;&gt;0,V424&lt;&gt;""),V424/Q424,"")</f>
        <v/>
      </c>
      <c r="X424" s="53" t="s">
        <v>37</v>
      </c>
      <c r="Y424" s="54" t="str">
        <f aca="false">IF(AND(O424&lt;&gt;"",M424&lt;&gt;"",O424&gt;M424),CONCATENATE("1 : ",TEXT((O424-M424)/M424,"0.00")),IF(AND(O424&lt;&gt;"",M424&lt;&gt;"",O424&lt;M424),CONCATENATE("-1 : ",TEXT((M424-O424)/M424,"0.00")),"—"))</f>
        <v>—</v>
      </c>
      <c r="Z424" s="55" t="str">
        <f aca="false">IF(AND(P424&lt;&gt;"",M424&lt;&gt;"",P424&gt;M424),CONCATENATE("1 : ",TEXT((P424-M424)/M424,"0.00")),"—")</f>
        <v>—</v>
      </c>
      <c r="AA424" s="56" t="str">
        <f aca="false">IF(AND(C424&lt;&gt;"",E424&lt;&gt;""),E424-C424,"")</f>
        <v/>
      </c>
      <c r="AB424" s="42"/>
      <c r="AC424" s="57"/>
      <c r="AD424" s="58"/>
      <c r="AE424" s="59" t="str">
        <f aca="false">IF(G424&lt;&gt;"",HYPERLINK("https://www.tradingview.com/chart/?symbol="&amp;G424&amp;"&amp;interval=60&amp;from="&amp;(AG424-10*3600)&amp;"&amp;to="&amp;(AG424+50*3600),"📈 1H"),"")</f>
        <v/>
      </c>
      <c r="AF424" s="60" t="str">
        <f aca="false">IF(G424&lt;&gt;"",HYPERLINK("https://www.tradingview.com/chart/?symbol="&amp;G424&amp;"&amp;interval=240&amp;from="&amp;(AG424-10*14400)&amp;"&amp;to="&amp;(AG424+50*14400),"📈 4H"),"")</f>
        <v/>
      </c>
      <c r="AG424" s="36" t="str">
        <f aca="false">IF(C424&lt;&gt;"",INT((C424+IF(D424&lt;&gt;"",D424,0)-DATE(1970,1,1))*86400),"")</f>
        <v/>
      </c>
    </row>
    <row r="425" customFormat="false" ht="19.5" hidden="false" customHeight="true" outlineLevel="0" collapsed="false">
      <c r="A425" s="12" t="n">
        <f aca="false">ROW()-4</f>
        <v>421</v>
      </c>
      <c r="B425" s="13"/>
      <c r="C425" s="14"/>
      <c r="D425" s="15"/>
      <c r="E425" s="14"/>
      <c r="F425" s="15"/>
      <c r="G425" s="16"/>
      <c r="H425" s="17"/>
      <c r="I425" s="18"/>
      <c r="J425" s="19"/>
      <c r="K425" s="14"/>
      <c r="L425" s="17"/>
      <c r="M425" s="19"/>
      <c r="N425" s="20"/>
      <c r="O425" s="19"/>
      <c r="P425" s="21"/>
      <c r="Q425" s="22" t="str">
        <f aca="false">IF(L425="","",IF(M425&lt;&gt;"",M425*L425*100,IF(AND(O425&lt;&gt;"",B425&lt;&gt;""),IFERROR(AVERAGEIF($B$5:$B$1004,B425,$M$5:$M$1004)*L425*100,""),"")))</f>
        <v/>
      </c>
      <c r="R425" s="22" t="str">
        <f aca="false">IF(AND(O425&lt;&gt;"",L425&lt;&gt;""),O425*L425*100,"")</f>
        <v/>
      </c>
      <c r="S425" s="23" t="str">
        <f aca="false">IF(AND(P425&lt;&gt;"",L425&lt;&gt;""),P425*L425*100,"")</f>
        <v/>
      </c>
      <c r="T425" s="24" t="str">
        <f aca="false">IF(AND(Q425&lt;&gt;"",R425&lt;&gt;""),R425-Q425,"")</f>
        <v/>
      </c>
      <c r="U425" s="25" t="str">
        <f aca="false">IF(AND(Q425&lt;&gt;"",Q425&lt;&gt;0,T425&lt;&gt;""),T425/Q425,"")</f>
        <v/>
      </c>
      <c r="V425" s="26" t="str">
        <f aca="false">IF(AND(S425&lt;&gt;"",Q425&lt;&gt;""),S425-Q425,"")</f>
        <v/>
      </c>
      <c r="W425" s="27" t="str">
        <f aca="false">IF(AND(Q425&lt;&gt;"",Q425&lt;&gt;0,V425&lt;&gt;""),V425/Q425,"")</f>
        <v/>
      </c>
      <c r="X425" s="28" t="s">
        <v>37</v>
      </c>
      <c r="Y425" s="29" t="str">
        <f aca="false">IF(AND(O425&lt;&gt;"",M425&lt;&gt;"",O425&gt;M425),CONCATENATE("1 : ",TEXT((O425-M425)/M425,"0.00")),IF(AND(O425&lt;&gt;"",M425&lt;&gt;"",O425&lt;M425),CONCATENATE("-1 : ",TEXT((M425-O425)/M425,"0.00")),"—"))</f>
        <v>—</v>
      </c>
      <c r="Z425" s="30" t="str">
        <f aca="false">IF(AND(P425&lt;&gt;"",M425&lt;&gt;"",P425&gt;M425),CONCATENATE("1 : ",TEXT((P425-M425)/M425,"0.00")),"—")</f>
        <v>—</v>
      </c>
      <c r="AA425" s="31" t="str">
        <f aca="false">IF(AND(C425&lt;&gt;"",E425&lt;&gt;""),E425-C425,"")</f>
        <v/>
      </c>
      <c r="AB425" s="17"/>
      <c r="AC425" s="32"/>
      <c r="AD425" s="33"/>
      <c r="AE425" s="34" t="str">
        <f aca="false">IF(G425&lt;&gt;"",HYPERLINK("https://www.tradingview.com/chart/?symbol="&amp;G425&amp;"&amp;interval=60&amp;from="&amp;(AG425-10*3600)&amp;"&amp;to="&amp;(AG425+50*3600),"📈 1H"),"")</f>
        <v/>
      </c>
      <c r="AF425" s="35" t="str">
        <f aca="false">IF(G425&lt;&gt;"",HYPERLINK("https://www.tradingview.com/chart/?symbol="&amp;G425&amp;"&amp;interval=240&amp;from="&amp;(AG425-10*14400)&amp;"&amp;to="&amp;(AG425+50*14400),"📈 4H"),"")</f>
        <v/>
      </c>
      <c r="AG425" s="36" t="str">
        <f aca="false">IF(C425&lt;&gt;"",INT((C425+IF(D425&lt;&gt;"",D425,0)-DATE(1970,1,1))*86400),"")</f>
        <v/>
      </c>
    </row>
    <row r="426" customFormat="false" ht="19.5" hidden="false" customHeight="true" outlineLevel="0" collapsed="false">
      <c r="A426" s="37" t="n">
        <f aca="false">ROW()-4</f>
        <v>422</v>
      </c>
      <c r="B426" s="38"/>
      <c r="C426" s="39"/>
      <c r="D426" s="40"/>
      <c r="E426" s="39"/>
      <c r="F426" s="40"/>
      <c r="G426" s="41"/>
      <c r="H426" s="42"/>
      <c r="I426" s="43"/>
      <c r="J426" s="44"/>
      <c r="K426" s="39"/>
      <c r="L426" s="42"/>
      <c r="M426" s="44"/>
      <c r="N426" s="45"/>
      <c r="O426" s="44"/>
      <c r="P426" s="46"/>
      <c r="Q426" s="47" t="str">
        <f aca="false">IF(L426="","",IF(M426&lt;&gt;"",M426*L426*100,IF(AND(O426&lt;&gt;"",B426&lt;&gt;""),IFERROR(AVERAGEIF($B$5:$B$1004,B426,$M$5:$M$1004)*L426*100,""),"")))</f>
        <v/>
      </c>
      <c r="R426" s="47" t="str">
        <f aca="false">IF(AND(O426&lt;&gt;"",L426&lt;&gt;""),O426*L426*100,"")</f>
        <v/>
      </c>
      <c r="S426" s="48" t="str">
        <f aca="false">IF(AND(P426&lt;&gt;"",L426&lt;&gt;""),P426*L426*100,"")</f>
        <v/>
      </c>
      <c r="T426" s="49" t="str">
        <f aca="false">IF(AND(Q426&lt;&gt;"",R426&lt;&gt;""),R426-Q426,"")</f>
        <v/>
      </c>
      <c r="U426" s="50" t="str">
        <f aca="false">IF(AND(Q426&lt;&gt;"",Q426&lt;&gt;0,T426&lt;&gt;""),T426/Q426,"")</f>
        <v/>
      </c>
      <c r="V426" s="51" t="str">
        <f aca="false">IF(AND(S426&lt;&gt;"",Q426&lt;&gt;""),S426-Q426,"")</f>
        <v/>
      </c>
      <c r="W426" s="52" t="str">
        <f aca="false">IF(AND(Q426&lt;&gt;"",Q426&lt;&gt;0,V426&lt;&gt;""),V426/Q426,"")</f>
        <v/>
      </c>
      <c r="X426" s="53" t="s">
        <v>37</v>
      </c>
      <c r="Y426" s="54" t="str">
        <f aca="false">IF(AND(O426&lt;&gt;"",M426&lt;&gt;"",O426&gt;M426),CONCATENATE("1 : ",TEXT((O426-M426)/M426,"0.00")),IF(AND(O426&lt;&gt;"",M426&lt;&gt;"",O426&lt;M426),CONCATENATE("-1 : ",TEXT((M426-O426)/M426,"0.00")),"—"))</f>
        <v>—</v>
      </c>
      <c r="Z426" s="55" t="str">
        <f aca="false">IF(AND(P426&lt;&gt;"",M426&lt;&gt;"",P426&gt;M426),CONCATENATE("1 : ",TEXT((P426-M426)/M426,"0.00")),"—")</f>
        <v>—</v>
      </c>
      <c r="AA426" s="56" t="str">
        <f aca="false">IF(AND(C426&lt;&gt;"",E426&lt;&gt;""),E426-C426,"")</f>
        <v/>
      </c>
      <c r="AB426" s="42"/>
      <c r="AC426" s="57"/>
      <c r="AD426" s="58"/>
      <c r="AE426" s="59" t="str">
        <f aca="false">IF(G426&lt;&gt;"",HYPERLINK("https://www.tradingview.com/chart/?symbol="&amp;G426&amp;"&amp;interval=60&amp;from="&amp;(AG426-10*3600)&amp;"&amp;to="&amp;(AG426+50*3600),"📈 1H"),"")</f>
        <v/>
      </c>
      <c r="AF426" s="60" t="str">
        <f aca="false">IF(G426&lt;&gt;"",HYPERLINK("https://www.tradingview.com/chart/?symbol="&amp;G426&amp;"&amp;interval=240&amp;from="&amp;(AG426-10*14400)&amp;"&amp;to="&amp;(AG426+50*14400),"📈 4H"),"")</f>
        <v/>
      </c>
      <c r="AG426" s="36" t="str">
        <f aca="false">IF(C426&lt;&gt;"",INT((C426+IF(D426&lt;&gt;"",D426,0)-DATE(1970,1,1))*86400),"")</f>
        <v/>
      </c>
    </row>
    <row r="427" customFormat="false" ht="19.5" hidden="false" customHeight="true" outlineLevel="0" collapsed="false">
      <c r="A427" s="12" t="n">
        <f aca="false">ROW()-4</f>
        <v>423</v>
      </c>
      <c r="B427" s="13"/>
      <c r="C427" s="14"/>
      <c r="D427" s="15"/>
      <c r="E427" s="14"/>
      <c r="F427" s="15"/>
      <c r="G427" s="16"/>
      <c r="H427" s="17"/>
      <c r="I427" s="18"/>
      <c r="J427" s="19"/>
      <c r="K427" s="14"/>
      <c r="L427" s="17"/>
      <c r="M427" s="19"/>
      <c r="N427" s="20"/>
      <c r="O427" s="19"/>
      <c r="P427" s="21"/>
      <c r="Q427" s="22" t="str">
        <f aca="false">IF(L427="","",IF(M427&lt;&gt;"",M427*L427*100,IF(AND(O427&lt;&gt;"",B427&lt;&gt;""),IFERROR(AVERAGEIF($B$5:$B$1004,B427,$M$5:$M$1004)*L427*100,""),"")))</f>
        <v/>
      </c>
      <c r="R427" s="22" t="str">
        <f aca="false">IF(AND(O427&lt;&gt;"",L427&lt;&gt;""),O427*L427*100,"")</f>
        <v/>
      </c>
      <c r="S427" s="23" t="str">
        <f aca="false">IF(AND(P427&lt;&gt;"",L427&lt;&gt;""),P427*L427*100,"")</f>
        <v/>
      </c>
      <c r="T427" s="24" t="str">
        <f aca="false">IF(AND(Q427&lt;&gt;"",R427&lt;&gt;""),R427-Q427,"")</f>
        <v/>
      </c>
      <c r="U427" s="25" t="str">
        <f aca="false">IF(AND(Q427&lt;&gt;"",Q427&lt;&gt;0,T427&lt;&gt;""),T427/Q427,"")</f>
        <v/>
      </c>
      <c r="V427" s="26" t="str">
        <f aca="false">IF(AND(S427&lt;&gt;"",Q427&lt;&gt;""),S427-Q427,"")</f>
        <v/>
      </c>
      <c r="W427" s="27" t="str">
        <f aca="false">IF(AND(Q427&lt;&gt;"",Q427&lt;&gt;0,V427&lt;&gt;""),V427/Q427,"")</f>
        <v/>
      </c>
      <c r="X427" s="28" t="s">
        <v>37</v>
      </c>
      <c r="Y427" s="29" t="str">
        <f aca="false">IF(AND(O427&lt;&gt;"",M427&lt;&gt;"",O427&gt;M427),CONCATENATE("1 : ",TEXT((O427-M427)/M427,"0.00")),IF(AND(O427&lt;&gt;"",M427&lt;&gt;"",O427&lt;M427),CONCATENATE("-1 : ",TEXT((M427-O427)/M427,"0.00")),"—"))</f>
        <v>—</v>
      </c>
      <c r="Z427" s="30" t="str">
        <f aca="false">IF(AND(P427&lt;&gt;"",M427&lt;&gt;"",P427&gt;M427),CONCATENATE("1 : ",TEXT((P427-M427)/M427,"0.00")),"—")</f>
        <v>—</v>
      </c>
      <c r="AA427" s="31" t="str">
        <f aca="false">IF(AND(C427&lt;&gt;"",E427&lt;&gt;""),E427-C427,"")</f>
        <v/>
      </c>
      <c r="AB427" s="17"/>
      <c r="AC427" s="32"/>
      <c r="AD427" s="33"/>
      <c r="AE427" s="34" t="str">
        <f aca="false">IF(G427&lt;&gt;"",HYPERLINK("https://www.tradingview.com/chart/?symbol="&amp;G427&amp;"&amp;interval=60&amp;from="&amp;(AG427-10*3600)&amp;"&amp;to="&amp;(AG427+50*3600),"📈 1H"),"")</f>
        <v/>
      </c>
      <c r="AF427" s="35" t="str">
        <f aca="false">IF(G427&lt;&gt;"",HYPERLINK("https://www.tradingview.com/chart/?symbol="&amp;G427&amp;"&amp;interval=240&amp;from="&amp;(AG427-10*14400)&amp;"&amp;to="&amp;(AG427+50*14400),"📈 4H"),"")</f>
        <v/>
      </c>
      <c r="AG427" s="36" t="str">
        <f aca="false">IF(C427&lt;&gt;"",INT((C427+IF(D427&lt;&gt;"",D427,0)-DATE(1970,1,1))*86400),"")</f>
        <v/>
      </c>
    </row>
    <row r="428" customFormat="false" ht="19.5" hidden="false" customHeight="true" outlineLevel="0" collapsed="false">
      <c r="A428" s="37" t="n">
        <f aca="false">ROW()-4</f>
        <v>424</v>
      </c>
      <c r="B428" s="38"/>
      <c r="C428" s="39"/>
      <c r="D428" s="40"/>
      <c r="E428" s="39"/>
      <c r="F428" s="40"/>
      <c r="G428" s="41"/>
      <c r="H428" s="42"/>
      <c r="I428" s="43"/>
      <c r="J428" s="44"/>
      <c r="K428" s="39"/>
      <c r="L428" s="42"/>
      <c r="M428" s="44"/>
      <c r="N428" s="45"/>
      <c r="O428" s="44"/>
      <c r="P428" s="46"/>
      <c r="Q428" s="47" t="str">
        <f aca="false">IF(L428="","",IF(M428&lt;&gt;"",M428*L428*100,IF(AND(O428&lt;&gt;"",B428&lt;&gt;""),IFERROR(AVERAGEIF($B$5:$B$1004,B428,$M$5:$M$1004)*L428*100,""),"")))</f>
        <v/>
      </c>
      <c r="R428" s="47" t="str">
        <f aca="false">IF(AND(O428&lt;&gt;"",L428&lt;&gt;""),O428*L428*100,"")</f>
        <v/>
      </c>
      <c r="S428" s="48" t="str">
        <f aca="false">IF(AND(P428&lt;&gt;"",L428&lt;&gt;""),P428*L428*100,"")</f>
        <v/>
      </c>
      <c r="T428" s="49" t="str">
        <f aca="false">IF(AND(Q428&lt;&gt;"",R428&lt;&gt;""),R428-Q428,"")</f>
        <v/>
      </c>
      <c r="U428" s="50" t="str">
        <f aca="false">IF(AND(Q428&lt;&gt;"",Q428&lt;&gt;0,T428&lt;&gt;""),T428/Q428,"")</f>
        <v/>
      </c>
      <c r="V428" s="51" t="str">
        <f aca="false">IF(AND(S428&lt;&gt;"",Q428&lt;&gt;""),S428-Q428,"")</f>
        <v/>
      </c>
      <c r="W428" s="52" t="str">
        <f aca="false">IF(AND(Q428&lt;&gt;"",Q428&lt;&gt;0,V428&lt;&gt;""),V428/Q428,"")</f>
        <v/>
      </c>
      <c r="X428" s="53" t="s">
        <v>37</v>
      </c>
      <c r="Y428" s="54" t="str">
        <f aca="false">IF(AND(O428&lt;&gt;"",M428&lt;&gt;"",O428&gt;M428),CONCATENATE("1 : ",TEXT((O428-M428)/M428,"0.00")),IF(AND(O428&lt;&gt;"",M428&lt;&gt;"",O428&lt;M428),CONCATENATE("-1 : ",TEXT((M428-O428)/M428,"0.00")),"—"))</f>
        <v>—</v>
      </c>
      <c r="Z428" s="55" t="str">
        <f aca="false">IF(AND(P428&lt;&gt;"",M428&lt;&gt;"",P428&gt;M428),CONCATENATE("1 : ",TEXT((P428-M428)/M428,"0.00")),"—")</f>
        <v>—</v>
      </c>
      <c r="AA428" s="56" t="str">
        <f aca="false">IF(AND(C428&lt;&gt;"",E428&lt;&gt;""),E428-C428,"")</f>
        <v/>
      </c>
      <c r="AB428" s="42"/>
      <c r="AC428" s="57"/>
      <c r="AD428" s="58"/>
      <c r="AE428" s="59" t="str">
        <f aca="false">IF(G428&lt;&gt;"",HYPERLINK("https://www.tradingview.com/chart/?symbol="&amp;G428&amp;"&amp;interval=60&amp;from="&amp;(AG428-10*3600)&amp;"&amp;to="&amp;(AG428+50*3600),"📈 1H"),"")</f>
        <v/>
      </c>
      <c r="AF428" s="60" t="str">
        <f aca="false">IF(G428&lt;&gt;"",HYPERLINK("https://www.tradingview.com/chart/?symbol="&amp;G428&amp;"&amp;interval=240&amp;from="&amp;(AG428-10*14400)&amp;"&amp;to="&amp;(AG428+50*14400),"📈 4H"),"")</f>
        <v/>
      </c>
      <c r="AG428" s="36" t="str">
        <f aca="false">IF(C428&lt;&gt;"",INT((C428+IF(D428&lt;&gt;"",D428,0)-DATE(1970,1,1))*86400),"")</f>
        <v/>
      </c>
    </row>
    <row r="429" customFormat="false" ht="19.5" hidden="false" customHeight="true" outlineLevel="0" collapsed="false">
      <c r="A429" s="12" t="n">
        <f aca="false">ROW()-4</f>
        <v>425</v>
      </c>
      <c r="B429" s="13"/>
      <c r="C429" s="14"/>
      <c r="D429" s="15"/>
      <c r="E429" s="14"/>
      <c r="F429" s="15"/>
      <c r="G429" s="16"/>
      <c r="H429" s="17"/>
      <c r="I429" s="18"/>
      <c r="J429" s="19"/>
      <c r="K429" s="14"/>
      <c r="L429" s="17"/>
      <c r="M429" s="19"/>
      <c r="N429" s="20"/>
      <c r="O429" s="19"/>
      <c r="P429" s="21"/>
      <c r="Q429" s="22" t="str">
        <f aca="false">IF(L429="","",IF(M429&lt;&gt;"",M429*L429*100,IF(AND(O429&lt;&gt;"",B429&lt;&gt;""),IFERROR(AVERAGEIF($B$5:$B$1004,B429,$M$5:$M$1004)*L429*100,""),"")))</f>
        <v/>
      </c>
      <c r="R429" s="22" t="str">
        <f aca="false">IF(AND(O429&lt;&gt;"",L429&lt;&gt;""),O429*L429*100,"")</f>
        <v/>
      </c>
      <c r="S429" s="23" t="str">
        <f aca="false">IF(AND(P429&lt;&gt;"",L429&lt;&gt;""),P429*L429*100,"")</f>
        <v/>
      </c>
      <c r="T429" s="24" t="str">
        <f aca="false">IF(AND(Q429&lt;&gt;"",R429&lt;&gt;""),R429-Q429,"")</f>
        <v/>
      </c>
      <c r="U429" s="25" t="str">
        <f aca="false">IF(AND(Q429&lt;&gt;"",Q429&lt;&gt;0,T429&lt;&gt;""),T429/Q429,"")</f>
        <v/>
      </c>
      <c r="V429" s="26" t="str">
        <f aca="false">IF(AND(S429&lt;&gt;"",Q429&lt;&gt;""),S429-Q429,"")</f>
        <v/>
      </c>
      <c r="W429" s="27" t="str">
        <f aca="false">IF(AND(Q429&lt;&gt;"",Q429&lt;&gt;0,V429&lt;&gt;""),V429/Q429,"")</f>
        <v/>
      </c>
      <c r="X429" s="28" t="s">
        <v>37</v>
      </c>
      <c r="Y429" s="29" t="str">
        <f aca="false">IF(AND(O429&lt;&gt;"",M429&lt;&gt;"",O429&gt;M429),CONCATENATE("1 : ",TEXT((O429-M429)/M429,"0.00")),IF(AND(O429&lt;&gt;"",M429&lt;&gt;"",O429&lt;M429),CONCATENATE("-1 : ",TEXT((M429-O429)/M429,"0.00")),"—"))</f>
        <v>—</v>
      </c>
      <c r="Z429" s="30" t="str">
        <f aca="false">IF(AND(P429&lt;&gt;"",M429&lt;&gt;"",P429&gt;M429),CONCATENATE("1 : ",TEXT((P429-M429)/M429,"0.00")),"—")</f>
        <v>—</v>
      </c>
      <c r="AA429" s="31" t="str">
        <f aca="false">IF(AND(C429&lt;&gt;"",E429&lt;&gt;""),E429-C429,"")</f>
        <v/>
      </c>
      <c r="AB429" s="17"/>
      <c r="AC429" s="32"/>
      <c r="AD429" s="33"/>
      <c r="AE429" s="34" t="str">
        <f aca="false">IF(G429&lt;&gt;"",HYPERLINK("https://www.tradingview.com/chart/?symbol="&amp;G429&amp;"&amp;interval=60&amp;from="&amp;(AG429-10*3600)&amp;"&amp;to="&amp;(AG429+50*3600),"📈 1H"),"")</f>
        <v/>
      </c>
      <c r="AF429" s="35" t="str">
        <f aca="false">IF(G429&lt;&gt;"",HYPERLINK("https://www.tradingview.com/chart/?symbol="&amp;G429&amp;"&amp;interval=240&amp;from="&amp;(AG429-10*14400)&amp;"&amp;to="&amp;(AG429+50*14400),"📈 4H"),"")</f>
        <v/>
      </c>
      <c r="AG429" s="36" t="str">
        <f aca="false">IF(C429&lt;&gt;"",INT((C429+IF(D429&lt;&gt;"",D429,0)-DATE(1970,1,1))*86400),"")</f>
        <v/>
      </c>
    </row>
    <row r="430" customFormat="false" ht="19.5" hidden="false" customHeight="true" outlineLevel="0" collapsed="false">
      <c r="A430" s="37" t="n">
        <f aca="false">ROW()-4</f>
        <v>426</v>
      </c>
      <c r="B430" s="38"/>
      <c r="C430" s="39"/>
      <c r="D430" s="40"/>
      <c r="E430" s="39"/>
      <c r="F430" s="40"/>
      <c r="G430" s="41"/>
      <c r="H430" s="42"/>
      <c r="I430" s="43"/>
      <c r="J430" s="44"/>
      <c r="K430" s="39"/>
      <c r="L430" s="42"/>
      <c r="M430" s="44"/>
      <c r="N430" s="45"/>
      <c r="O430" s="44"/>
      <c r="P430" s="46"/>
      <c r="Q430" s="47" t="str">
        <f aca="false">IF(L430="","",IF(M430&lt;&gt;"",M430*L430*100,IF(AND(O430&lt;&gt;"",B430&lt;&gt;""),IFERROR(AVERAGEIF($B$5:$B$1004,B430,$M$5:$M$1004)*L430*100,""),"")))</f>
        <v/>
      </c>
      <c r="R430" s="47" t="str">
        <f aca="false">IF(AND(O430&lt;&gt;"",L430&lt;&gt;""),O430*L430*100,"")</f>
        <v/>
      </c>
      <c r="S430" s="48" t="str">
        <f aca="false">IF(AND(P430&lt;&gt;"",L430&lt;&gt;""),P430*L430*100,"")</f>
        <v/>
      </c>
      <c r="T430" s="49" t="str">
        <f aca="false">IF(AND(Q430&lt;&gt;"",R430&lt;&gt;""),R430-Q430,"")</f>
        <v/>
      </c>
      <c r="U430" s="50" t="str">
        <f aca="false">IF(AND(Q430&lt;&gt;"",Q430&lt;&gt;0,T430&lt;&gt;""),T430/Q430,"")</f>
        <v/>
      </c>
      <c r="V430" s="51" t="str">
        <f aca="false">IF(AND(S430&lt;&gt;"",Q430&lt;&gt;""),S430-Q430,"")</f>
        <v/>
      </c>
      <c r="W430" s="52" t="str">
        <f aca="false">IF(AND(Q430&lt;&gt;"",Q430&lt;&gt;0,V430&lt;&gt;""),V430/Q430,"")</f>
        <v/>
      </c>
      <c r="X430" s="53" t="s">
        <v>37</v>
      </c>
      <c r="Y430" s="54" t="str">
        <f aca="false">IF(AND(O430&lt;&gt;"",M430&lt;&gt;"",O430&gt;M430),CONCATENATE("1 : ",TEXT((O430-M430)/M430,"0.00")),IF(AND(O430&lt;&gt;"",M430&lt;&gt;"",O430&lt;M430),CONCATENATE("-1 : ",TEXT((M430-O430)/M430,"0.00")),"—"))</f>
        <v>—</v>
      </c>
      <c r="Z430" s="55" t="str">
        <f aca="false">IF(AND(P430&lt;&gt;"",M430&lt;&gt;"",P430&gt;M430),CONCATENATE("1 : ",TEXT((P430-M430)/M430,"0.00")),"—")</f>
        <v>—</v>
      </c>
      <c r="AA430" s="56" t="str">
        <f aca="false">IF(AND(C430&lt;&gt;"",E430&lt;&gt;""),E430-C430,"")</f>
        <v/>
      </c>
      <c r="AB430" s="42"/>
      <c r="AC430" s="57"/>
      <c r="AD430" s="58"/>
      <c r="AE430" s="59" t="str">
        <f aca="false">IF(G430&lt;&gt;"",HYPERLINK("https://www.tradingview.com/chart/?symbol="&amp;G430&amp;"&amp;interval=60&amp;from="&amp;(AG430-10*3600)&amp;"&amp;to="&amp;(AG430+50*3600),"📈 1H"),"")</f>
        <v/>
      </c>
      <c r="AF430" s="60" t="str">
        <f aca="false">IF(G430&lt;&gt;"",HYPERLINK("https://www.tradingview.com/chart/?symbol="&amp;G430&amp;"&amp;interval=240&amp;from="&amp;(AG430-10*14400)&amp;"&amp;to="&amp;(AG430+50*14400),"📈 4H"),"")</f>
        <v/>
      </c>
      <c r="AG430" s="36" t="str">
        <f aca="false">IF(C430&lt;&gt;"",INT((C430+IF(D430&lt;&gt;"",D430,0)-DATE(1970,1,1))*86400),"")</f>
        <v/>
      </c>
    </row>
    <row r="431" customFormat="false" ht="19.5" hidden="false" customHeight="true" outlineLevel="0" collapsed="false">
      <c r="A431" s="12" t="n">
        <f aca="false">ROW()-4</f>
        <v>427</v>
      </c>
      <c r="B431" s="13"/>
      <c r="C431" s="14"/>
      <c r="D431" s="15"/>
      <c r="E431" s="14"/>
      <c r="F431" s="15"/>
      <c r="G431" s="16"/>
      <c r="H431" s="17"/>
      <c r="I431" s="18"/>
      <c r="J431" s="19"/>
      <c r="K431" s="14"/>
      <c r="L431" s="17"/>
      <c r="M431" s="19"/>
      <c r="N431" s="20"/>
      <c r="O431" s="19"/>
      <c r="P431" s="21"/>
      <c r="Q431" s="22" t="str">
        <f aca="false">IF(L431="","",IF(M431&lt;&gt;"",M431*L431*100,IF(AND(O431&lt;&gt;"",B431&lt;&gt;""),IFERROR(AVERAGEIF($B$5:$B$1004,B431,$M$5:$M$1004)*L431*100,""),"")))</f>
        <v/>
      </c>
      <c r="R431" s="22" t="str">
        <f aca="false">IF(AND(O431&lt;&gt;"",L431&lt;&gt;""),O431*L431*100,"")</f>
        <v/>
      </c>
      <c r="S431" s="23" t="str">
        <f aca="false">IF(AND(P431&lt;&gt;"",L431&lt;&gt;""),P431*L431*100,"")</f>
        <v/>
      </c>
      <c r="T431" s="24" t="str">
        <f aca="false">IF(AND(Q431&lt;&gt;"",R431&lt;&gt;""),R431-Q431,"")</f>
        <v/>
      </c>
      <c r="U431" s="25" t="str">
        <f aca="false">IF(AND(Q431&lt;&gt;"",Q431&lt;&gt;0,T431&lt;&gt;""),T431/Q431,"")</f>
        <v/>
      </c>
      <c r="V431" s="26" t="str">
        <f aca="false">IF(AND(S431&lt;&gt;"",Q431&lt;&gt;""),S431-Q431,"")</f>
        <v/>
      </c>
      <c r="W431" s="27" t="str">
        <f aca="false">IF(AND(Q431&lt;&gt;"",Q431&lt;&gt;0,V431&lt;&gt;""),V431/Q431,"")</f>
        <v/>
      </c>
      <c r="X431" s="28" t="s">
        <v>37</v>
      </c>
      <c r="Y431" s="29" t="str">
        <f aca="false">IF(AND(O431&lt;&gt;"",M431&lt;&gt;"",O431&gt;M431),CONCATENATE("1 : ",TEXT((O431-M431)/M431,"0.00")),IF(AND(O431&lt;&gt;"",M431&lt;&gt;"",O431&lt;M431),CONCATENATE("-1 : ",TEXT((M431-O431)/M431,"0.00")),"—"))</f>
        <v>—</v>
      </c>
      <c r="Z431" s="30" t="str">
        <f aca="false">IF(AND(P431&lt;&gt;"",M431&lt;&gt;"",P431&gt;M431),CONCATENATE("1 : ",TEXT((P431-M431)/M431,"0.00")),"—")</f>
        <v>—</v>
      </c>
      <c r="AA431" s="31" t="str">
        <f aca="false">IF(AND(C431&lt;&gt;"",E431&lt;&gt;""),E431-C431,"")</f>
        <v/>
      </c>
      <c r="AB431" s="17"/>
      <c r="AC431" s="32"/>
      <c r="AD431" s="33"/>
      <c r="AE431" s="34" t="str">
        <f aca="false">IF(G431&lt;&gt;"",HYPERLINK("https://www.tradingview.com/chart/?symbol="&amp;G431&amp;"&amp;interval=60&amp;from="&amp;(AG431-10*3600)&amp;"&amp;to="&amp;(AG431+50*3600),"📈 1H"),"")</f>
        <v/>
      </c>
      <c r="AF431" s="35" t="str">
        <f aca="false">IF(G431&lt;&gt;"",HYPERLINK("https://www.tradingview.com/chart/?symbol="&amp;G431&amp;"&amp;interval=240&amp;from="&amp;(AG431-10*14400)&amp;"&amp;to="&amp;(AG431+50*14400),"📈 4H"),"")</f>
        <v/>
      </c>
      <c r="AG431" s="36" t="str">
        <f aca="false">IF(C431&lt;&gt;"",INT((C431+IF(D431&lt;&gt;"",D431,0)-DATE(1970,1,1))*86400),"")</f>
        <v/>
      </c>
    </row>
    <row r="432" customFormat="false" ht="19.5" hidden="false" customHeight="true" outlineLevel="0" collapsed="false">
      <c r="A432" s="37" t="n">
        <f aca="false">ROW()-4</f>
        <v>428</v>
      </c>
      <c r="B432" s="38"/>
      <c r="C432" s="39"/>
      <c r="D432" s="40"/>
      <c r="E432" s="39"/>
      <c r="F432" s="40"/>
      <c r="G432" s="41"/>
      <c r="H432" s="42"/>
      <c r="I432" s="43"/>
      <c r="J432" s="44"/>
      <c r="K432" s="39"/>
      <c r="L432" s="42"/>
      <c r="M432" s="44"/>
      <c r="N432" s="45"/>
      <c r="O432" s="44"/>
      <c r="P432" s="46"/>
      <c r="Q432" s="47" t="str">
        <f aca="false">IF(L432="","",IF(M432&lt;&gt;"",M432*L432*100,IF(AND(O432&lt;&gt;"",B432&lt;&gt;""),IFERROR(AVERAGEIF($B$5:$B$1004,B432,$M$5:$M$1004)*L432*100,""),"")))</f>
        <v/>
      </c>
      <c r="R432" s="47" t="str">
        <f aca="false">IF(AND(O432&lt;&gt;"",L432&lt;&gt;""),O432*L432*100,"")</f>
        <v/>
      </c>
      <c r="S432" s="48" t="str">
        <f aca="false">IF(AND(P432&lt;&gt;"",L432&lt;&gt;""),P432*L432*100,"")</f>
        <v/>
      </c>
      <c r="T432" s="49" t="str">
        <f aca="false">IF(AND(Q432&lt;&gt;"",R432&lt;&gt;""),R432-Q432,"")</f>
        <v/>
      </c>
      <c r="U432" s="50" t="str">
        <f aca="false">IF(AND(Q432&lt;&gt;"",Q432&lt;&gt;0,T432&lt;&gt;""),T432/Q432,"")</f>
        <v/>
      </c>
      <c r="V432" s="51" t="str">
        <f aca="false">IF(AND(S432&lt;&gt;"",Q432&lt;&gt;""),S432-Q432,"")</f>
        <v/>
      </c>
      <c r="W432" s="52" t="str">
        <f aca="false">IF(AND(Q432&lt;&gt;"",Q432&lt;&gt;0,V432&lt;&gt;""),V432/Q432,"")</f>
        <v/>
      </c>
      <c r="X432" s="53" t="s">
        <v>37</v>
      </c>
      <c r="Y432" s="54" t="str">
        <f aca="false">IF(AND(O432&lt;&gt;"",M432&lt;&gt;"",O432&gt;M432),CONCATENATE("1 : ",TEXT((O432-M432)/M432,"0.00")),IF(AND(O432&lt;&gt;"",M432&lt;&gt;"",O432&lt;M432),CONCATENATE("-1 : ",TEXT((M432-O432)/M432,"0.00")),"—"))</f>
        <v>—</v>
      </c>
      <c r="Z432" s="55" t="str">
        <f aca="false">IF(AND(P432&lt;&gt;"",M432&lt;&gt;"",P432&gt;M432),CONCATENATE("1 : ",TEXT((P432-M432)/M432,"0.00")),"—")</f>
        <v>—</v>
      </c>
      <c r="AA432" s="56" t="str">
        <f aca="false">IF(AND(C432&lt;&gt;"",E432&lt;&gt;""),E432-C432,"")</f>
        <v/>
      </c>
      <c r="AB432" s="42"/>
      <c r="AC432" s="57"/>
      <c r="AD432" s="58"/>
      <c r="AE432" s="59" t="str">
        <f aca="false">IF(G432&lt;&gt;"",HYPERLINK("https://www.tradingview.com/chart/?symbol="&amp;G432&amp;"&amp;interval=60&amp;from="&amp;(AG432-10*3600)&amp;"&amp;to="&amp;(AG432+50*3600),"📈 1H"),"")</f>
        <v/>
      </c>
      <c r="AF432" s="60" t="str">
        <f aca="false">IF(G432&lt;&gt;"",HYPERLINK("https://www.tradingview.com/chart/?symbol="&amp;G432&amp;"&amp;interval=240&amp;from="&amp;(AG432-10*14400)&amp;"&amp;to="&amp;(AG432+50*14400),"📈 4H"),"")</f>
        <v/>
      </c>
      <c r="AG432" s="36" t="str">
        <f aca="false">IF(C432&lt;&gt;"",INT((C432+IF(D432&lt;&gt;"",D432,0)-DATE(1970,1,1))*86400),"")</f>
        <v/>
      </c>
    </row>
    <row r="433" customFormat="false" ht="19.5" hidden="false" customHeight="true" outlineLevel="0" collapsed="false">
      <c r="A433" s="12" t="n">
        <f aca="false">ROW()-4</f>
        <v>429</v>
      </c>
      <c r="B433" s="13"/>
      <c r="C433" s="14"/>
      <c r="D433" s="15"/>
      <c r="E433" s="14"/>
      <c r="F433" s="15"/>
      <c r="G433" s="16"/>
      <c r="H433" s="17"/>
      <c r="I433" s="18"/>
      <c r="J433" s="19"/>
      <c r="K433" s="14"/>
      <c r="L433" s="17"/>
      <c r="M433" s="19"/>
      <c r="N433" s="20"/>
      <c r="O433" s="19"/>
      <c r="P433" s="21"/>
      <c r="Q433" s="22" t="str">
        <f aca="false">IF(L433="","",IF(M433&lt;&gt;"",M433*L433*100,IF(AND(O433&lt;&gt;"",B433&lt;&gt;""),IFERROR(AVERAGEIF($B$5:$B$1004,B433,$M$5:$M$1004)*L433*100,""),"")))</f>
        <v/>
      </c>
      <c r="R433" s="22" t="str">
        <f aca="false">IF(AND(O433&lt;&gt;"",L433&lt;&gt;""),O433*L433*100,"")</f>
        <v/>
      </c>
      <c r="S433" s="23" t="str">
        <f aca="false">IF(AND(P433&lt;&gt;"",L433&lt;&gt;""),P433*L433*100,"")</f>
        <v/>
      </c>
      <c r="T433" s="24" t="str">
        <f aca="false">IF(AND(Q433&lt;&gt;"",R433&lt;&gt;""),R433-Q433,"")</f>
        <v/>
      </c>
      <c r="U433" s="25" t="str">
        <f aca="false">IF(AND(Q433&lt;&gt;"",Q433&lt;&gt;0,T433&lt;&gt;""),T433/Q433,"")</f>
        <v/>
      </c>
      <c r="V433" s="26" t="str">
        <f aca="false">IF(AND(S433&lt;&gt;"",Q433&lt;&gt;""),S433-Q433,"")</f>
        <v/>
      </c>
      <c r="W433" s="27" t="str">
        <f aca="false">IF(AND(Q433&lt;&gt;"",Q433&lt;&gt;0,V433&lt;&gt;""),V433/Q433,"")</f>
        <v/>
      </c>
      <c r="X433" s="28" t="s">
        <v>37</v>
      </c>
      <c r="Y433" s="29" t="str">
        <f aca="false">IF(AND(O433&lt;&gt;"",M433&lt;&gt;"",O433&gt;M433),CONCATENATE("1 : ",TEXT((O433-M433)/M433,"0.00")),IF(AND(O433&lt;&gt;"",M433&lt;&gt;"",O433&lt;M433),CONCATENATE("-1 : ",TEXT((M433-O433)/M433,"0.00")),"—"))</f>
        <v>—</v>
      </c>
      <c r="Z433" s="30" t="str">
        <f aca="false">IF(AND(P433&lt;&gt;"",M433&lt;&gt;"",P433&gt;M433),CONCATENATE("1 : ",TEXT((P433-M433)/M433,"0.00")),"—")</f>
        <v>—</v>
      </c>
      <c r="AA433" s="31" t="str">
        <f aca="false">IF(AND(C433&lt;&gt;"",E433&lt;&gt;""),E433-C433,"")</f>
        <v/>
      </c>
      <c r="AB433" s="17"/>
      <c r="AC433" s="32"/>
      <c r="AD433" s="33"/>
      <c r="AE433" s="34" t="str">
        <f aca="false">IF(G433&lt;&gt;"",HYPERLINK("https://www.tradingview.com/chart/?symbol="&amp;G433&amp;"&amp;interval=60&amp;from="&amp;(AG433-10*3600)&amp;"&amp;to="&amp;(AG433+50*3600),"📈 1H"),"")</f>
        <v/>
      </c>
      <c r="AF433" s="35" t="str">
        <f aca="false">IF(G433&lt;&gt;"",HYPERLINK("https://www.tradingview.com/chart/?symbol="&amp;G433&amp;"&amp;interval=240&amp;from="&amp;(AG433-10*14400)&amp;"&amp;to="&amp;(AG433+50*14400),"📈 4H"),"")</f>
        <v/>
      </c>
      <c r="AG433" s="36" t="str">
        <f aca="false">IF(C433&lt;&gt;"",INT((C433+IF(D433&lt;&gt;"",D433,0)-DATE(1970,1,1))*86400),"")</f>
        <v/>
      </c>
    </row>
    <row r="434" customFormat="false" ht="19.5" hidden="false" customHeight="true" outlineLevel="0" collapsed="false">
      <c r="A434" s="37" t="n">
        <f aca="false">ROW()-4</f>
        <v>430</v>
      </c>
      <c r="B434" s="38"/>
      <c r="C434" s="39"/>
      <c r="D434" s="40"/>
      <c r="E434" s="39"/>
      <c r="F434" s="40"/>
      <c r="G434" s="41"/>
      <c r="H434" s="42"/>
      <c r="I434" s="43"/>
      <c r="J434" s="44"/>
      <c r="K434" s="39"/>
      <c r="L434" s="42"/>
      <c r="M434" s="44"/>
      <c r="N434" s="45"/>
      <c r="O434" s="44"/>
      <c r="P434" s="46"/>
      <c r="Q434" s="47" t="str">
        <f aca="false">IF(L434="","",IF(M434&lt;&gt;"",M434*L434*100,IF(AND(O434&lt;&gt;"",B434&lt;&gt;""),IFERROR(AVERAGEIF($B$5:$B$1004,B434,$M$5:$M$1004)*L434*100,""),"")))</f>
        <v/>
      </c>
      <c r="R434" s="47" t="str">
        <f aca="false">IF(AND(O434&lt;&gt;"",L434&lt;&gt;""),O434*L434*100,"")</f>
        <v/>
      </c>
      <c r="S434" s="48" t="str">
        <f aca="false">IF(AND(P434&lt;&gt;"",L434&lt;&gt;""),P434*L434*100,"")</f>
        <v/>
      </c>
      <c r="T434" s="49" t="str">
        <f aca="false">IF(AND(Q434&lt;&gt;"",R434&lt;&gt;""),R434-Q434,"")</f>
        <v/>
      </c>
      <c r="U434" s="50" t="str">
        <f aca="false">IF(AND(Q434&lt;&gt;"",Q434&lt;&gt;0,T434&lt;&gt;""),T434/Q434,"")</f>
        <v/>
      </c>
      <c r="V434" s="51" t="str">
        <f aca="false">IF(AND(S434&lt;&gt;"",Q434&lt;&gt;""),S434-Q434,"")</f>
        <v/>
      </c>
      <c r="W434" s="52" t="str">
        <f aca="false">IF(AND(Q434&lt;&gt;"",Q434&lt;&gt;0,V434&lt;&gt;""),V434/Q434,"")</f>
        <v/>
      </c>
      <c r="X434" s="53" t="s">
        <v>37</v>
      </c>
      <c r="Y434" s="54" t="str">
        <f aca="false">IF(AND(O434&lt;&gt;"",M434&lt;&gt;"",O434&gt;M434),CONCATENATE("1 : ",TEXT((O434-M434)/M434,"0.00")),IF(AND(O434&lt;&gt;"",M434&lt;&gt;"",O434&lt;M434),CONCATENATE("-1 : ",TEXT((M434-O434)/M434,"0.00")),"—"))</f>
        <v>—</v>
      </c>
      <c r="Z434" s="55" t="str">
        <f aca="false">IF(AND(P434&lt;&gt;"",M434&lt;&gt;"",P434&gt;M434),CONCATENATE("1 : ",TEXT((P434-M434)/M434,"0.00")),"—")</f>
        <v>—</v>
      </c>
      <c r="AA434" s="56" t="str">
        <f aca="false">IF(AND(C434&lt;&gt;"",E434&lt;&gt;""),E434-C434,"")</f>
        <v/>
      </c>
      <c r="AB434" s="42"/>
      <c r="AC434" s="57"/>
      <c r="AD434" s="58"/>
      <c r="AE434" s="59" t="str">
        <f aca="false">IF(G434&lt;&gt;"",HYPERLINK("https://www.tradingview.com/chart/?symbol="&amp;G434&amp;"&amp;interval=60&amp;from="&amp;(AG434-10*3600)&amp;"&amp;to="&amp;(AG434+50*3600),"📈 1H"),"")</f>
        <v/>
      </c>
      <c r="AF434" s="60" t="str">
        <f aca="false">IF(G434&lt;&gt;"",HYPERLINK("https://www.tradingview.com/chart/?symbol="&amp;G434&amp;"&amp;interval=240&amp;from="&amp;(AG434-10*14400)&amp;"&amp;to="&amp;(AG434+50*14400),"📈 4H"),"")</f>
        <v/>
      </c>
      <c r="AG434" s="36" t="str">
        <f aca="false">IF(C434&lt;&gt;"",INT((C434+IF(D434&lt;&gt;"",D434,0)-DATE(1970,1,1))*86400),"")</f>
        <v/>
      </c>
    </row>
    <row r="435" customFormat="false" ht="19.5" hidden="false" customHeight="true" outlineLevel="0" collapsed="false">
      <c r="A435" s="12" t="n">
        <f aca="false">ROW()-4</f>
        <v>431</v>
      </c>
      <c r="B435" s="13"/>
      <c r="C435" s="14"/>
      <c r="D435" s="15"/>
      <c r="E435" s="14"/>
      <c r="F435" s="15"/>
      <c r="G435" s="16"/>
      <c r="H435" s="17"/>
      <c r="I435" s="18"/>
      <c r="J435" s="19"/>
      <c r="K435" s="14"/>
      <c r="L435" s="17"/>
      <c r="M435" s="19"/>
      <c r="N435" s="20"/>
      <c r="O435" s="19"/>
      <c r="P435" s="21"/>
      <c r="Q435" s="22" t="str">
        <f aca="false">IF(L435="","",IF(M435&lt;&gt;"",M435*L435*100,IF(AND(O435&lt;&gt;"",B435&lt;&gt;""),IFERROR(AVERAGEIF($B$5:$B$1004,B435,$M$5:$M$1004)*L435*100,""),"")))</f>
        <v/>
      </c>
      <c r="R435" s="22" t="str">
        <f aca="false">IF(AND(O435&lt;&gt;"",L435&lt;&gt;""),O435*L435*100,"")</f>
        <v/>
      </c>
      <c r="S435" s="23" t="str">
        <f aca="false">IF(AND(P435&lt;&gt;"",L435&lt;&gt;""),P435*L435*100,"")</f>
        <v/>
      </c>
      <c r="T435" s="24" t="str">
        <f aca="false">IF(AND(Q435&lt;&gt;"",R435&lt;&gt;""),R435-Q435,"")</f>
        <v/>
      </c>
      <c r="U435" s="25" t="str">
        <f aca="false">IF(AND(Q435&lt;&gt;"",Q435&lt;&gt;0,T435&lt;&gt;""),T435/Q435,"")</f>
        <v/>
      </c>
      <c r="V435" s="26" t="str">
        <f aca="false">IF(AND(S435&lt;&gt;"",Q435&lt;&gt;""),S435-Q435,"")</f>
        <v/>
      </c>
      <c r="W435" s="27" t="str">
        <f aca="false">IF(AND(Q435&lt;&gt;"",Q435&lt;&gt;0,V435&lt;&gt;""),V435/Q435,"")</f>
        <v/>
      </c>
      <c r="X435" s="28" t="s">
        <v>37</v>
      </c>
      <c r="Y435" s="29" t="str">
        <f aca="false">IF(AND(O435&lt;&gt;"",M435&lt;&gt;"",O435&gt;M435),CONCATENATE("1 : ",TEXT((O435-M435)/M435,"0.00")),IF(AND(O435&lt;&gt;"",M435&lt;&gt;"",O435&lt;M435),CONCATENATE("-1 : ",TEXT((M435-O435)/M435,"0.00")),"—"))</f>
        <v>—</v>
      </c>
      <c r="Z435" s="30" t="str">
        <f aca="false">IF(AND(P435&lt;&gt;"",M435&lt;&gt;"",P435&gt;M435),CONCATENATE("1 : ",TEXT((P435-M435)/M435,"0.00")),"—")</f>
        <v>—</v>
      </c>
      <c r="AA435" s="31" t="str">
        <f aca="false">IF(AND(C435&lt;&gt;"",E435&lt;&gt;""),E435-C435,"")</f>
        <v/>
      </c>
      <c r="AB435" s="17"/>
      <c r="AC435" s="32"/>
      <c r="AD435" s="33"/>
      <c r="AE435" s="34" t="str">
        <f aca="false">IF(G435&lt;&gt;"",HYPERLINK("https://www.tradingview.com/chart/?symbol="&amp;G435&amp;"&amp;interval=60&amp;from="&amp;(AG435-10*3600)&amp;"&amp;to="&amp;(AG435+50*3600),"📈 1H"),"")</f>
        <v/>
      </c>
      <c r="AF435" s="35" t="str">
        <f aca="false">IF(G435&lt;&gt;"",HYPERLINK("https://www.tradingview.com/chart/?symbol="&amp;G435&amp;"&amp;interval=240&amp;from="&amp;(AG435-10*14400)&amp;"&amp;to="&amp;(AG435+50*14400),"📈 4H"),"")</f>
        <v/>
      </c>
      <c r="AG435" s="36" t="str">
        <f aca="false">IF(C435&lt;&gt;"",INT((C435+IF(D435&lt;&gt;"",D435,0)-DATE(1970,1,1))*86400),"")</f>
        <v/>
      </c>
    </row>
    <row r="436" customFormat="false" ht="19.5" hidden="false" customHeight="true" outlineLevel="0" collapsed="false">
      <c r="A436" s="37" t="n">
        <f aca="false">ROW()-4</f>
        <v>432</v>
      </c>
      <c r="B436" s="38"/>
      <c r="C436" s="39"/>
      <c r="D436" s="40"/>
      <c r="E436" s="39"/>
      <c r="F436" s="40"/>
      <c r="G436" s="41"/>
      <c r="H436" s="42"/>
      <c r="I436" s="43"/>
      <c r="J436" s="44"/>
      <c r="K436" s="39"/>
      <c r="L436" s="42"/>
      <c r="M436" s="44"/>
      <c r="N436" s="45"/>
      <c r="O436" s="44"/>
      <c r="P436" s="46"/>
      <c r="Q436" s="47" t="str">
        <f aca="false">IF(L436="","",IF(M436&lt;&gt;"",M436*L436*100,IF(AND(O436&lt;&gt;"",B436&lt;&gt;""),IFERROR(AVERAGEIF($B$5:$B$1004,B436,$M$5:$M$1004)*L436*100,""),"")))</f>
        <v/>
      </c>
      <c r="R436" s="47" t="str">
        <f aca="false">IF(AND(O436&lt;&gt;"",L436&lt;&gt;""),O436*L436*100,"")</f>
        <v/>
      </c>
      <c r="S436" s="48" t="str">
        <f aca="false">IF(AND(P436&lt;&gt;"",L436&lt;&gt;""),P436*L436*100,"")</f>
        <v/>
      </c>
      <c r="T436" s="49" t="str">
        <f aca="false">IF(AND(Q436&lt;&gt;"",R436&lt;&gt;""),R436-Q436,"")</f>
        <v/>
      </c>
      <c r="U436" s="50" t="str">
        <f aca="false">IF(AND(Q436&lt;&gt;"",Q436&lt;&gt;0,T436&lt;&gt;""),T436/Q436,"")</f>
        <v/>
      </c>
      <c r="V436" s="51" t="str">
        <f aca="false">IF(AND(S436&lt;&gt;"",Q436&lt;&gt;""),S436-Q436,"")</f>
        <v/>
      </c>
      <c r="W436" s="52" t="str">
        <f aca="false">IF(AND(Q436&lt;&gt;"",Q436&lt;&gt;0,V436&lt;&gt;""),V436/Q436,"")</f>
        <v/>
      </c>
      <c r="X436" s="53" t="s">
        <v>37</v>
      </c>
      <c r="Y436" s="54" t="str">
        <f aca="false">IF(AND(O436&lt;&gt;"",M436&lt;&gt;"",O436&gt;M436),CONCATENATE("1 : ",TEXT((O436-M436)/M436,"0.00")),IF(AND(O436&lt;&gt;"",M436&lt;&gt;"",O436&lt;M436),CONCATENATE("-1 : ",TEXT((M436-O436)/M436,"0.00")),"—"))</f>
        <v>—</v>
      </c>
      <c r="Z436" s="55" t="str">
        <f aca="false">IF(AND(P436&lt;&gt;"",M436&lt;&gt;"",P436&gt;M436),CONCATENATE("1 : ",TEXT((P436-M436)/M436,"0.00")),"—")</f>
        <v>—</v>
      </c>
      <c r="AA436" s="56" t="str">
        <f aca="false">IF(AND(C436&lt;&gt;"",E436&lt;&gt;""),E436-C436,"")</f>
        <v/>
      </c>
      <c r="AB436" s="42"/>
      <c r="AC436" s="57"/>
      <c r="AD436" s="58"/>
      <c r="AE436" s="59" t="str">
        <f aca="false">IF(G436&lt;&gt;"",HYPERLINK("https://www.tradingview.com/chart/?symbol="&amp;G436&amp;"&amp;interval=60&amp;from="&amp;(AG436-10*3600)&amp;"&amp;to="&amp;(AG436+50*3600),"📈 1H"),"")</f>
        <v/>
      </c>
      <c r="AF436" s="60" t="str">
        <f aca="false">IF(G436&lt;&gt;"",HYPERLINK("https://www.tradingview.com/chart/?symbol="&amp;G436&amp;"&amp;interval=240&amp;from="&amp;(AG436-10*14400)&amp;"&amp;to="&amp;(AG436+50*14400),"📈 4H"),"")</f>
        <v/>
      </c>
      <c r="AG436" s="36" t="str">
        <f aca="false">IF(C436&lt;&gt;"",INT((C436+IF(D436&lt;&gt;"",D436,0)-DATE(1970,1,1))*86400),"")</f>
        <v/>
      </c>
    </row>
    <row r="437" customFormat="false" ht="19.5" hidden="false" customHeight="true" outlineLevel="0" collapsed="false">
      <c r="A437" s="12" t="n">
        <f aca="false">ROW()-4</f>
        <v>433</v>
      </c>
      <c r="B437" s="13"/>
      <c r="C437" s="14"/>
      <c r="D437" s="15"/>
      <c r="E437" s="14"/>
      <c r="F437" s="15"/>
      <c r="G437" s="16"/>
      <c r="H437" s="17"/>
      <c r="I437" s="18"/>
      <c r="J437" s="19"/>
      <c r="K437" s="14"/>
      <c r="L437" s="17"/>
      <c r="M437" s="19"/>
      <c r="N437" s="20"/>
      <c r="O437" s="19"/>
      <c r="P437" s="21"/>
      <c r="Q437" s="22" t="str">
        <f aca="false">IF(L437="","",IF(M437&lt;&gt;"",M437*L437*100,IF(AND(O437&lt;&gt;"",B437&lt;&gt;""),IFERROR(AVERAGEIF($B$5:$B$1004,B437,$M$5:$M$1004)*L437*100,""),"")))</f>
        <v/>
      </c>
      <c r="R437" s="22" t="str">
        <f aca="false">IF(AND(O437&lt;&gt;"",L437&lt;&gt;""),O437*L437*100,"")</f>
        <v/>
      </c>
      <c r="S437" s="23" t="str">
        <f aca="false">IF(AND(P437&lt;&gt;"",L437&lt;&gt;""),P437*L437*100,"")</f>
        <v/>
      </c>
      <c r="T437" s="24" t="str">
        <f aca="false">IF(AND(Q437&lt;&gt;"",R437&lt;&gt;""),R437-Q437,"")</f>
        <v/>
      </c>
      <c r="U437" s="25" t="str">
        <f aca="false">IF(AND(Q437&lt;&gt;"",Q437&lt;&gt;0,T437&lt;&gt;""),T437/Q437,"")</f>
        <v/>
      </c>
      <c r="V437" s="26" t="str">
        <f aca="false">IF(AND(S437&lt;&gt;"",Q437&lt;&gt;""),S437-Q437,"")</f>
        <v/>
      </c>
      <c r="W437" s="27" t="str">
        <f aca="false">IF(AND(Q437&lt;&gt;"",Q437&lt;&gt;0,V437&lt;&gt;""),V437/Q437,"")</f>
        <v/>
      </c>
      <c r="X437" s="28" t="s">
        <v>37</v>
      </c>
      <c r="Y437" s="29" t="str">
        <f aca="false">IF(AND(O437&lt;&gt;"",M437&lt;&gt;"",O437&gt;M437),CONCATENATE("1 : ",TEXT((O437-M437)/M437,"0.00")),IF(AND(O437&lt;&gt;"",M437&lt;&gt;"",O437&lt;M437),CONCATENATE("-1 : ",TEXT((M437-O437)/M437,"0.00")),"—"))</f>
        <v>—</v>
      </c>
      <c r="Z437" s="30" t="str">
        <f aca="false">IF(AND(P437&lt;&gt;"",M437&lt;&gt;"",P437&gt;M437),CONCATENATE("1 : ",TEXT((P437-M437)/M437,"0.00")),"—")</f>
        <v>—</v>
      </c>
      <c r="AA437" s="31" t="str">
        <f aca="false">IF(AND(C437&lt;&gt;"",E437&lt;&gt;""),E437-C437,"")</f>
        <v/>
      </c>
      <c r="AB437" s="17"/>
      <c r="AC437" s="32"/>
      <c r="AD437" s="33"/>
      <c r="AE437" s="34" t="str">
        <f aca="false">IF(G437&lt;&gt;"",HYPERLINK("https://www.tradingview.com/chart/?symbol="&amp;G437&amp;"&amp;interval=60&amp;from="&amp;(AG437-10*3600)&amp;"&amp;to="&amp;(AG437+50*3600),"📈 1H"),"")</f>
        <v/>
      </c>
      <c r="AF437" s="35" t="str">
        <f aca="false">IF(G437&lt;&gt;"",HYPERLINK("https://www.tradingview.com/chart/?symbol="&amp;G437&amp;"&amp;interval=240&amp;from="&amp;(AG437-10*14400)&amp;"&amp;to="&amp;(AG437+50*14400),"📈 4H"),"")</f>
        <v/>
      </c>
      <c r="AG437" s="36" t="str">
        <f aca="false">IF(C437&lt;&gt;"",INT((C437+IF(D437&lt;&gt;"",D437,0)-DATE(1970,1,1))*86400),"")</f>
        <v/>
      </c>
    </row>
    <row r="438" customFormat="false" ht="19.5" hidden="false" customHeight="true" outlineLevel="0" collapsed="false">
      <c r="A438" s="37" t="n">
        <f aca="false">ROW()-4</f>
        <v>434</v>
      </c>
      <c r="B438" s="38"/>
      <c r="C438" s="39"/>
      <c r="D438" s="40"/>
      <c r="E438" s="39"/>
      <c r="F438" s="40"/>
      <c r="G438" s="41"/>
      <c r="H438" s="42"/>
      <c r="I438" s="43"/>
      <c r="J438" s="44"/>
      <c r="K438" s="39"/>
      <c r="L438" s="42"/>
      <c r="M438" s="44"/>
      <c r="N438" s="45"/>
      <c r="O438" s="44"/>
      <c r="P438" s="46"/>
      <c r="Q438" s="47" t="str">
        <f aca="false">IF(L438="","",IF(M438&lt;&gt;"",M438*L438*100,IF(AND(O438&lt;&gt;"",B438&lt;&gt;""),IFERROR(AVERAGEIF($B$5:$B$1004,B438,$M$5:$M$1004)*L438*100,""),"")))</f>
        <v/>
      </c>
      <c r="R438" s="47" t="str">
        <f aca="false">IF(AND(O438&lt;&gt;"",L438&lt;&gt;""),O438*L438*100,"")</f>
        <v/>
      </c>
      <c r="S438" s="48" t="str">
        <f aca="false">IF(AND(P438&lt;&gt;"",L438&lt;&gt;""),P438*L438*100,"")</f>
        <v/>
      </c>
      <c r="T438" s="49" t="str">
        <f aca="false">IF(AND(Q438&lt;&gt;"",R438&lt;&gt;""),R438-Q438,"")</f>
        <v/>
      </c>
      <c r="U438" s="50" t="str">
        <f aca="false">IF(AND(Q438&lt;&gt;"",Q438&lt;&gt;0,T438&lt;&gt;""),T438/Q438,"")</f>
        <v/>
      </c>
      <c r="V438" s="51" t="str">
        <f aca="false">IF(AND(S438&lt;&gt;"",Q438&lt;&gt;""),S438-Q438,"")</f>
        <v/>
      </c>
      <c r="W438" s="52" t="str">
        <f aca="false">IF(AND(Q438&lt;&gt;"",Q438&lt;&gt;0,V438&lt;&gt;""),V438/Q438,"")</f>
        <v/>
      </c>
      <c r="X438" s="53" t="s">
        <v>37</v>
      </c>
      <c r="Y438" s="54" t="str">
        <f aca="false">IF(AND(O438&lt;&gt;"",M438&lt;&gt;"",O438&gt;M438),CONCATENATE("1 : ",TEXT((O438-M438)/M438,"0.00")),IF(AND(O438&lt;&gt;"",M438&lt;&gt;"",O438&lt;M438),CONCATENATE("-1 : ",TEXT((M438-O438)/M438,"0.00")),"—"))</f>
        <v>—</v>
      </c>
      <c r="Z438" s="55" t="str">
        <f aca="false">IF(AND(P438&lt;&gt;"",M438&lt;&gt;"",P438&gt;M438),CONCATENATE("1 : ",TEXT((P438-M438)/M438,"0.00")),"—")</f>
        <v>—</v>
      </c>
      <c r="AA438" s="56" t="str">
        <f aca="false">IF(AND(C438&lt;&gt;"",E438&lt;&gt;""),E438-C438,"")</f>
        <v/>
      </c>
      <c r="AB438" s="42"/>
      <c r="AC438" s="57"/>
      <c r="AD438" s="58"/>
      <c r="AE438" s="59" t="str">
        <f aca="false">IF(G438&lt;&gt;"",HYPERLINK("https://www.tradingview.com/chart/?symbol="&amp;G438&amp;"&amp;interval=60&amp;from="&amp;(AG438-10*3600)&amp;"&amp;to="&amp;(AG438+50*3600),"📈 1H"),"")</f>
        <v/>
      </c>
      <c r="AF438" s="60" t="str">
        <f aca="false">IF(G438&lt;&gt;"",HYPERLINK("https://www.tradingview.com/chart/?symbol="&amp;G438&amp;"&amp;interval=240&amp;from="&amp;(AG438-10*14400)&amp;"&amp;to="&amp;(AG438+50*14400),"📈 4H"),"")</f>
        <v/>
      </c>
      <c r="AG438" s="36" t="str">
        <f aca="false">IF(C438&lt;&gt;"",INT((C438+IF(D438&lt;&gt;"",D438,0)-DATE(1970,1,1))*86400),"")</f>
        <v/>
      </c>
    </row>
    <row r="439" customFormat="false" ht="19.5" hidden="false" customHeight="true" outlineLevel="0" collapsed="false">
      <c r="A439" s="12" t="n">
        <f aca="false">ROW()-4</f>
        <v>435</v>
      </c>
      <c r="B439" s="13"/>
      <c r="C439" s="14"/>
      <c r="D439" s="15"/>
      <c r="E439" s="14"/>
      <c r="F439" s="15"/>
      <c r="G439" s="16"/>
      <c r="H439" s="17"/>
      <c r="I439" s="18"/>
      <c r="J439" s="19"/>
      <c r="K439" s="14"/>
      <c r="L439" s="17"/>
      <c r="M439" s="19"/>
      <c r="N439" s="20"/>
      <c r="O439" s="19"/>
      <c r="P439" s="21"/>
      <c r="Q439" s="22" t="str">
        <f aca="false">IF(L439="","",IF(M439&lt;&gt;"",M439*L439*100,IF(AND(O439&lt;&gt;"",B439&lt;&gt;""),IFERROR(AVERAGEIF($B$5:$B$1004,B439,$M$5:$M$1004)*L439*100,""),"")))</f>
        <v/>
      </c>
      <c r="R439" s="22" t="str">
        <f aca="false">IF(AND(O439&lt;&gt;"",L439&lt;&gt;""),O439*L439*100,"")</f>
        <v/>
      </c>
      <c r="S439" s="23" t="str">
        <f aca="false">IF(AND(P439&lt;&gt;"",L439&lt;&gt;""),P439*L439*100,"")</f>
        <v/>
      </c>
      <c r="T439" s="24" t="str">
        <f aca="false">IF(AND(Q439&lt;&gt;"",R439&lt;&gt;""),R439-Q439,"")</f>
        <v/>
      </c>
      <c r="U439" s="25" t="str">
        <f aca="false">IF(AND(Q439&lt;&gt;"",Q439&lt;&gt;0,T439&lt;&gt;""),T439/Q439,"")</f>
        <v/>
      </c>
      <c r="V439" s="26" t="str">
        <f aca="false">IF(AND(S439&lt;&gt;"",Q439&lt;&gt;""),S439-Q439,"")</f>
        <v/>
      </c>
      <c r="W439" s="27" t="str">
        <f aca="false">IF(AND(Q439&lt;&gt;"",Q439&lt;&gt;0,V439&lt;&gt;""),V439/Q439,"")</f>
        <v/>
      </c>
      <c r="X439" s="28" t="s">
        <v>37</v>
      </c>
      <c r="Y439" s="29" t="str">
        <f aca="false">IF(AND(O439&lt;&gt;"",M439&lt;&gt;"",O439&gt;M439),CONCATENATE("1 : ",TEXT((O439-M439)/M439,"0.00")),IF(AND(O439&lt;&gt;"",M439&lt;&gt;"",O439&lt;M439),CONCATENATE("-1 : ",TEXT((M439-O439)/M439,"0.00")),"—"))</f>
        <v>—</v>
      </c>
      <c r="Z439" s="30" t="str">
        <f aca="false">IF(AND(P439&lt;&gt;"",M439&lt;&gt;"",P439&gt;M439),CONCATENATE("1 : ",TEXT((P439-M439)/M439,"0.00")),"—")</f>
        <v>—</v>
      </c>
      <c r="AA439" s="31" t="str">
        <f aca="false">IF(AND(C439&lt;&gt;"",E439&lt;&gt;""),E439-C439,"")</f>
        <v/>
      </c>
      <c r="AB439" s="17"/>
      <c r="AC439" s="32"/>
      <c r="AD439" s="33"/>
      <c r="AE439" s="34" t="str">
        <f aca="false">IF(G439&lt;&gt;"",HYPERLINK("https://www.tradingview.com/chart/?symbol="&amp;G439&amp;"&amp;interval=60&amp;from="&amp;(AG439-10*3600)&amp;"&amp;to="&amp;(AG439+50*3600),"📈 1H"),"")</f>
        <v/>
      </c>
      <c r="AF439" s="35" t="str">
        <f aca="false">IF(G439&lt;&gt;"",HYPERLINK("https://www.tradingview.com/chart/?symbol="&amp;G439&amp;"&amp;interval=240&amp;from="&amp;(AG439-10*14400)&amp;"&amp;to="&amp;(AG439+50*14400),"📈 4H"),"")</f>
        <v/>
      </c>
      <c r="AG439" s="36" t="str">
        <f aca="false">IF(C439&lt;&gt;"",INT((C439+IF(D439&lt;&gt;"",D439,0)-DATE(1970,1,1))*86400),"")</f>
        <v/>
      </c>
    </row>
    <row r="440" customFormat="false" ht="19.5" hidden="false" customHeight="true" outlineLevel="0" collapsed="false">
      <c r="A440" s="37" t="n">
        <f aca="false">ROW()-4</f>
        <v>436</v>
      </c>
      <c r="B440" s="38"/>
      <c r="C440" s="39"/>
      <c r="D440" s="40"/>
      <c r="E440" s="39"/>
      <c r="F440" s="40"/>
      <c r="G440" s="41"/>
      <c r="H440" s="42"/>
      <c r="I440" s="43"/>
      <c r="J440" s="44"/>
      <c r="K440" s="39"/>
      <c r="L440" s="42"/>
      <c r="M440" s="44"/>
      <c r="N440" s="45"/>
      <c r="O440" s="44"/>
      <c r="P440" s="46"/>
      <c r="Q440" s="47" t="str">
        <f aca="false">IF(L440="","",IF(M440&lt;&gt;"",M440*L440*100,IF(AND(O440&lt;&gt;"",B440&lt;&gt;""),IFERROR(AVERAGEIF($B$5:$B$1004,B440,$M$5:$M$1004)*L440*100,""),"")))</f>
        <v/>
      </c>
      <c r="R440" s="47" t="str">
        <f aca="false">IF(AND(O440&lt;&gt;"",L440&lt;&gt;""),O440*L440*100,"")</f>
        <v/>
      </c>
      <c r="S440" s="48" t="str">
        <f aca="false">IF(AND(P440&lt;&gt;"",L440&lt;&gt;""),P440*L440*100,"")</f>
        <v/>
      </c>
      <c r="T440" s="49" t="str">
        <f aca="false">IF(AND(Q440&lt;&gt;"",R440&lt;&gt;""),R440-Q440,"")</f>
        <v/>
      </c>
      <c r="U440" s="50" t="str">
        <f aca="false">IF(AND(Q440&lt;&gt;"",Q440&lt;&gt;0,T440&lt;&gt;""),T440/Q440,"")</f>
        <v/>
      </c>
      <c r="V440" s="51" t="str">
        <f aca="false">IF(AND(S440&lt;&gt;"",Q440&lt;&gt;""),S440-Q440,"")</f>
        <v/>
      </c>
      <c r="W440" s="52" t="str">
        <f aca="false">IF(AND(Q440&lt;&gt;"",Q440&lt;&gt;0,V440&lt;&gt;""),V440/Q440,"")</f>
        <v/>
      </c>
      <c r="X440" s="53" t="s">
        <v>37</v>
      </c>
      <c r="Y440" s="54" t="str">
        <f aca="false">IF(AND(O440&lt;&gt;"",M440&lt;&gt;"",O440&gt;M440),CONCATENATE("1 : ",TEXT((O440-M440)/M440,"0.00")),IF(AND(O440&lt;&gt;"",M440&lt;&gt;"",O440&lt;M440),CONCATENATE("-1 : ",TEXT((M440-O440)/M440,"0.00")),"—"))</f>
        <v>—</v>
      </c>
      <c r="Z440" s="55" t="str">
        <f aca="false">IF(AND(P440&lt;&gt;"",M440&lt;&gt;"",P440&gt;M440),CONCATENATE("1 : ",TEXT((P440-M440)/M440,"0.00")),"—")</f>
        <v>—</v>
      </c>
      <c r="AA440" s="56" t="str">
        <f aca="false">IF(AND(C440&lt;&gt;"",E440&lt;&gt;""),E440-C440,"")</f>
        <v/>
      </c>
      <c r="AB440" s="42"/>
      <c r="AC440" s="57"/>
      <c r="AD440" s="58"/>
      <c r="AE440" s="59" t="str">
        <f aca="false">IF(G440&lt;&gt;"",HYPERLINK("https://www.tradingview.com/chart/?symbol="&amp;G440&amp;"&amp;interval=60&amp;from="&amp;(AG440-10*3600)&amp;"&amp;to="&amp;(AG440+50*3600),"📈 1H"),"")</f>
        <v/>
      </c>
      <c r="AF440" s="60" t="str">
        <f aca="false">IF(G440&lt;&gt;"",HYPERLINK("https://www.tradingview.com/chart/?symbol="&amp;G440&amp;"&amp;interval=240&amp;from="&amp;(AG440-10*14400)&amp;"&amp;to="&amp;(AG440+50*14400),"📈 4H"),"")</f>
        <v/>
      </c>
      <c r="AG440" s="36" t="str">
        <f aca="false">IF(C440&lt;&gt;"",INT((C440+IF(D440&lt;&gt;"",D440,0)-DATE(1970,1,1))*86400),"")</f>
        <v/>
      </c>
    </row>
    <row r="441" customFormat="false" ht="19.5" hidden="false" customHeight="true" outlineLevel="0" collapsed="false">
      <c r="A441" s="12" t="n">
        <f aca="false">ROW()-4</f>
        <v>437</v>
      </c>
      <c r="B441" s="13"/>
      <c r="C441" s="14"/>
      <c r="D441" s="15"/>
      <c r="E441" s="14"/>
      <c r="F441" s="15"/>
      <c r="G441" s="16"/>
      <c r="H441" s="17"/>
      <c r="I441" s="18"/>
      <c r="J441" s="19"/>
      <c r="K441" s="14"/>
      <c r="L441" s="17"/>
      <c r="M441" s="19"/>
      <c r="N441" s="20"/>
      <c r="O441" s="19"/>
      <c r="P441" s="21"/>
      <c r="Q441" s="22" t="str">
        <f aca="false">IF(L441="","",IF(M441&lt;&gt;"",M441*L441*100,IF(AND(O441&lt;&gt;"",B441&lt;&gt;""),IFERROR(AVERAGEIF($B$5:$B$1004,B441,$M$5:$M$1004)*L441*100,""),"")))</f>
        <v/>
      </c>
      <c r="R441" s="22" t="str">
        <f aca="false">IF(AND(O441&lt;&gt;"",L441&lt;&gt;""),O441*L441*100,"")</f>
        <v/>
      </c>
      <c r="S441" s="23" t="str">
        <f aca="false">IF(AND(P441&lt;&gt;"",L441&lt;&gt;""),P441*L441*100,"")</f>
        <v/>
      </c>
      <c r="T441" s="24" t="str">
        <f aca="false">IF(AND(Q441&lt;&gt;"",R441&lt;&gt;""),R441-Q441,"")</f>
        <v/>
      </c>
      <c r="U441" s="25" t="str">
        <f aca="false">IF(AND(Q441&lt;&gt;"",Q441&lt;&gt;0,T441&lt;&gt;""),T441/Q441,"")</f>
        <v/>
      </c>
      <c r="V441" s="26" t="str">
        <f aca="false">IF(AND(S441&lt;&gt;"",Q441&lt;&gt;""),S441-Q441,"")</f>
        <v/>
      </c>
      <c r="W441" s="27" t="str">
        <f aca="false">IF(AND(Q441&lt;&gt;"",Q441&lt;&gt;0,V441&lt;&gt;""),V441/Q441,"")</f>
        <v/>
      </c>
      <c r="X441" s="28" t="s">
        <v>37</v>
      </c>
      <c r="Y441" s="29" t="str">
        <f aca="false">IF(AND(O441&lt;&gt;"",M441&lt;&gt;"",O441&gt;M441),CONCATENATE("1 : ",TEXT((O441-M441)/M441,"0.00")),IF(AND(O441&lt;&gt;"",M441&lt;&gt;"",O441&lt;M441),CONCATENATE("-1 : ",TEXT((M441-O441)/M441,"0.00")),"—"))</f>
        <v>—</v>
      </c>
      <c r="Z441" s="30" t="str">
        <f aca="false">IF(AND(P441&lt;&gt;"",M441&lt;&gt;"",P441&gt;M441),CONCATENATE("1 : ",TEXT((P441-M441)/M441,"0.00")),"—")</f>
        <v>—</v>
      </c>
      <c r="AA441" s="31" t="str">
        <f aca="false">IF(AND(C441&lt;&gt;"",E441&lt;&gt;""),E441-C441,"")</f>
        <v/>
      </c>
      <c r="AB441" s="17"/>
      <c r="AC441" s="32"/>
      <c r="AD441" s="33"/>
      <c r="AE441" s="34" t="str">
        <f aca="false">IF(G441&lt;&gt;"",HYPERLINK("https://www.tradingview.com/chart/?symbol="&amp;G441&amp;"&amp;interval=60&amp;from="&amp;(AG441-10*3600)&amp;"&amp;to="&amp;(AG441+50*3600),"📈 1H"),"")</f>
        <v/>
      </c>
      <c r="AF441" s="35" t="str">
        <f aca="false">IF(G441&lt;&gt;"",HYPERLINK("https://www.tradingview.com/chart/?symbol="&amp;G441&amp;"&amp;interval=240&amp;from="&amp;(AG441-10*14400)&amp;"&amp;to="&amp;(AG441+50*14400),"📈 4H"),"")</f>
        <v/>
      </c>
      <c r="AG441" s="36" t="str">
        <f aca="false">IF(C441&lt;&gt;"",INT((C441+IF(D441&lt;&gt;"",D441,0)-DATE(1970,1,1))*86400),"")</f>
        <v/>
      </c>
    </row>
    <row r="442" customFormat="false" ht="19.5" hidden="false" customHeight="true" outlineLevel="0" collapsed="false">
      <c r="A442" s="37" t="n">
        <f aca="false">ROW()-4</f>
        <v>438</v>
      </c>
      <c r="B442" s="38"/>
      <c r="C442" s="39"/>
      <c r="D442" s="40"/>
      <c r="E442" s="39"/>
      <c r="F442" s="40"/>
      <c r="G442" s="41"/>
      <c r="H442" s="42"/>
      <c r="I442" s="43"/>
      <c r="J442" s="44"/>
      <c r="K442" s="39"/>
      <c r="L442" s="42"/>
      <c r="M442" s="44"/>
      <c r="N442" s="45"/>
      <c r="O442" s="44"/>
      <c r="P442" s="46"/>
      <c r="Q442" s="47" t="str">
        <f aca="false">IF(L442="","",IF(M442&lt;&gt;"",M442*L442*100,IF(AND(O442&lt;&gt;"",B442&lt;&gt;""),IFERROR(AVERAGEIF($B$5:$B$1004,B442,$M$5:$M$1004)*L442*100,""),"")))</f>
        <v/>
      </c>
      <c r="R442" s="47" t="str">
        <f aca="false">IF(AND(O442&lt;&gt;"",L442&lt;&gt;""),O442*L442*100,"")</f>
        <v/>
      </c>
      <c r="S442" s="48" t="str">
        <f aca="false">IF(AND(P442&lt;&gt;"",L442&lt;&gt;""),P442*L442*100,"")</f>
        <v/>
      </c>
      <c r="T442" s="49" t="str">
        <f aca="false">IF(AND(Q442&lt;&gt;"",R442&lt;&gt;""),R442-Q442,"")</f>
        <v/>
      </c>
      <c r="U442" s="50" t="str">
        <f aca="false">IF(AND(Q442&lt;&gt;"",Q442&lt;&gt;0,T442&lt;&gt;""),T442/Q442,"")</f>
        <v/>
      </c>
      <c r="V442" s="51" t="str">
        <f aca="false">IF(AND(S442&lt;&gt;"",Q442&lt;&gt;""),S442-Q442,"")</f>
        <v/>
      </c>
      <c r="W442" s="52" t="str">
        <f aca="false">IF(AND(Q442&lt;&gt;"",Q442&lt;&gt;0,V442&lt;&gt;""),V442/Q442,"")</f>
        <v/>
      </c>
      <c r="X442" s="53" t="s">
        <v>37</v>
      </c>
      <c r="Y442" s="54" t="str">
        <f aca="false">IF(AND(O442&lt;&gt;"",M442&lt;&gt;"",O442&gt;M442),CONCATENATE("1 : ",TEXT((O442-M442)/M442,"0.00")),IF(AND(O442&lt;&gt;"",M442&lt;&gt;"",O442&lt;M442),CONCATENATE("-1 : ",TEXT((M442-O442)/M442,"0.00")),"—"))</f>
        <v>—</v>
      </c>
      <c r="Z442" s="55" t="str">
        <f aca="false">IF(AND(P442&lt;&gt;"",M442&lt;&gt;"",P442&gt;M442),CONCATENATE("1 : ",TEXT((P442-M442)/M442,"0.00")),"—")</f>
        <v>—</v>
      </c>
      <c r="AA442" s="56" t="str">
        <f aca="false">IF(AND(C442&lt;&gt;"",E442&lt;&gt;""),E442-C442,"")</f>
        <v/>
      </c>
      <c r="AB442" s="42"/>
      <c r="AC442" s="57"/>
      <c r="AD442" s="58"/>
      <c r="AE442" s="59" t="str">
        <f aca="false">IF(G442&lt;&gt;"",HYPERLINK("https://www.tradingview.com/chart/?symbol="&amp;G442&amp;"&amp;interval=60&amp;from="&amp;(AG442-10*3600)&amp;"&amp;to="&amp;(AG442+50*3600),"📈 1H"),"")</f>
        <v/>
      </c>
      <c r="AF442" s="60" t="str">
        <f aca="false">IF(G442&lt;&gt;"",HYPERLINK("https://www.tradingview.com/chart/?symbol="&amp;G442&amp;"&amp;interval=240&amp;from="&amp;(AG442-10*14400)&amp;"&amp;to="&amp;(AG442+50*14400),"📈 4H"),"")</f>
        <v/>
      </c>
      <c r="AG442" s="36" t="str">
        <f aca="false">IF(C442&lt;&gt;"",INT((C442+IF(D442&lt;&gt;"",D442,0)-DATE(1970,1,1))*86400),"")</f>
        <v/>
      </c>
    </row>
    <row r="443" customFormat="false" ht="19.5" hidden="false" customHeight="true" outlineLevel="0" collapsed="false">
      <c r="A443" s="12" t="n">
        <f aca="false">ROW()-4</f>
        <v>439</v>
      </c>
      <c r="B443" s="13"/>
      <c r="C443" s="14"/>
      <c r="D443" s="15"/>
      <c r="E443" s="14"/>
      <c r="F443" s="15"/>
      <c r="G443" s="16"/>
      <c r="H443" s="17"/>
      <c r="I443" s="18"/>
      <c r="J443" s="19"/>
      <c r="K443" s="14"/>
      <c r="L443" s="17"/>
      <c r="M443" s="19"/>
      <c r="N443" s="20"/>
      <c r="O443" s="19"/>
      <c r="P443" s="21"/>
      <c r="Q443" s="22" t="str">
        <f aca="false">IF(L443="","",IF(M443&lt;&gt;"",M443*L443*100,IF(AND(O443&lt;&gt;"",B443&lt;&gt;""),IFERROR(AVERAGEIF($B$5:$B$1004,B443,$M$5:$M$1004)*L443*100,""),"")))</f>
        <v/>
      </c>
      <c r="R443" s="22" t="str">
        <f aca="false">IF(AND(O443&lt;&gt;"",L443&lt;&gt;""),O443*L443*100,"")</f>
        <v/>
      </c>
      <c r="S443" s="23" t="str">
        <f aca="false">IF(AND(P443&lt;&gt;"",L443&lt;&gt;""),P443*L443*100,"")</f>
        <v/>
      </c>
      <c r="T443" s="24" t="str">
        <f aca="false">IF(AND(Q443&lt;&gt;"",R443&lt;&gt;""),R443-Q443,"")</f>
        <v/>
      </c>
      <c r="U443" s="25" t="str">
        <f aca="false">IF(AND(Q443&lt;&gt;"",Q443&lt;&gt;0,T443&lt;&gt;""),T443/Q443,"")</f>
        <v/>
      </c>
      <c r="V443" s="26" t="str">
        <f aca="false">IF(AND(S443&lt;&gt;"",Q443&lt;&gt;""),S443-Q443,"")</f>
        <v/>
      </c>
      <c r="W443" s="27" t="str">
        <f aca="false">IF(AND(Q443&lt;&gt;"",Q443&lt;&gt;0,V443&lt;&gt;""),V443/Q443,"")</f>
        <v/>
      </c>
      <c r="X443" s="28" t="s">
        <v>37</v>
      </c>
      <c r="Y443" s="29" t="str">
        <f aca="false">IF(AND(O443&lt;&gt;"",M443&lt;&gt;"",O443&gt;M443),CONCATENATE("1 : ",TEXT((O443-M443)/M443,"0.00")),IF(AND(O443&lt;&gt;"",M443&lt;&gt;"",O443&lt;M443),CONCATENATE("-1 : ",TEXT((M443-O443)/M443,"0.00")),"—"))</f>
        <v>—</v>
      </c>
      <c r="Z443" s="30" t="str">
        <f aca="false">IF(AND(P443&lt;&gt;"",M443&lt;&gt;"",P443&gt;M443),CONCATENATE("1 : ",TEXT((P443-M443)/M443,"0.00")),"—")</f>
        <v>—</v>
      </c>
      <c r="AA443" s="31" t="str">
        <f aca="false">IF(AND(C443&lt;&gt;"",E443&lt;&gt;""),E443-C443,"")</f>
        <v/>
      </c>
      <c r="AB443" s="17"/>
      <c r="AC443" s="32"/>
      <c r="AD443" s="33"/>
      <c r="AE443" s="34" t="str">
        <f aca="false">IF(G443&lt;&gt;"",HYPERLINK("https://www.tradingview.com/chart/?symbol="&amp;G443&amp;"&amp;interval=60&amp;from="&amp;(AG443-10*3600)&amp;"&amp;to="&amp;(AG443+50*3600),"📈 1H"),"")</f>
        <v/>
      </c>
      <c r="AF443" s="35" t="str">
        <f aca="false">IF(G443&lt;&gt;"",HYPERLINK("https://www.tradingview.com/chart/?symbol="&amp;G443&amp;"&amp;interval=240&amp;from="&amp;(AG443-10*14400)&amp;"&amp;to="&amp;(AG443+50*14400),"📈 4H"),"")</f>
        <v/>
      </c>
      <c r="AG443" s="36" t="str">
        <f aca="false">IF(C443&lt;&gt;"",INT((C443+IF(D443&lt;&gt;"",D443,0)-DATE(1970,1,1))*86400),"")</f>
        <v/>
      </c>
    </row>
    <row r="444" customFormat="false" ht="19.5" hidden="false" customHeight="true" outlineLevel="0" collapsed="false">
      <c r="A444" s="37" t="n">
        <f aca="false">ROW()-4</f>
        <v>440</v>
      </c>
      <c r="B444" s="38"/>
      <c r="C444" s="39"/>
      <c r="D444" s="40"/>
      <c r="E444" s="39"/>
      <c r="F444" s="40"/>
      <c r="G444" s="41"/>
      <c r="H444" s="42"/>
      <c r="I444" s="43"/>
      <c r="J444" s="44"/>
      <c r="K444" s="39"/>
      <c r="L444" s="42"/>
      <c r="M444" s="44"/>
      <c r="N444" s="45"/>
      <c r="O444" s="44"/>
      <c r="P444" s="46"/>
      <c r="Q444" s="47" t="str">
        <f aca="false">IF(L444="","",IF(M444&lt;&gt;"",M444*L444*100,IF(AND(O444&lt;&gt;"",B444&lt;&gt;""),IFERROR(AVERAGEIF($B$5:$B$1004,B444,$M$5:$M$1004)*L444*100,""),"")))</f>
        <v/>
      </c>
      <c r="R444" s="47" t="str">
        <f aca="false">IF(AND(O444&lt;&gt;"",L444&lt;&gt;""),O444*L444*100,"")</f>
        <v/>
      </c>
      <c r="S444" s="48" t="str">
        <f aca="false">IF(AND(P444&lt;&gt;"",L444&lt;&gt;""),P444*L444*100,"")</f>
        <v/>
      </c>
      <c r="T444" s="49" t="str">
        <f aca="false">IF(AND(Q444&lt;&gt;"",R444&lt;&gt;""),R444-Q444,"")</f>
        <v/>
      </c>
      <c r="U444" s="50" t="str">
        <f aca="false">IF(AND(Q444&lt;&gt;"",Q444&lt;&gt;0,T444&lt;&gt;""),T444/Q444,"")</f>
        <v/>
      </c>
      <c r="V444" s="51" t="str">
        <f aca="false">IF(AND(S444&lt;&gt;"",Q444&lt;&gt;""),S444-Q444,"")</f>
        <v/>
      </c>
      <c r="W444" s="52" t="str">
        <f aca="false">IF(AND(Q444&lt;&gt;"",Q444&lt;&gt;0,V444&lt;&gt;""),V444/Q444,"")</f>
        <v/>
      </c>
      <c r="X444" s="53" t="s">
        <v>37</v>
      </c>
      <c r="Y444" s="54" t="str">
        <f aca="false">IF(AND(O444&lt;&gt;"",M444&lt;&gt;"",O444&gt;M444),CONCATENATE("1 : ",TEXT((O444-M444)/M444,"0.00")),IF(AND(O444&lt;&gt;"",M444&lt;&gt;"",O444&lt;M444),CONCATENATE("-1 : ",TEXT((M444-O444)/M444,"0.00")),"—"))</f>
        <v>—</v>
      </c>
      <c r="Z444" s="55" t="str">
        <f aca="false">IF(AND(P444&lt;&gt;"",M444&lt;&gt;"",P444&gt;M444),CONCATENATE("1 : ",TEXT((P444-M444)/M444,"0.00")),"—")</f>
        <v>—</v>
      </c>
      <c r="AA444" s="56" t="str">
        <f aca="false">IF(AND(C444&lt;&gt;"",E444&lt;&gt;""),E444-C444,"")</f>
        <v/>
      </c>
      <c r="AB444" s="42"/>
      <c r="AC444" s="57"/>
      <c r="AD444" s="58"/>
      <c r="AE444" s="59" t="str">
        <f aca="false">IF(G444&lt;&gt;"",HYPERLINK("https://www.tradingview.com/chart/?symbol="&amp;G444&amp;"&amp;interval=60&amp;from="&amp;(AG444-10*3600)&amp;"&amp;to="&amp;(AG444+50*3600),"📈 1H"),"")</f>
        <v/>
      </c>
      <c r="AF444" s="60" t="str">
        <f aca="false">IF(G444&lt;&gt;"",HYPERLINK("https://www.tradingview.com/chart/?symbol="&amp;G444&amp;"&amp;interval=240&amp;from="&amp;(AG444-10*14400)&amp;"&amp;to="&amp;(AG444+50*14400),"📈 4H"),"")</f>
        <v/>
      </c>
      <c r="AG444" s="36" t="str">
        <f aca="false">IF(C444&lt;&gt;"",INT((C444+IF(D444&lt;&gt;"",D444,0)-DATE(1970,1,1))*86400),"")</f>
        <v/>
      </c>
    </row>
    <row r="445" customFormat="false" ht="19.5" hidden="false" customHeight="true" outlineLevel="0" collapsed="false">
      <c r="A445" s="12" t="n">
        <f aca="false">ROW()-4</f>
        <v>441</v>
      </c>
      <c r="B445" s="13"/>
      <c r="C445" s="14"/>
      <c r="D445" s="15"/>
      <c r="E445" s="14"/>
      <c r="F445" s="15"/>
      <c r="G445" s="16"/>
      <c r="H445" s="17"/>
      <c r="I445" s="18"/>
      <c r="J445" s="19"/>
      <c r="K445" s="14"/>
      <c r="L445" s="17"/>
      <c r="M445" s="19"/>
      <c r="N445" s="20"/>
      <c r="O445" s="19"/>
      <c r="P445" s="21"/>
      <c r="Q445" s="22" t="str">
        <f aca="false">IF(L445="","",IF(M445&lt;&gt;"",M445*L445*100,IF(AND(O445&lt;&gt;"",B445&lt;&gt;""),IFERROR(AVERAGEIF($B$5:$B$1004,B445,$M$5:$M$1004)*L445*100,""),"")))</f>
        <v/>
      </c>
      <c r="R445" s="22" t="str">
        <f aca="false">IF(AND(O445&lt;&gt;"",L445&lt;&gt;""),O445*L445*100,"")</f>
        <v/>
      </c>
      <c r="S445" s="23" t="str">
        <f aca="false">IF(AND(P445&lt;&gt;"",L445&lt;&gt;""),P445*L445*100,"")</f>
        <v/>
      </c>
      <c r="T445" s="24" t="str">
        <f aca="false">IF(AND(Q445&lt;&gt;"",R445&lt;&gt;""),R445-Q445,"")</f>
        <v/>
      </c>
      <c r="U445" s="25" t="str">
        <f aca="false">IF(AND(Q445&lt;&gt;"",Q445&lt;&gt;0,T445&lt;&gt;""),T445/Q445,"")</f>
        <v/>
      </c>
      <c r="V445" s="26" t="str">
        <f aca="false">IF(AND(S445&lt;&gt;"",Q445&lt;&gt;""),S445-Q445,"")</f>
        <v/>
      </c>
      <c r="W445" s="27" t="str">
        <f aca="false">IF(AND(Q445&lt;&gt;"",Q445&lt;&gt;0,V445&lt;&gt;""),V445/Q445,"")</f>
        <v/>
      </c>
      <c r="X445" s="28" t="s">
        <v>37</v>
      </c>
      <c r="Y445" s="29" t="str">
        <f aca="false">IF(AND(O445&lt;&gt;"",M445&lt;&gt;"",O445&gt;M445),CONCATENATE("1 : ",TEXT((O445-M445)/M445,"0.00")),IF(AND(O445&lt;&gt;"",M445&lt;&gt;"",O445&lt;M445),CONCATENATE("-1 : ",TEXT((M445-O445)/M445,"0.00")),"—"))</f>
        <v>—</v>
      </c>
      <c r="Z445" s="30" t="str">
        <f aca="false">IF(AND(P445&lt;&gt;"",M445&lt;&gt;"",P445&gt;M445),CONCATENATE("1 : ",TEXT((P445-M445)/M445,"0.00")),"—")</f>
        <v>—</v>
      </c>
      <c r="AA445" s="31" t="str">
        <f aca="false">IF(AND(C445&lt;&gt;"",E445&lt;&gt;""),E445-C445,"")</f>
        <v/>
      </c>
      <c r="AB445" s="17"/>
      <c r="AC445" s="32"/>
      <c r="AD445" s="33"/>
      <c r="AE445" s="34" t="str">
        <f aca="false">IF(G445&lt;&gt;"",HYPERLINK("https://www.tradingview.com/chart/?symbol="&amp;G445&amp;"&amp;interval=60&amp;from="&amp;(AG445-10*3600)&amp;"&amp;to="&amp;(AG445+50*3600),"📈 1H"),"")</f>
        <v/>
      </c>
      <c r="AF445" s="35" t="str">
        <f aca="false">IF(G445&lt;&gt;"",HYPERLINK("https://www.tradingview.com/chart/?symbol="&amp;G445&amp;"&amp;interval=240&amp;from="&amp;(AG445-10*14400)&amp;"&amp;to="&amp;(AG445+50*14400),"📈 4H"),"")</f>
        <v/>
      </c>
      <c r="AG445" s="36" t="str">
        <f aca="false">IF(C445&lt;&gt;"",INT((C445+IF(D445&lt;&gt;"",D445,0)-DATE(1970,1,1))*86400),"")</f>
        <v/>
      </c>
    </row>
    <row r="446" customFormat="false" ht="19.5" hidden="false" customHeight="true" outlineLevel="0" collapsed="false">
      <c r="A446" s="37" t="n">
        <f aca="false">ROW()-4</f>
        <v>442</v>
      </c>
      <c r="B446" s="38"/>
      <c r="C446" s="39"/>
      <c r="D446" s="40"/>
      <c r="E446" s="39"/>
      <c r="F446" s="40"/>
      <c r="G446" s="41"/>
      <c r="H446" s="42"/>
      <c r="I446" s="43"/>
      <c r="J446" s="44"/>
      <c r="K446" s="39"/>
      <c r="L446" s="42"/>
      <c r="M446" s="44"/>
      <c r="N446" s="45"/>
      <c r="O446" s="44"/>
      <c r="P446" s="46"/>
      <c r="Q446" s="47" t="str">
        <f aca="false">IF(L446="","",IF(M446&lt;&gt;"",M446*L446*100,IF(AND(O446&lt;&gt;"",B446&lt;&gt;""),IFERROR(AVERAGEIF($B$5:$B$1004,B446,$M$5:$M$1004)*L446*100,""),"")))</f>
        <v/>
      </c>
      <c r="R446" s="47" t="str">
        <f aca="false">IF(AND(O446&lt;&gt;"",L446&lt;&gt;""),O446*L446*100,"")</f>
        <v/>
      </c>
      <c r="S446" s="48" t="str">
        <f aca="false">IF(AND(P446&lt;&gt;"",L446&lt;&gt;""),P446*L446*100,"")</f>
        <v/>
      </c>
      <c r="T446" s="49" t="str">
        <f aca="false">IF(AND(Q446&lt;&gt;"",R446&lt;&gt;""),R446-Q446,"")</f>
        <v/>
      </c>
      <c r="U446" s="50" t="str">
        <f aca="false">IF(AND(Q446&lt;&gt;"",Q446&lt;&gt;0,T446&lt;&gt;""),T446/Q446,"")</f>
        <v/>
      </c>
      <c r="V446" s="51" t="str">
        <f aca="false">IF(AND(S446&lt;&gt;"",Q446&lt;&gt;""),S446-Q446,"")</f>
        <v/>
      </c>
      <c r="W446" s="52" t="str">
        <f aca="false">IF(AND(Q446&lt;&gt;"",Q446&lt;&gt;0,V446&lt;&gt;""),V446/Q446,"")</f>
        <v/>
      </c>
      <c r="X446" s="53" t="s">
        <v>37</v>
      </c>
      <c r="Y446" s="54" t="str">
        <f aca="false">IF(AND(O446&lt;&gt;"",M446&lt;&gt;"",O446&gt;M446),CONCATENATE("1 : ",TEXT((O446-M446)/M446,"0.00")),IF(AND(O446&lt;&gt;"",M446&lt;&gt;"",O446&lt;M446),CONCATENATE("-1 : ",TEXT((M446-O446)/M446,"0.00")),"—"))</f>
        <v>—</v>
      </c>
      <c r="Z446" s="55" t="str">
        <f aca="false">IF(AND(P446&lt;&gt;"",M446&lt;&gt;"",P446&gt;M446),CONCATENATE("1 : ",TEXT((P446-M446)/M446,"0.00")),"—")</f>
        <v>—</v>
      </c>
      <c r="AA446" s="56" t="str">
        <f aca="false">IF(AND(C446&lt;&gt;"",E446&lt;&gt;""),E446-C446,"")</f>
        <v/>
      </c>
      <c r="AB446" s="42"/>
      <c r="AC446" s="57"/>
      <c r="AD446" s="58"/>
      <c r="AE446" s="59" t="str">
        <f aca="false">IF(G446&lt;&gt;"",HYPERLINK("https://www.tradingview.com/chart/?symbol="&amp;G446&amp;"&amp;interval=60&amp;from="&amp;(AG446-10*3600)&amp;"&amp;to="&amp;(AG446+50*3600),"📈 1H"),"")</f>
        <v/>
      </c>
      <c r="AF446" s="60" t="str">
        <f aca="false">IF(G446&lt;&gt;"",HYPERLINK("https://www.tradingview.com/chart/?symbol="&amp;G446&amp;"&amp;interval=240&amp;from="&amp;(AG446-10*14400)&amp;"&amp;to="&amp;(AG446+50*14400),"📈 4H"),"")</f>
        <v/>
      </c>
      <c r="AG446" s="36" t="str">
        <f aca="false">IF(C446&lt;&gt;"",INT((C446+IF(D446&lt;&gt;"",D446,0)-DATE(1970,1,1))*86400),"")</f>
        <v/>
      </c>
    </row>
    <row r="447" customFormat="false" ht="19.5" hidden="false" customHeight="true" outlineLevel="0" collapsed="false">
      <c r="A447" s="12" t="n">
        <f aca="false">ROW()-4</f>
        <v>443</v>
      </c>
      <c r="B447" s="13"/>
      <c r="C447" s="14"/>
      <c r="D447" s="15"/>
      <c r="E447" s="14"/>
      <c r="F447" s="15"/>
      <c r="G447" s="16"/>
      <c r="H447" s="17"/>
      <c r="I447" s="18"/>
      <c r="J447" s="19"/>
      <c r="K447" s="14"/>
      <c r="L447" s="17"/>
      <c r="M447" s="19"/>
      <c r="N447" s="20"/>
      <c r="O447" s="19"/>
      <c r="P447" s="21"/>
      <c r="Q447" s="22" t="str">
        <f aca="false">IF(L447="","",IF(M447&lt;&gt;"",M447*L447*100,IF(AND(O447&lt;&gt;"",B447&lt;&gt;""),IFERROR(AVERAGEIF($B$5:$B$1004,B447,$M$5:$M$1004)*L447*100,""),"")))</f>
        <v/>
      </c>
      <c r="R447" s="22" t="str">
        <f aca="false">IF(AND(O447&lt;&gt;"",L447&lt;&gt;""),O447*L447*100,"")</f>
        <v/>
      </c>
      <c r="S447" s="23" t="str">
        <f aca="false">IF(AND(P447&lt;&gt;"",L447&lt;&gt;""),P447*L447*100,"")</f>
        <v/>
      </c>
      <c r="T447" s="24" t="str">
        <f aca="false">IF(AND(Q447&lt;&gt;"",R447&lt;&gt;""),R447-Q447,"")</f>
        <v/>
      </c>
      <c r="U447" s="25" t="str">
        <f aca="false">IF(AND(Q447&lt;&gt;"",Q447&lt;&gt;0,T447&lt;&gt;""),T447/Q447,"")</f>
        <v/>
      </c>
      <c r="V447" s="26" t="str">
        <f aca="false">IF(AND(S447&lt;&gt;"",Q447&lt;&gt;""),S447-Q447,"")</f>
        <v/>
      </c>
      <c r="W447" s="27" t="str">
        <f aca="false">IF(AND(Q447&lt;&gt;"",Q447&lt;&gt;0,V447&lt;&gt;""),V447/Q447,"")</f>
        <v/>
      </c>
      <c r="X447" s="28" t="s">
        <v>37</v>
      </c>
      <c r="Y447" s="29" t="str">
        <f aca="false">IF(AND(O447&lt;&gt;"",M447&lt;&gt;"",O447&gt;M447),CONCATENATE("1 : ",TEXT((O447-M447)/M447,"0.00")),IF(AND(O447&lt;&gt;"",M447&lt;&gt;"",O447&lt;M447),CONCATENATE("-1 : ",TEXT((M447-O447)/M447,"0.00")),"—"))</f>
        <v>—</v>
      </c>
      <c r="Z447" s="30" t="str">
        <f aca="false">IF(AND(P447&lt;&gt;"",M447&lt;&gt;"",P447&gt;M447),CONCATENATE("1 : ",TEXT((P447-M447)/M447,"0.00")),"—")</f>
        <v>—</v>
      </c>
      <c r="AA447" s="31" t="str">
        <f aca="false">IF(AND(C447&lt;&gt;"",E447&lt;&gt;""),E447-C447,"")</f>
        <v/>
      </c>
      <c r="AB447" s="17"/>
      <c r="AC447" s="32"/>
      <c r="AD447" s="33"/>
      <c r="AE447" s="34" t="str">
        <f aca="false">IF(G447&lt;&gt;"",HYPERLINK("https://www.tradingview.com/chart/?symbol="&amp;G447&amp;"&amp;interval=60&amp;from="&amp;(AG447-10*3600)&amp;"&amp;to="&amp;(AG447+50*3600),"📈 1H"),"")</f>
        <v/>
      </c>
      <c r="AF447" s="35" t="str">
        <f aca="false">IF(G447&lt;&gt;"",HYPERLINK("https://www.tradingview.com/chart/?symbol="&amp;G447&amp;"&amp;interval=240&amp;from="&amp;(AG447-10*14400)&amp;"&amp;to="&amp;(AG447+50*14400),"📈 4H"),"")</f>
        <v/>
      </c>
      <c r="AG447" s="36" t="str">
        <f aca="false">IF(C447&lt;&gt;"",INT((C447+IF(D447&lt;&gt;"",D447,0)-DATE(1970,1,1))*86400),"")</f>
        <v/>
      </c>
    </row>
    <row r="448" customFormat="false" ht="19.5" hidden="false" customHeight="true" outlineLevel="0" collapsed="false">
      <c r="A448" s="37" t="n">
        <f aca="false">ROW()-4</f>
        <v>444</v>
      </c>
      <c r="B448" s="38"/>
      <c r="C448" s="39"/>
      <c r="D448" s="40"/>
      <c r="E448" s="39"/>
      <c r="F448" s="40"/>
      <c r="G448" s="41"/>
      <c r="H448" s="42"/>
      <c r="I448" s="43"/>
      <c r="J448" s="44"/>
      <c r="K448" s="39"/>
      <c r="L448" s="42"/>
      <c r="M448" s="44"/>
      <c r="N448" s="45"/>
      <c r="O448" s="44"/>
      <c r="P448" s="46"/>
      <c r="Q448" s="47" t="str">
        <f aca="false">IF(L448="","",IF(M448&lt;&gt;"",M448*L448*100,IF(AND(O448&lt;&gt;"",B448&lt;&gt;""),IFERROR(AVERAGEIF($B$5:$B$1004,B448,$M$5:$M$1004)*L448*100,""),"")))</f>
        <v/>
      </c>
      <c r="R448" s="47" t="str">
        <f aca="false">IF(AND(O448&lt;&gt;"",L448&lt;&gt;""),O448*L448*100,"")</f>
        <v/>
      </c>
      <c r="S448" s="48" t="str">
        <f aca="false">IF(AND(P448&lt;&gt;"",L448&lt;&gt;""),P448*L448*100,"")</f>
        <v/>
      </c>
      <c r="T448" s="49" t="str">
        <f aca="false">IF(AND(Q448&lt;&gt;"",R448&lt;&gt;""),R448-Q448,"")</f>
        <v/>
      </c>
      <c r="U448" s="50" t="str">
        <f aca="false">IF(AND(Q448&lt;&gt;"",Q448&lt;&gt;0,T448&lt;&gt;""),T448/Q448,"")</f>
        <v/>
      </c>
      <c r="V448" s="51" t="str">
        <f aca="false">IF(AND(S448&lt;&gt;"",Q448&lt;&gt;""),S448-Q448,"")</f>
        <v/>
      </c>
      <c r="W448" s="52" t="str">
        <f aca="false">IF(AND(Q448&lt;&gt;"",Q448&lt;&gt;0,V448&lt;&gt;""),V448/Q448,"")</f>
        <v/>
      </c>
      <c r="X448" s="53" t="s">
        <v>37</v>
      </c>
      <c r="Y448" s="54" t="str">
        <f aca="false">IF(AND(O448&lt;&gt;"",M448&lt;&gt;"",O448&gt;M448),CONCATENATE("1 : ",TEXT((O448-M448)/M448,"0.00")),IF(AND(O448&lt;&gt;"",M448&lt;&gt;"",O448&lt;M448),CONCATENATE("-1 : ",TEXT((M448-O448)/M448,"0.00")),"—"))</f>
        <v>—</v>
      </c>
      <c r="Z448" s="55" t="str">
        <f aca="false">IF(AND(P448&lt;&gt;"",M448&lt;&gt;"",P448&gt;M448),CONCATENATE("1 : ",TEXT((P448-M448)/M448,"0.00")),"—")</f>
        <v>—</v>
      </c>
      <c r="AA448" s="56" t="str">
        <f aca="false">IF(AND(C448&lt;&gt;"",E448&lt;&gt;""),E448-C448,"")</f>
        <v/>
      </c>
      <c r="AB448" s="42"/>
      <c r="AC448" s="57"/>
      <c r="AD448" s="58"/>
      <c r="AE448" s="59" t="str">
        <f aca="false">IF(G448&lt;&gt;"",HYPERLINK("https://www.tradingview.com/chart/?symbol="&amp;G448&amp;"&amp;interval=60&amp;from="&amp;(AG448-10*3600)&amp;"&amp;to="&amp;(AG448+50*3600),"📈 1H"),"")</f>
        <v/>
      </c>
      <c r="AF448" s="60" t="str">
        <f aca="false">IF(G448&lt;&gt;"",HYPERLINK("https://www.tradingview.com/chart/?symbol="&amp;G448&amp;"&amp;interval=240&amp;from="&amp;(AG448-10*14400)&amp;"&amp;to="&amp;(AG448+50*14400),"📈 4H"),"")</f>
        <v/>
      </c>
      <c r="AG448" s="36" t="str">
        <f aca="false">IF(C448&lt;&gt;"",INT((C448+IF(D448&lt;&gt;"",D448,0)-DATE(1970,1,1))*86400),"")</f>
        <v/>
      </c>
    </row>
    <row r="449" customFormat="false" ht="19.5" hidden="false" customHeight="true" outlineLevel="0" collapsed="false">
      <c r="A449" s="12" t="n">
        <f aca="false">ROW()-4</f>
        <v>445</v>
      </c>
      <c r="B449" s="13"/>
      <c r="C449" s="14"/>
      <c r="D449" s="15"/>
      <c r="E449" s="14"/>
      <c r="F449" s="15"/>
      <c r="G449" s="16"/>
      <c r="H449" s="17"/>
      <c r="I449" s="18"/>
      <c r="J449" s="19"/>
      <c r="K449" s="14"/>
      <c r="L449" s="17"/>
      <c r="M449" s="19"/>
      <c r="N449" s="20"/>
      <c r="O449" s="19"/>
      <c r="P449" s="21"/>
      <c r="Q449" s="22" t="str">
        <f aca="false">IF(L449="","",IF(M449&lt;&gt;"",M449*L449*100,IF(AND(O449&lt;&gt;"",B449&lt;&gt;""),IFERROR(AVERAGEIF($B$5:$B$1004,B449,$M$5:$M$1004)*L449*100,""),"")))</f>
        <v/>
      </c>
      <c r="R449" s="22" t="str">
        <f aca="false">IF(AND(O449&lt;&gt;"",L449&lt;&gt;""),O449*L449*100,"")</f>
        <v/>
      </c>
      <c r="S449" s="23" t="str">
        <f aca="false">IF(AND(P449&lt;&gt;"",L449&lt;&gt;""),P449*L449*100,"")</f>
        <v/>
      </c>
      <c r="T449" s="24" t="str">
        <f aca="false">IF(AND(Q449&lt;&gt;"",R449&lt;&gt;""),R449-Q449,"")</f>
        <v/>
      </c>
      <c r="U449" s="25" t="str">
        <f aca="false">IF(AND(Q449&lt;&gt;"",Q449&lt;&gt;0,T449&lt;&gt;""),T449/Q449,"")</f>
        <v/>
      </c>
      <c r="V449" s="26" t="str">
        <f aca="false">IF(AND(S449&lt;&gt;"",Q449&lt;&gt;""),S449-Q449,"")</f>
        <v/>
      </c>
      <c r="W449" s="27" t="str">
        <f aca="false">IF(AND(Q449&lt;&gt;"",Q449&lt;&gt;0,V449&lt;&gt;""),V449/Q449,"")</f>
        <v/>
      </c>
      <c r="X449" s="28" t="s">
        <v>37</v>
      </c>
      <c r="Y449" s="29" t="str">
        <f aca="false">IF(AND(O449&lt;&gt;"",M449&lt;&gt;"",O449&gt;M449),CONCATENATE("1 : ",TEXT((O449-M449)/M449,"0.00")),IF(AND(O449&lt;&gt;"",M449&lt;&gt;"",O449&lt;M449),CONCATENATE("-1 : ",TEXT((M449-O449)/M449,"0.00")),"—"))</f>
        <v>—</v>
      </c>
      <c r="Z449" s="30" t="str">
        <f aca="false">IF(AND(P449&lt;&gt;"",M449&lt;&gt;"",P449&gt;M449),CONCATENATE("1 : ",TEXT((P449-M449)/M449,"0.00")),"—")</f>
        <v>—</v>
      </c>
      <c r="AA449" s="31" t="str">
        <f aca="false">IF(AND(C449&lt;&gt;"",E449&lt;&gt;""),E449-C449,"")</f>
        <v/>
      </c>
      <c r="AB449" s="17"/>
      <c r="AC449" s="32"/>
      <c r="AD449" s="33"/>
      <c r="AE449" s="34" t="str">
        <f aca="false">IF(G449&lt;&gt;"",HYPERLINK("https://www.tradingview.com/chart/?symbol="&amp;G449&amp;"&amp;interval=60&amp;from="&amp;(AG449-10*3600)&amp;"&amp;to="&amp;(AG449+50*3600),"📈 1H"),"")</f>
        <v/>
      </c>
      <c r="AF449" s="35" t="str">
        <f aca="false">IF(G449&lt;&gt;"",HYPERLINK("https://www.tradingview.com/chart/?symbol="&amp;G449&amp;"&amp;interval=240&amp;from="&amp;(AG449-10*14400)&amp;"&amp;to="&amp;(AG449+50*14400),"📈 4H"),"")</f>
        <v/>
      </c>
      <c r="AG449" s="36" t="str">
        <f aca="false">IF(C449&lt;&gt;"",INT((C449+IF(D449&lt;&gt;"",D449,0)-DATE(1970,1,1))*86400),"")</f>
        <v/>
      </c>
    </row>
    <row r="450" customFormat="false" ht="19.5" hidden="false" customHeight="true" outlineLevel="0" collapsed="false">
      <c r="A450" s="37" t="n">
        <f aca="false">ROW()-4</f>
        <v>446</v>
      </c>
      <c r="B450" s="38"/>
      <c r="C450" s="39"/>
      <c r="D450" s="40"/>
      <c r="E450" s="39"/>
      <c r="F450" s="40"/>
      <c r="G450" s="41"/>
      <c r="H450" s="42"/>
      <c r="I450" s="43"/>
      <c r="J450" s="44"/>
      <c r="K450" s="39"/>
      <c r="L450" s="42"/>
      <c r="M450" s="44"/>
      <c r="N450" s="45"/>
      <c r="O450" s="44"/>
      <c r="P450" s="46"/>
      <c r="Q450" s="47" t="str">
        <f aca="false">IF(L450="","",IF(M450&lt;&gt;"",M450*L450*100,IF(AND(O450&lt;&gt;"",B450&lt;&gt;""),IFERROR(AVERAGEIF($B$5:$B$1004,B450,$M$5:$M$1004)*L450*100,""),"")))</f>
        <v/>
      </c>
      <c r="R450" s="47" t="str">
        <f aca="false">IF(AND(O450&lt;&gt;"",L450&lt;&gt;""),O450*L450*100,"")</f>
        <v/>
      </c>
      <c r="S450" s="48" t="str">
        <f aca="false">IF(AND(P450&lt;&gt;"",L450&lt;&gt;""),P450*L450*100,"")</f>
        <v/>
      </c>
      <c r="T450" s="49" t="str">
        <f aca="false">IF(AND(Q450&lt;&gt;"",R450&lt;&gt;""),R450-Q450,"")</f>
        <v/>
      </c>
      <c r="U450" s="50" t="str">
        <f aca="false">IF(AND(Q450&lt;&gt;"",Q450&lt;&gt;0,T450&lt;&gt;""),T450/Q450,"")</f>
        <v/>
      </c>
      <c r="V450" s="51" t="str">
        <f aca="false">IF(AND(S450&lt;&gt;"",Q450&lt;&gt;""),S450-Q450,"")</f>
        <v/>
      </c>
      <c r="W450" s="52" t="str">
        <f aca="false">IF(AND(Q450&lt;&gt;"",Q450&lt;&gt;0,V450&lt;&gt;""),V450/Q450,"")</f>
        <v/>
      </c>
      <c r="X450" s="53" t="s">
        <v>37</v>
      </c>
      <c r="Y450" s="54" t="str">
        <f aca="false">IF(AND(O450&lt;&gt;"",M450&lt;&gt;"",O450&gt;M450),CONCATENATE("1 : ",TEXT((O450-M450)/M450,"0.00")),IF(AND(O450&lt;&gt;"",M450&lt;&gt;"",O450&lt;M450),CONCATENATE("-1 : ",TEXT((M450-O450)/M450,"0.00")),"—"))</f>
        <v>—</v>
      </c>
      <c r="Z450" s="55" t="str">
        <f aca="false">IF(AND(P450&lt;&gt;"",M450&lt;&gt;"",P450&gt;M450),CONCATENATE("1 : ",TEXT((P450-M450)/M450,"0.00")),"—")</f>
        <v>—</v>
      </c>
      <c r="AA450" s="56" t="str">
        <f aca="false">IF(AND(C450&lt;&gt;"",E450&lt;&gt;""),E450-C450,"")</f>
        <v/>
      </c>
      <c r="AB450" s="42"/>
      <c r="AC450" s="57"/>
      <c r="AD450" s="58"/>
      <c r="AE450" s="59" t="str">
        <f aca="false">IF(G450&lt;&gt;"",HYPERLINK("https://www.tradingview.com/chart/?symbol="&amp;G450&amp;"&amp;interval=60&amp;from="&amp;(AG450-10*3600)&amp;"&amp;to="&amp;(AG450+50*3600),"📈 1H"),"")</f>
        <v/>
      </c>
      <c r="AF450" s="60" t="str">
        <f aca="false">IF(G450&lt;&gt;"",HYPERLINK("https://www.tradingview.com/chart/?symbol="&amp;G450&amp;"&amp;interval=240&amp;from="&amp;(AG450-10*14400)&amp;"&amp;to="&amp;(AG450+50*14400),"📈 4H"),"")</f>
        <v/>
      </c>
      <c r="AG450" s="36" t="str">
        <f aca="false">IF(C450&lt;&gt;"",INT((C450+IF(D450&lt;&gt;"",D450,0)-DATE(1970,1,1))*86400),"")</f>
        <v/>
      </c>
    </row>
    <row r="451" customFormat="false" ht="19.5" hidden="false" customHeight="true" outlineLevel="0" collapsed="false">
      <c r="A451" s="12" t="n">
        <f aca="false">ROW()-4</f>
        <v>447</v>
      </c>
      <c r="B451" s="13"/>
      <c r="C451" s="14"/>
      <c r="D451" s="15"/>
      <c r="E451" s="14"/>
      <c r="F451" s="15"/>
      <c r="G451" s="16"/>
      <c r="H451" s="17"/>
      <c r="I451" s="18"/>
      <c r="J451" s="19"/>
      <c r="K451" s="14"/>
      <c r="L451" s="17"/>
      <c r="M451" s="19"/>
      <c r="N451" s="20"/>
      <c r="O451" s="19"/>
      <c r="P451" s="21"/>
      <c r="Q451" s="22" t="str">
        <f aca="false">IF(L451="","",IF(M451&lt;&gt;"",M451*L451*100,IF(AND(O451&lt;&gt;"",B451&lt;&gt;""),IFERROR(AVERAGEIF($B$5:$B$1004,B451,$M$5:$M$1004)*L451*100,""),"")))</f>
        <v/>
      </c>
      <c r="R451" s="22" t="str">
        <f aca="false">IF(AND(O451&lt;&gt;"",L451&lt;&gt;""),O451*L451*100,"")</f>
        <v/>
      </c>
      <c r="S451" s="23" t="str">
        <f aca="false">IF(AND(P451&lt;&gt;"",L451&lt;&gt;""),P451*L451*100,"")</f>
        <v/>
      </c>
      <c r="T451" s="24" t="str">
        <f aca="false">IF(AND(Q451&lt;&gt;"",R451&lt;&gt;""),R451-Q451,"")</f>
        <v/>
      </c>
      <c r="U451" s="25" t="str">
        <f aca="false">IF(AND(Q451&lt;&gt;"",Q451&lt;&gt;0,T451&lt;&gt;""),T451/Q451,"")</f>
        <v/>
      </c>
      <c r="V451" s="26" t="str">
        <f aca="false">IF(AND(S451&lt;&gt;"",Q451&lt;&gt;""),S451-Q451,"")</f>
        <v/>
      </c>
      <c r="W451" s="27" t="str">
        <f aca="false">IF(AND(Q451&lt;&gt;"",Q451&lt;&gt;0,V451&lt;&gt;""),V451/Q451,"")</f>
        <v/>
      </c>
      <c r="X451" s="28" t="s">
        <v>37</v>
      </c>
      <c r="Y451" s="29" t="str">
        <f aca="false">IF(AND(O451&lt;&gt;"",M451&lt;&gt;"",O451&gt;M451),CONCATENATE("1 : ",TEXT((O451-M451)/M451,"0.00")),IF(AND(O451&lt;&gt;"",M451&lt;&gt;"",O451&lt;M451),CONCATENATE("-1 : ",TEXT((M451-O451)/M451,"0.00")),"—"))</f>
        <v>—</v>
      </c>
      <c r="Z451" s="30" t="str">
        <f aca="false">IF(AND(P451&lt;&gt;"",M451&lt;&gt;"",P451&gt;M451),CONCATENATE("1 : ",TEXT((P451-M451)/M451,"0.00")),"—")</f>
        <v>—</v>
      </c>
      <c r="AA451" s="31" t="str">
        <f aca="false">IF(AND(C451&lt;&gt;"",E451&lt;&gt;""),E451-C451,"")</f>
        <v/>
      </c>
      <c r="AB451" s="17"/>
      <c r="AC451" s="32"/>
      <c r="AD451" s="33"/>
      <c r="AE451" s="34" t="str">
        <f aca="false">IF(G451&lt;&gt;"",HYPERLINK("https://www.tradingview.com/chart/?symbol="&amp;G451&amp;"&amp;interval=60&amp;from="&amp;(AG451-10*3600)&amp;"&amp;to="&amp;(AG451+50*3600),"📈 1H"),"")</f>
        <v/>
      </c>
      <c r="AF451" s="35" t="str">
        <f aca="false">IF(G451&lt;&gt;"",HYPERLINK("https://www.tradingview.com/chart/?symbol="&amp;G451&amp;"&amp;interval=240&amp;from="&amp;(AG451-10*14400)&amp;"&amp;to="&amp;(AG451+50*14400),"📈 4H"),"")</f>
        <v/>
      </c>
      <c r="AG451" s="36" t="str">
        <f aca="false">IF(C451&lt;&gt;"",INT((C451+IF(D451&lt;&gt;"",D451,0)-DATE(1970,1,1))*86400),"")</f>
        <v/>
      </c>
    </row>
    <row r="452" customFormat="false" ht="19.5" hidden="false" customHeight="true" outlineLevel="0" collapsed="false">
      <c r="A452" s="37" t="n">
        <f aca="false">ROW()-4</f>
        <v>448</v>
      </c>
      <c r="B452" s="38"/>
      <c r="C452" s="39"/>
      <c r="D452" s="40"/>
      <c r="E452" s="39"/>
      <c r="F452" s="40"/>
      <c r="G452" s="41"/>
      <c r="H452" s="42"/>
      <c r="I452" s="43"/>
      <c r="J452" s="44"/>
      <c r="K452" s="39"/>
      <c r="L452" s="42"/>
      <c r="M452" s="44"/>
      <c r="N452" s="45"/>
      <c r="O452" s="44"/>
      <c r="P452" s="46"/>
      <c r="Q452" s="47" t="str">
        <f aca="false">IF(L452="","",IF(M452&lt;&gt;"",M452*L452*100,IF(AND(O452&lt;&gt;"",B452&lt;&gt;""),IFERROR(AVERAGEIF($B$5:$B$1004,B452,$M$5:$M$1004)*L452*100,""),"")))</f>
        <v/>
      </c>
      <c r="R452" s="47" t="str">
        <f aca="false">IF(AND(O452&lt;&gt;"",L452&lt;&gt;""),O452*L452*100,"")</f>
        <v/>
      </c>
      <c r="S452" s="48" t="str">
        <f aca="false">IF(AND(P452&lt;&gt;"",L452&lt;&gt;""),P452*L452*100,"")</f>
        <v/>
      </c>
      <c r="T452" s="49" t="str">
        <f aca="false">IF(AND(Q452&lt;&gt;"",R452&lt;&gt;""),R452-Q452,"")</f>
        <v/>
      </c>
      <c r="U452" s="50" t="str">
        <f aca="false">IF(AND(Q452&lt;&gt;"",Q452&lt;&gt;0,T452&lt;&gt;""),T452/Q452,"")</f>
        <v/>
      </c>
      <c r="V452" s="51" t="str">
        <f aca="false">IF(AND(S452&lt;&gt;"",Q452&lt;&gt;""),S452-Q452,"")</f>
        <v/>
      </c>
      <c r="W452" s="52" t="str">
        <f aca="false">IF(AND(Q452&lt;&gt;"",Q452&lt;&gt;0,V452&lt;&gt;""),V452/Q452,"")</f>
        <v/>
      </c>
      <c r="X452" s="53" t="s">
        <v>37</v>
      </c>
      <c r="Y452" s="54" t="str">
        <f aca="false">IF(AND(O452&lt;&gt;"",M452&lt;&gt;"",O452&gt;M452),CONCATENATE("1 : ",TEXT((O452-M452)/M452,"0.00")),IF(AND(O452&lt;&gt;"",M452&lt;&gt;"",O452&lt;M452),CONCATENATE("-1 : ",TEXT((M452-O452)/M452,"0.00")),"—"))</f>
        <v>—</v>
      </c>
      <c r="Z452" s="55" t="str">
        <f aca="false">IF(AND(P452&lt;&gt;"",M452&lt;&gt;"",P452&gt;M452),CONCATENATE("1 : ",TEXT((P452-M452)/M452,"0.00")),"—")</f>
        <v>—</v>
      </c>
      <c r="AA452" s="56" t="str">
        <f aca="false">IF(AND(C452&lt;&gt;"",E452&lt;&gt;""),E452-C452,"")</f>
        <v/>
      </c>
      <c r="AB452" s="42"/>
      <c r="AC452" s="57"/>
      <c r="AD452" s="58"/>
      <c r="AE452" s="59" t="str">
        <f aca="false">IF(G452&lt;&gt;"",HYPERLINK("https://www.tradingview.com/chart/?symbol="&amp;G452&amp;"&amp;interval=60&amp;from="&amp;(AG452-10*3600)&amp;"&amp;to="&amp;(AG452+50*3600),"📈 1H"),"")</f>
        <v/>
      </c>
      <c r="AF452" s="60" t="str">
        <f aca="false">IF(G452&lt;&gt;"",HYPERLINK("https://www.tradingview.com/chart/?symbol="&amp;G452&amp;"&amp;interval=240&amp;from="&amp;(AG452-10*14400)&amp;"&amp;to="&amp;(AG452+50*14400),"📈 4H"),"")</f>
        <v/>
      </c>
      <c r="AG452" s="36" t="str">
        <f aca="false">IF(C452&lt;&gt;"",INT((C452+IF(D452&lt;&gt;"",D452,0)-DATE(1970,1,1))*86400),"")</f>
        <v/>
      </c>
    </row>
    <row r="453" customFormat="false" ht="19.5" hidden="false" customHeight="true" outlineLevel="0" collapsed="false">
      <c r="A453" s="12" t="n">
        <f aca="false">ROW()-4</f>
        <v>449</v>
      </c>
      <c r="B453" s="13"/>
      <c r="C453" s="14"/>
      <c r="D453" s="15"/>
      <c r="E453" s="14"/>
      <c r="F453" s="15"/>
      <c r="G453" s="16"/>
      <c r="H453" s="17"/>
      <c r="I453" s="18"/>
      <c r="J453" s="19"/>
      <c r="K453" s="14"/>
      <c r="L453" s="17"/>
      <c r="M453" s="19"/>
      <c r="N453" s="20"/>
      <c r="O453" s="19"/>
      <c r="P453" s="21"/>
      <c r="Q453" s="22" t="str">
        <f aca="false">IF(L453="","",IF(M453&lt;&gt;"",M453*L453*100,IF(AND(O453&lt;&gt;"",B453&lt;&gt;""),IFERROR(AVERAGEIF($B$5:$B$1004,B453,$M$5:$M$1004)*L453*100,""),"")))</f>
        <v/>
      </c>
      <c r="R453" s="22" t="str">
        <f aca="false">IF(AND(O453&lt;&gt;"",L453&lt;&gt;""),O453*L453*100,"")</f>
        <v/>
      </c>
      <c r="S453" s="23" t="str">
        <f aca="false">IF(AND(P453&lt;&gt;"",L453&lt;&gt;""),P453*L453*100,"")</f>
        <v/>
      </c>
      <c r="T453" s="24" t="str">
        <f aca="false">IF(AND(Q453&lt;&gt;"",R453&lt;&gt;""),R453-Q453,"")</f>
        <v/>
      </c>
      <c r="U453" s="25" t="str">
        <f aca="false">IF(AND(Q453&lt;&gt;"",Q453&lt;&gt;0,T453&lt;&gt;""),T453/Q453,"")</f>
        <v/>
      </c>
      <c r="V453" s="26" t="str">
        <f aca="false">IF(AND(S453&lt;&gt;"",Q453&lt;&gt;""),S453-Q453,"")</f>
        <v/>
      </c>
      <c r="W453" s="27" t="str">
        <f aca="false">IF(AND(Q453&lt;&gt;"",Q453&lt;&gt;0,V453&lt;&gt;""),V453/Q453,"")</f>
        <v/>
      </c>
      <c r="X453" s="28" t="s">
        <v>37</v>
      </c>
      <c r="Y453" s="29" t="str">
        <f aca="false">IF(AND(O453&lt;&gt;"",M453&lt;&gt;"",O453&gt;M453),CONCATENATE("1 : ",TEXT((O453-M453)/M453,"0.00")),IF(AND(O453&lt;&gt;"",M453&lt;&gt;"",O453&lt;M453),CONCATENATE("-1 : ",TEXT((M453-O453)/M453,"0.00")),"—"))</f>
        <v>—</v>
      </c>
      <c r="Z453" s="30" t="str">
        <f aca="false">IF(AND(P453&lt;&gt;"",M453&lt;&gt;"",P453&gt;M453),CONCATENATE("1 : ",TEXT((P453-M453)/M453,"0.00")),"—")</f>
        <v>—</v>
      </c>
      <c r="AA453" s="31" t="str">
        <f aca="false">IF(AND(C453&lt;&gt;"",E453&lt;&gt;""),E453-C453,"")</f>
        <v/>
      </c>
      <c r="AB453" s="17"/>
      <c r="AC453" s="32"/>
      <c r="AD453" s="33"/>
      <c r="AE453" s="34" t="str">
        <f aca="false">IF(G453&lt;&gt;"",HYPERLINK("https://www.tradingview.com/chart/?symbol="&amp;G453&amp;"&amp;interval=60&amp;from="&amp;(AG453-10*3600)&amp;"&amp;to="&amp;(AG453+50*3600),"📈 1H"),"")</f>
        <v/>
      </c>
      <c r="AF453" s="35" t="str">
        <f aca="false">IF(G453&lt;&gt;"",HYPERLINK("https://www.tradingview.com/chart/?symbol="&amp;G453&amp;"&amp;interval=240&amp;from="&amp;(AG453-10*14400)&amp;"&amp;to="&amp;(AG453+50*14400),"📈 4H"),"")</f>
        <v/>
      </c>
      <c r="AG453" s="36" t="str">
        <f aca="false">IF(C453&lt;&gt;"",INT((C453+IF(D453&lt;&gt;"",D453,0)-DATE(1970,1,1))*86400),"")</f>
        <v/>
      </c>
    </row>
    <row r="454" customFormat="false" ht="19.5" hidden="false" customHeight="true" outlineLevel="0" collapsed="false">
      <c r="A454" s="37" t="n">
        <f aca="false">ROW()-4</f>
        <v>450</v>
      </c>
      <c r="B454" s="38"/>
      <c r="C454" s="39"/>
      <c r="D454" s="40"/>
      <c r="E454" s="39"/>
      <c r="F454" s="40"/>
      <c r="G454" s="41"/>
      <c r="H454" s="42"/>
      <c r="I454" s="43"/>
      <c r="J454" s="44"/>
      <c r="K454" s="39"/>
      <c r="L454" s="42"/>
      <c r="M454" s="44"/>
      <c r="N454" s="45"/>
      <c r="O454" s="44"/>
      <c r="P454" s="46"/>
      <c r="Q454" s="47" t="str">
        <f aca="false">IF(L454="","",IF(M454&lt;&gt;"",M454*L454*100,IF(AND(O454&lt;&gt;"",B454&lt;&gt;""),IFERROR(AVERAGEIF($B$5:$B$1004,B454,$M$5:$M$1004)*L454*100,""),"")))</f>
        <v/>
      </c>
      <c r="R454" s="47" t="str">
        <f aca="false">IF(AND(O454&lt;&gt;"",L454&lt;&gt;""),O454*L454*100,"")</f>
        <v/>
      </c>
      <c r="S454" s="48" t="str">
        <f aca="false">IF(AND(P454&lt;&gt;"",L454&lt;&gt;""),P454*L454*100,"")</f>
        <v/>
      </c>
      <c r="T454" s="49" t="str">
        <f aca="false">IF(AND(Q454&lt;&gt;"",R454&lt;&gt;""),R454-Q454,"")</f>
        <v/>
      </c>
      <c r="U454" s="50" t="str">
        <f aca="false">IF(AND(Q454&lt;&gt;"",Q454&lt;&gt;0,T454&lt;&gt;""),T454/Q454,"")</f>
        <v/>
      </c>
      <c r="V454" s="51" t="str">
        <f aca="false">IF(AND(S454&lt;&gt;"",Q454&lt;&gt;""),S454-Q454,"")</f>
        <v/>
      </c>
      <c r="W454" s="52" t="str">
        <f aca="false">IF(AND(Q454&lt;&gt;"",Q454&lt;&gt;0,V454&lt;&gt;""),V454/Q454,"")</f>
        <v/>
      </c>
      <c r="X454" s="53" t="s">
        <v>37</v>
      </c>
      <c r="Y454" s="54" t="str">
        <f aca="false">IF(AND(O454&lt;&gt;"",M454&lt;&gt;"",O454&gt;M454),CONCATENATE("1 : ",TEXT((O454-M454)/M454,"0.00")),IF(AND(O454&lt;&gt;"",M454&lt;&gt;"",O454&lt;M454),CONCATENATE("-1 : ",TEXT((M454-O454)/M454,"0.00")),"—"))</f>
        <v>—</v>
      </c>
      <c r="Z454" s="55" t="str">
        <f aca="false">IF(AND(P454&lt;&gt;"",M454&lt;&gt;"",P454&gt;M454),CONCATENATE("1 : ",TEXT((P454-M454)/M454,"0.00")),"—")</f>
        <v>—</v>
      </c>
      <c r="AA454" s="56" t="str">
        <f aca="false">IF(AND(C454&lt;&gt;"",E454&lt;&gt;""),E454-C454,"")</f>
        <v/>
      </c>
      <c r="AB454" s="42"/>
      <c r="AC454" s="57"/>
      <c r="AD454" s="58"/>
      <c r="AE454" s="59" t="str">
        <f aca="false">IF(G454&lt;&gt;"",HYPERLINK("https://www.tradingview.com/chart/?symbol="&amp;G454&amp;"&amp;interval=60&amp;from="&amp;(AG454-10*3600)&amp;"&amp;to="&amp;(AG454+50*3600),"📈 1H"),"")</f>
        <v/>
      </c>
      <c r="AF454" s="60" t="str">
        <f aca="false">IF(G454&lt;&gt;"",HYPERLINK("https://www.tradingview.com/chart/?symbol="&amp;G454&amp;"&amp;interval=240&amp;from="&amp;(AG454-10*14400)&amp;"&amp;to="&amp;(AG454+50*14400),"📈 4H"),"")</f>
        <v/>
      </c>
      <c r="AG454" s="36" t="str">
        <f aca="false">IF(C454&lt;&gt;"",INT((C454+IF(D454&lt;&gt;"",D454,0)-DATE(1970,1,1))*86400),"")</f>
        <v/>
      </c>
    </row>
    <row r="455" customFormat="false" ht="19.5" hidden="false" customHeight="true" outlineLevel="0" collapsed="false">
      <c r="A455" s="12" t="n">
        <f aca="false">ROW()-4</f>
        <v>451</v>
      </c>
      <c r="B455" s="13"/>
      <c r="C455" s="14"/>
      <c r="D455" s="15"/>
      <c r="E455" s="14"/>
      <c r="F455" s="15"/>
      <c r="G455" s="16"/>
      <c r="H455" s="17"/>
      <c r="I455" s="18"/>
      <c r="J455" s="19"/>
      <c r="K455" s="14"/>
      <c r="L455" s="17"/>
      <c r="M455" s="19"/>
      <c r="N455" s="20"/>
      <c r="O455" s="19"/>
      <c r="P455" s="21"/>
      <c r="Q455" s="22" t="str">
        <f aca="false">IF(L455="","",IF(M455&lt;&gt;"",M455*L455*100,IF(AND(O455&lt;&gt;"",B455&lt;&gt;""),IFERROR(AVERAGEIF($B$5:$B$1004,B455,$M$5:$M$1004)*L455*100,""),"")))</f>
        <v/>
      </c>
      <c r="R455" s="22" t="str">
        <f aca="false">IF(AND(O455&lt;&gt;"",L455&lt;&gt;""),O455*L455*100,"")</f>
        <v/>
      </c>
      <c r="S455" s="23" t="str">
        <f aca="false">IF(AND(P455&lt;&gt;"",L455&lt;&gt;""),P455*L455*100,"")</f>
        <v/>
      </c>
      <c r="T455" s="24" t="str">
        <f aca="false">IF(AND(Q455&lt;&gt;"",R455&lt;&gt;""),R455-Q455,"")</f>
        <v/>
      </c>
      <c r="U455" s="25" t="str">
        <f aca="false">IF(AND(Q455&lt;&gt;"",Q455&lt;&gt;0,T455&lt;&gt;""),T455/Q455,"")</f>
        <v/>
      </c>
      <c r="V455" s="26" t="str">
        <f aca="false">IF(AND(S455&lt;&gt;"",Q455&lt;&gt;""),S455-Q455,"")</f>
        <v/>
      </c>
      <c r="W455" s="27" t="str">
        <f aca="false">IF(AND(Q455&lt;&gt;"",Q455&lt;&gt;0,V455&lt;&gt;""),V455/Q455,"")</f>
        <v/>
      </c>
      <c r="X455" s="28" t="s">
        <v>37</v>
      </c>
      <c r="Y455" s="29" t="str">
        <f aca="false">IF(AND(O455&lt;&gt;"",M455&lt;&gt;"",O455&gt;M455),CONCATENATE("1 : ",TEXT((O455-M455)/M455,"0.00")),IF(AND(O455&lt;&gt;"",M455&lt;&gt;"",O455&lt;M455),CONCATENATE("-1 : ",TEXT((M455-O455)/M455,"0.00")),"—"))</f>
        <v>—</v>
      </c>
      <c r="Z455" s="30" t="str">
        <f aca="false">IF(AND(P455&lt;&gt;"",M455&lt;&gt;"",P455&gt;M455),CONCATENATE("1 : ",TEXT((P455-M455)/M455,"0.00")),"—")</f>
        <v>—</v>
      </c>
      <c r="AA455" s="31" t="str">
        <f aca="false">IF(AND(C455&lt;&gt;"",E455&lt;&gt;""),E455-C455,"")</f>
        <v/>
      </c>
      <c r="AB455" s="17"/>
      <c r="AC455" s="32"/>
      <c r="AD455" s="33"/>
      <c r="AE455" s="34" t="str">
        <f aca="false">IF(G455&lt;&gt;"",HYPERLINK("https://www.tradingview.com/chart/?symbol="&amp;G455&amp;"&amp;interval=60&amp;from="&amp;(AG455-10*3600)&amp;"&amp;to="&amp;(AG455+50*3600),"📈 1H"),"")</f>
        <v/>
      </c>
      <c r="AF455" s="35" t="str">
        <f aca="false">IF(G455&lt;&gt;"",HYPERLINK("https://www.tradingview.com/chart/?symbol="&amp;G455&amp;"&amp;interval=240&amp;from="&amp;(AG455-10*14400)&amp;"&amp;to="&amp;(AG455+50*14400),"📈 4H"),"")</f>
        <v/>
      </c>
      <c r="AG455" s="36" t="str">
        <f aca="false">IF(C455&lt;&gt;"",INT((C455+IF(D455&lt;&gt;"",D455,0)-DATE(1970,1,1))*86400),"")</f>
        <v/>
      </c>
    </row>
    <row r="456" customFormat="false" ht="19.5" hidden="false" customHeight="true" outlineLevel="0" collapsed="false">
      <c r="A456" s="37" t="n">
        <f aca="false">ROW()-4</f>
        <v>452</v>
      </c>
      <c r="B456" s="38"/>
      <c r="C456" s="39"/>
      <c r="D456" s="40"/>
      <c r="E456" s="39"/>
      <c r="F456" s="40"/>
      <c r="G456" s="41"/>
      <c r="H456" s="42"/>
      <c r="I456" s="43"/>
      <c r="J456" s="44"/>
      <c r="K456" s="39"/>
      <c r="L456" s="42"/>
      <c r="M456" s="44"/>
      <c r="N456" s="45"/>
      <c r="O456" s="44"/>
      <c r="P456" s="46"/>
      <c r="Q456" s="47" t="str">
        <f aca="false">IF(L456="","",IF(M456&lt;&gt;"",M456*L456*100,IF(AND(O456&lt;&gt;"",B456&lt;&gt;""),IFERROR(AVERAGEIF($B$5:$B$1004,B456,$M$5:$M$1004)*L456*100,""),"")))</f>
        <v/>
      </c>
      <c r="R456" s="47" t="str">
        <f aca="false">IF(AND(O456&lt;&gt;"",L456&lt;&gt;""),O456*L456*100,"")</f>
        <v/>
      </c>
      <c r="S456" s="48" t="str">
        <f aca="false">IF(AND(P456&lt;&gt;"",L456&lt;&gt;""),P456*L456*100,"")</f>
        <v/>
      </c>
      <c r="T456" s="49" t="str">
        <f aca="false">IF(AND(Q456&lt;&gt;"",R456&lt;&gt;""),R456-Q456,"")</f>
        <v/>
      </c>
      <c r="U456" s="50" t="str">
        <f aca="false">IF(AND(Q456&lt;&gt;"",Q456&lt;&gt;0,T456&lt;&gt;""),T456/Q456,"")</f>
        <v/>
      </c>
      <c r="V456" s="51" t="str">
        <f aca="false">IF(AND(S456&lt;&gt;"",Q456&lt;&gt;""),S456-Q456,"")</f>
        <v/>
      </c>
      <c r="W456" s="52" t="str">
        <f aca="false">IF(AND(Q456&lt;&gt;"",Q456&lt;&gt;0,V456&lt;&gt;""),V456/Q456,"")</f>
        <v/>
      </c>
      <c r="X456" s="53" t="s">
        <v>37</v>
      </c>
      <c r="Y456" s="54" t="str">
        <f aca="false">IF(AND(O456&lt;&gt;"",M456&lt;&gt;"",O456&gt;M456),CONCATENATE("1 : ",TEXT((O456-M456)/M456,"0.00")),IF(AND(O456&lt;&gt;"",M456&lt;&gt;"",O456&lt;M456),CONCATENATE("-1 : ",TEXT((M456-O456)/M456,"0.00")),"—"))</f>
        <v>—</v>
      </c>
      <c r="Z456" s="55" t="str">
        <f aca="false">IF(AND(P456&lt;&gt;"",M456&lt;&gt;"",P456&gt;M456),CONCATENATE("1 : ",TEXT((P456-M456)/M456,"0.00")),"—")</f>
        <v>—</v>
      </c>
      <c r="AA456" s="56" t="str">
        <f aca="false">IF(AND(C456&lt;&gt;"",E456&lt;&gt;""),E456-C456,"")</f>
        <v/>
      </c>
      <c r="AB456" s="42"/>
      <c r="AC456" s="57"/>
      <c r="AD456" s="58"/>
      <c r="AE456" s="59" t="str">
        <f aca="false">IF(G456&lt;&gt;"",HYPERLINK("https://www.tradingview.com/chart/?symbol="&amp;G456&amp;"&amp;interval=60&amp;from="&amp;(AG456-10*3600)&amp;"&amp;to="&amp;(AG456+50*3600),"📈 1H"),"")</f>
        <v/>
      </c>
      <c r="AF456" s="60" t="str">
        <f aca="false">IF(G456&lt;&gt;"",HYPERLINK("https://www.tradingview.com/chart/?symbol="&amp;G456&amp;"&amp;interval=240&amp;from="&amp;(AG456-10*14400)&amp;"&amp;to="&amp;(AG456+50*14400),"📈 4H"),"")</f>
        <v/>
      </c>
      <c r="AG456" s="36" t="str">
        <f aca="false">IF(C456&lt;&gt;"",INT((C456+IF(D456&lt;&gt;"",D456,0)-DATE(1970,1,1))*86400),"")</f>
        <v/>
      </c>
    </row>
    <row r="457" customFormat="false" ht="19.5" hidden="false" customHeight="true" outlineLevel="0" collapsed="false">
      <c r="A457" s="12" t="n">
        <f aca="false">ROW()-4</f>
        <v>453</v>
      </c>
      <c r="B457" s="13"/>
      <c r="C457" s="14"/>
      <c r="D457" s="15"/>
      <c r="E457" s="14"/>
      <c r="F457" s="15"/>
      <c r="G457" s="16"/>
      <c r="H457" s="17"/>
      <c r="I457" s="18"/>
      <c r="J457" s="19"/>
      <c r="K457" s="14"/>
      <c r="L457" s="17"/>
      <c r="M457" s="19"/>
      <c r="N457" s="20"/>
      <c r="O457" s="19"/>
      <c r="P457" s="21"/>
      <c r="Q457" s="22" t="str">
        <f aca="false">IF(L457="","",IF(M457&lt;&gt;"",M457*L457*100,IF(AND(O457&lt;&gt;"",B457&lt;&gt;""),IFERROR(AVERAGEIF($B$5:$B$1004,B457,$M$5:$M$1004)*L457*100,""),"")))</f>
        <v/>
      </c>
      <c r="R457" s="22" t="str">
        <f aca="false">IF(AND(O457&lt;&gt;"",L457&lt;&gt;""),O457*L457*100,"")</f>
        <v/>
      </c>
      <c r="S457" s="23" t="str">
        <f aca="false">IF(AND(P457&lt;&gt;"",L457&lt;&gt;""),P457*L457*100,"")</f>
        <v/>
      </c>
      <c r="T457" s="24" t="str">
        <f aca="false">IF(AND(Q457&lt;&gt;"",R457&lt;&gt;""),R457-Q457,"")</f>
        <v/>
      </c>
      <c r="U457" s="25" t="str">
        <f aca="false">IF(AND(Q457&lt;&gt;"",Q457&lt;&gt;0,T457&lt;&gt;""),T457/Q457,"")</f>
        <v/>
      </c>
      <c r="V457" s="26" t="str">
        <f aca="false">IF(AND(S457&lt;&gt;"",Q457&lt;&gt;""),S457-Q457,"")</f>
        <v/>
      </c>
      <c r="W457" s="27" t="str">
        <f aca="false">IF(AND(Q457&lt;&gt;"",Q457&lt;&gt;0,V457&lt;&gt;""),V457/Q457,"")</f>
        <v/>
      </c>
      <c r="X457" s="28" t="s">
        <v>37</v>
      </c>
      <c r="Y457" s="29" t="str">
        <f aca="false">IF(AND(O457&lt;&gt;"",M457&lt;&gt;"",O457&gt;M457),CONCATENATE("1 : ",TEXT((O457-M457)/M457,"0.00")),IF(AND(O457&lt;&gt;"",M457&lt;&gt;"",O457&lt;M457),CONCATENATE("-1 : ",TEXT((M457-O457)/M457,"0.00")),"—"))</f>
        <v>—</v>
      </c>
      <c r="Z457" s="30" t="str">
        <f aca="false">IF(AND(P457&lt;&gt;"",M457&lt;&gt;"",P457&gt;M457),CONCATENATE("1 : ",TEXT((P457-M457)/M457,"0.00")),"—")</f>
        <v>—</v>
      </c>
      <c r="AA457" s="31" t="str">
        <f aca="false">IF(AND(C457&lt;&gt;"",E457&lt;&gt;""),E457-C457,"")</f>
        <v/>
      </c>
      <c r="AB457" s="17"/>
      <c r="AC457" s="32"/>
      <c r="AD457" s="33"/>
      <c r="AE457" s="34" t="str">
        <f aca="false">IF(G457&lt;&gt;"",HYPERLINK("https://www.tradingview.com/chart/?symbol="&amp;G457&amp;"&amp;interval=60&amp;from="&amp;(AG457-10*3600)&amp;"&amp;to="&amp;(AG457+50*3600),"📈 1H"),"")</f>
        <v/>
      </c>
      <c r="AF457" s="35" t="str">
        <f aca="false">IF(G457&lt;&gt;"",HYPERLINK("https://www.tradingview.com/chart/?symbol="&amp;G457&amp;"&amp;interval=240&amp;from="&amp;(AG457-10*14400)&amp;"&amp;to="&amp;(AG457+50*14400),"📈 4H"),"")</f>
        <v/>
      </c>
      <c r="AG457" s="36" t="str">
        <f aca="false">IF(C457&lt;&gt;"",INT((C457+IF(D457&lt;&gt;"",D457,0)-DATE(1970,1,1))*86400),"")</f>
        <v/>
      </c>
    </row>
    <row r="458" customFormat="false" ht="19.5" hidden="false" customHeight="true" outlineLevel="0" collapsed="false">
      <c r="A458" s="37" t="n">
        <f aca="false">ROW()-4</f>
        <v>454</v>
      </c>
      <c r="B458" s="38"/>
      <c r="C458" s="39"/>
      <c r="D458" s="40"/>
      <c r="E458" s="39"/>
      <c r="F458" s="40"/>
      <c r="G458" s="41"/>
      <c r="H458" s="42"/>
      <c r="I458" s="43"/>
      <c r="J458" s="44"/>
      <c r="K458" s="39"/>
      <c r="L458" s="42"/>
      <c r="M458" s="44"/>
      <c r="N458" s="45"/>
      <c r="O458" s="44"/>
      <c r="P458" s="46"/>
      <c r="Q458" s="47" t="str">
        <f aca="false">IF(L458="","",IF(M458&lt;&gt;"",M458*L458*100,IF(AND(O458&lt;&gt;"",B458&lt;&gt;""),IFERROR(AVERAGEIF($B$5:$B$1004,B458,$M$5:$M$1004)*L458*100,""),"")))</f>
        <v/>
      </c>
      <c r="R458" s="47" t="str">
        <f aca="false">IF(AND(O458&lt;&gt;"",L458&lt;&gt;""),O458*L458*100,"")</f>
        <v/>
      </c>
      <c r="S458" s="48" t="str">
        <f aca="false">IF(AND(P458&lt;&gt;"",L458&lt;&gt;""),P458*L458*100,"")</f>
        <v/>
      </c>
      <c r="T458" s="49" t="str">
        <f aca="false">IF(AND(Q458&lt;&gt;"",R458&lt;&gt;""),R458-Q458,"")</f>
        <v/>
      </c>
      <c r="U458" s="50" t="str">
        <f aca="false">IF(AND(Q458&lt;&gt;"",Q458&lt;&gt;0,T458&lt;&gt;""),T458/Q458,"")</f>
        <v/>
      </c>
      <c r="V458" s="51" t="str">
        <f aca="false">IF(AND(S458&lt;&gt;"",Q458&lt;&gt;""),S458-Q458,"")</f>
        <v/>
      </c>
      <c r="W458" s="52" t="str">
        <f aca="false">IF(AND(Q458&lt;&gt;"",Q458&lt;&gt;0,V458&lt;&gt;""),V458/Q458,"")</f>
        <v/>
      </c>
      <c r="X458" s="53" t="s">
        <v>37</v>
      </c>
      <c r="Y458" s="54" t="str">
        <f aca="false">IF(AND(O458&lt;&gt;"",M458&lt;&gt;"",O458&gt;M458),CONCATENATE("1 : ",TEXT((O458-M458)/M458,"0.00")),IF(AND(O458&lt;&gt;"",M458&lt;&gt;"",O458&lt;M458),CONCATENATE("-1 : ",TEXT((M458-O458)/M458,"0.00")),"—"))</f>
        <v>—</v>
      </c>
      <c r="Z458" s="55" t="str">
        <f aca="false">IF(AND(P458&lt;&gt;"",M458&lt;&gt;"",P458&gt;M458),CONCATENATE("1 : ",TEXT((P458-M458)/M458,"0.00")),"—")</f>
        <v>—</v>
      </c>
      <c r="AA458" s="56" t="str">
        <f aca="false">IF(AND(C458&lt;&gt;"",E458&lt;&gt;""),E458-C458,"")</f>
        <v/>
      </c>
      <c r="AB458" s="42"/>
      <c r="AC458" s="57"/>
      <c r="AD458" s="58"/>
      <c r="AE458" s="59" t="str">
        <f aca="false">IF(G458&lt;&gt;"",HYPERLINK("https://www.tradingview.com/chart/?symbol="&amp;G458&amp;"&amp;interval=60&amp;from="&amp;(AG458-10*3600)&amp;"&amp;to="&amp;(AG458+50*3600),"📈 1H"),"")</f>
        <v/>
      </c>
      <c r="AF458" s="60" t="str">
        <f aca="false">IF(G458&lt;&gt;"",HYPERLINK("https://www.tradingview.com/chart/?symbol="&amp;G458&amp;"&amp;interval=240&amp;from="&amp;(AG458-10*14400)&amp;"&amp;to="&amp;(AG458+50*14400),"📈 4H"),"")</f>
        <v/>
      </c>
      <c r="AG458" s="36" t="str">
        <f aca="false">IF(C458&lt;&gt;"",INT((C458+IF(D458&lt;&gt;"",D458,0)-DATE(1970,1,1))*86400),"")</f>
        <v/>
      </c>
    </row>
    <row r="459" customFormat="false" ht="19.5" hidden="false" customHeight="true" outlineLevel="0" collapsed="false">
      <c r="A459" s="12" t="n">
        <f aca="false">ROW()-4</f>
        <v>455</v>
      </c>
      <c r="B459" s="13"/>
      <c r="C459" s="14"/>
      <c r="D459" s="15"/>
      <c r="E459" s="14"/>
      <c r="F459" s="15"/>
      <c r="G459" s="16"/>
      <c r="H459" s="17"/>
      <c r="I459" s="18"/>
      <c r="J459" s="19"/>
      <c r="K459" s="14"/>
      <c r="L459" s="17"/>
      <c r="M459" s="19"/>
      <c r="N459" s="20"/>
      <c r="O459" s="19"/>
      <c r="P459" s="21"/>
      <c r="Q459" s="22" t="str">
        <f aca="false">IF(L459="","",IF(M459&lt;&gt;"",M459*L459*100,IF(AND(O459&lt;&gt;"",B459&lt;&gt;""),IFERROR(AVERAGEIF($B$5:$B$1004,B459,$M$5:$M$1004)*L459*100,""),"")))</f>
        <v/>
      </c>
      <c r="R459" s="22" t="str">
        <f aca="false">IF(AND(O459&lt;&gt;"",L459&lt;&gt;""),O459*L459*100,"")</f>
        <v/>
      </c>
      <c r="S459" s="23" t="str">
        <f aca="false">IF(AND(P459&lt;&gt;"",L459&lt;&gt;""),P459*L459*100,"")</f>
        <v/>
      </c>
      <c r="T459" s="24" t="str">
        <f aca="false">IF(AND(Q459&lt;&gt;"",R459&lt;&gt;""),R459-Q459,"")</f>
        <v/>
      </c>
      <c r="U459" s="25" t="str">
        <f aca="false">IF(AND(Q459&lt;&gt;"",Q459&lt;&gt;0,T459&lt;&gt;""),T459/Q459,"")</f>
        <v/>
      </c>
      <c r="V459" s="26" t="str">
        <f aca="false">IF(AND(S459&lt;&gt;"",Q459&lt;&gt;""),S459-Q459,"")</f>
        <v/>
      </c>
      <c r="W459" s="27" t="str">
        <f aca="false">IF(AND(Q459&lt;&gt;"",Q459&lt;&gt;0,V459&lt;&gt;""),V459/Q459,"")</f>
        <v/>
      </c>
      <c r="X459" s="28" t="s">
        <v>37</v>
      </c>
      <c r="Y459" s="29" t="str">
        <f aca="false">IF(AND(O459&lt;&gt;"",M459&lt;&gt;"",O459&gt;M459),CONCATENATE("1 : ",TEXT((O459-M459)/M459,"0.00")),IF(AND(O459&lt;&gt;"",M459&lt;&gt;"",O459&lt;M459),CONCATENATE("-1 : ",TEXT((M459-O459)/M459,"0.00")),"—"))</f>
        <v>—</v>
      </c>
      <c r="Z459" s="30" t="str">
        <f aca="false">IF(AND(P459&lt;&gt;"",M459&lt;&gt;"",P459&gt;M459),CONCATENATE("1 : ",TEXT((P459-M459)/M459,"0.00")),"—")</f>
        <v>—</v>
      </c>
      <c r="AA459" s="31" t="str">
        <f aca="false">IF(AND(C459&lt;&gt;"",E459&lt;&gt;""),E459-C459,"")</f>
        <v/>
      </c>
      <c r="AB459" s="17"/>
      <c r="AC459" s="32"/>
      <c r="AD459" s="33"/>
      <c r="AE459" s="34" t="str">
        <f aca="false">IF(G459&lt;&gt;"",HYPERLINK("https://www.tradingview.com/chart/?symbol="&amp;G459&amp;"&amp;interval=60&amp;from="&amp;(AG459-10*3600)&amp;"&amp;to="&amp;(AG459+50*3600),"📈 1H"),"")</f>
        <v/>
      </c>
      <c r="AF459" s="35" t="str">
        <f aca="false">IF(G459&lt;&gt;"",HYPERLINK("https://www.tradingview.com/chart/?symbol="&amp;G459&amp;"&amp;interval=240&amp;from="&amp;(AG459-10*14400)&amp;"&amp;to="&amp;(AG459+50*14400),"📈 4H"),"")</f>
        <v/>
      </c>
      <c r="AG459" s="36" t="str">
        <f aca="false">IF(C459&lt;&gt;"",INT((C459+IF(D459&lt;&gt;"",D459,0)-DATE(1970,1,1))*86400),"")</f>
        <v/>
      </c>
    </row>
    <row r="460" customFormat="false" ht="19.5" hidden="false" customHeight="true" outlineLevel="0" collapsed="false">
      <c r="A460" s="37" t="n">
        <f aca="false">ROW()-4</f>
        <v>456</v>
      </c>
      <c r="B460" s="38"/>
      <c r="C460" s="39"/>
      <c r="D460" s="40"/>
      <c r="E460" s="39"/>
      <c r="F460" s="40"/>
      <c r="G460" s="41"/>
      <c r="H460" s="42"/>
      <c r="I460" s="43"/>
      <c r="J460" s="44"/>
      <c r="K460" s="39"/>
      <c r="L460" s="42"/>
      <c r="M460" s="44"/>
      <c r="N460" s="45"/>
      <c r="O460" s="44"/>
      <c r="P460" s="46"/>
      <c r="Q460" s="47" t="str">
        <f aca="false">IF(L460="","",IF(M460&lt;&gt;"",M460*L460*100,IF(AND(O460&lt;&gt;"",B460&lt;&gt;""),IFERROR(AVERAGEIF($B$5:$B$1004,B460,$M$5:$M$1004)*L460*100,""),"")))</f>
        <v/>
      </c>
      <c r="R460" s="47" t="str">
        <f aca="false">IF(AND(O460&lt;&gt;"",L460&lt;&gt;""),O460*L460*100,"")</f>
        <v/>
      </c>
      <c r="S460" s="48" t="str">
        <f aca="false">IF(AND(P460&lt;&gt;"",L460&lt;&gt;""),P460*L460*100,"")</f>
        <v/>
      </c>
      <c r="T460" s="49" t="str">
        <f aca="false">IF(AND(Q460&lt;&gt;"",R460&lt;&gt;""),R460-Q460,"")</f>
        <v/>
      </c>
      <c r="U460" s="50" t="str">
        <f aca="false">IF(AND(Q460&lt;&gt;"",Q460&lt;&gt;0,T460&lt;&gt;""),T460/Q460,"")</f>
        <v/>
      </c>
      <c r="V460" s="51" t="str">
        <f aca="false">IF(AND(S460&lt;&gt;"",Q460&lt;&gt;""),S460-Q460,"")</f>
        <v/>
      </c>
      <c r="W460" s="52" t="str">
        <f aca="false">IF(AND(Q460&lt;&gt;"",Q460&lt;&gt;0,V460&lt;&gt;""),V460/Q460,"")</f>
        <v/>
      </c>
      <c r="X460" s="53" t="s">
        <v>37</v>
      </c>
      <c r="Y460" s="54" t="str">
        <f aca="false">IF(AND(O460&lt;&gt;"",M460&lt;&gt;"",O460&gt;M460),CONCATENATE("1 : ",TEXT((O460-M460)/M460,"0.00")),IF(AND(O460&lt;&gt;"",M460&lt;&gt;"",O460&lt;M460),CONCATENATE("-1 : ",TEXT((M460-O460)/M460,"0.00")),"—"))</f>
        <v>—</v>
      </c>
      <c r="Z460" s="55" t="str">
        <f aca="false">IF(AND(P460&lt;&gt;"",M460&lt;&gt;"",P460&gt;M460),CONCATENATE("1 : ",TEXT((P460-M460)/M460,"0.00")),"—")</f>
        <v>—</v>
      </c>
      <c r="AA460" s="56" t="str">
        <f aca="false">IF(AND(C460&lt;&gt;"",E460&lt;&gt;""),E460-C460,"")</f>
        <v/>
      </c>
      <c r="AB460" s="42"/>
      <c r="AC460" s="57"/>
      <c r="AD460" s="58"/>
      <c r="AE460" s="59" t="str">
        <f aca="false">IF(G460&lt;&gt;"",HYPERLINK("https://www.tradingview.com/chart/?symbol="&amp;G460&amp;"&amp;interval=60&amp;from="&amp;(AG460-10*3600)&amp;"&amp;to="&amp;(AG460+50*3600),"📈 1H"),"")</f>
        <v/>
      </c>
      <c r="AF460" s="60" t="str">
        <f aca="false">IF(G460&lt;&gt;"",HYPERLINK("https://www.tradingview.com/chart/?symbol="&amp;G460&amp;"&amp;interval=240&amp;from="&amp;(AG460-10*14400)&amp;"&amp;to="&amp;(AG460+50*14400),"📈 4H"),"")</f>
        <v/>
      </c>
      <c r="AG460" s="36" t="str">
        <f aca="false">IF(C460&lt;&gt;"",INT((C460+IF(D460&lt;&gt;"",D460,0)-DATE(1970,1,1))*86400),"")</f>
        <v/>
      </c>
    </row>
    <row r="461" customFormat="false" ht="19.5" hidden="false" customHeight="true" outlineLevel="0" collapsed="false">
      <c r="A461" s="12" t="n">
        <f aca="false">ROW()-4</f>
        <v>457</v>
      </c>
      <c r="B461" s="13"/>
      <c r="C461" s="14"/>
      <c r="D461" s="15"/>
      <c r="E461" s="14"/>
      <c r="F461" s="15"/>
      <c r="G461" s="16"/>
      <c r="H461" s="17"/>
      <c r="I461" s="18"/>
      <c r="J461" s="19"/>
      <c r="K461" s="14"/>
      <c r="L461" s="17"/>
      <c r="M461" s="19"/>
      <c r="N461" s="20"/>
      <c r="O461" s="19"/>
      <c r="P461" s="21"/>
      <c r="Q461" s="22" t="str">
        <f aca="false">IF(L461="","",IF(M461&lt;&gt;"",M461*L461*100,IF(AND(O461&lt;&gt;"",B461&lt;&gt;""),IFERROR(AVERAGEIF($B$5:$B$1004,B461,$M$5:$M$1004)*L461*100,""),"")))</f>
        <v/>
      </c>
      <c r="R461" s="22" t="str">
        <f aca="false">IF(AND(O461&lt;&gt;"",L461&lt;&gt;""),O461*L461*100,"")</f>
        <v/>
      </c>
      <c r="S461" s="23" t="str">
        <f aca="false">IF(AND(P461&lt;&gt;"",L461&lt;&gt;""),P461*L461*100,"")</f>
        <v/>
      </c>
      <c r="T461" s="24" t="str">
        <f aca="false">IF(AND(Q461&lt;&gt;"",R461&lt;&gt;""),R461-Q461,"")</f>
        <v/>
      </c>
      <c r="U461" s="25" t="str">
        <f aca="false">IF(AND(Q461&lt;&gt;"",Q461&lt;&gt;0,T461&lt;&gt;""),T461/Q461,"")</f>
        <v/>
      </c>
      <c r="V461" s="26" t="str">
        <f aca="false">IF(AND(S461&lt;&gt;"",Q461&lt;&gt;""),S461-Q461,"")</f>
        <v/>
      </c>
      <c r="W461" s="27" t="str">
        <f aca="false">IF(AND(Q461&lt;&gt;"",Q461&lt;&gt;0,V461&lt;&gt;""),V461/Q461,"")</f>
        <v/>
      </c>
      <c r="X461" s="28" t="s">
        <v>37</v>
      </c>
      <c r="Y461" s="29" t="str">
        <f aca="false">IF(AND(O461&lt;&gt;"",M461&lt;&gt;"",O461&gt;M461),CONCATENATE("1 : ",TEXT((O461-M461)/M461,"0.00")),IF(AND(O461&lt;&gt;"",M461&lt;&gt;"",O461&lt;M461),CONCATENATE("-1 : ",TEXT((M461-O461)/M461,"0.00")),"—"))</f>
        <v>—</v>
      </c>
      <c r="Z461" s="30" t="str">
        <f aca="false">IF(AND(P461&lt;&gt;"",M461&lt;&gt;"",P461&gt;M461),CONCATENATE("1 : ",TEXT((P461-M461)/M461,"0.00")),"—")</f>
        <v>—</v>
      </c>
      <c r="AA461" s="31" t="str">
        <f aca="false">IF(AND(C461&lt;&gt;"",E461&lt;&gt;""),E461-C461,"")</f>
        <v/>
      </c>
      <c r="AB461" s="17"/>
      <c r="AC461" s="32"/>
      <c r="AD461" s="33"/>
      <c r="AE461" s="34" t="str">
        <f aca="false">IF(G461&lt;&gt;"",HYPERLINK("https://www.tradingview.com/chart/?symbol="&amp;G461&amp;"&amp;interval=60&amp;from="&amp;(AG461-10*3600)&amp;"&amp;to="&amp;(AG461+50*3600),"📈 1H"),"")</f>
        <v/>
      </c>
      <c r="AF461" s="35" t="str">
        <f aca="false">IF(G461&lt;&gt;"",HYPERLINK("https://www.tradingview.com/chart/?symbol="&amp;G461&amp;"&amp;interval=240&amp;from="&amp;(AG461-10*14400)&amp;"&amp;to="&amp;(AG461+50*14400),"📈 4H"),"")</f>
        <v/>
      </c>
      <c r="AG461" s="36" t="str">
        <f aca="false">IF(C461&lt;&gt;"",INT((C461+IF(D461&lt;&gt;"",D461,0)-DATE(1970,1,1))*86400),"")</f>
        <v/>
      </c>
    </row>
    <row r="462" customFormat="false" ht="19.5" hidden="false" customHeight="true" outlineLevel="0" collapsed="false">
      <c r="A462" s="37" t="n">
        <f aca="false">ROW()-4</f>
        <v>458</v>
      </c>
      <c r="B462" s="38"/>
      <c r="C462" s="39"/>
      <c r="D462" s="40"/>
      <c r="E462" s="39"/>
      <c r="F462" s="40"/>
      <c r="G462" s="41"/>
      <c r="H462" s="42"/>
      <c r="I462" s="43"/>
      <c r="J462" s="44"/>
      <c r="K462" s="39"/>
      <c r="L462" s="42"/>
      <c r="M462" s="44"/>
      <c r="N462" s="45"/>
      <c r="O462" s="44"/>
      <c r="P462" s="46"/>
      <c r="Q462" s="47" t="str">
        <f aca="false">IF(L462="","",IF(M462&lt;&gt;"",M462*L462*100,IF(AND(O462&lt;&gt;"",B462&lt;&gt;""),IFERROR(AVERAGEIF($B$5:$B$1004,B462,$M$5:$M$1004)*L462*100,""),"")))</f>
        <v/>
      </c>
      <c r="R462" s="47" t="str">
        <f aca="false">IF(AND(O462&lt;&gt;"",L462&lt;&gt;""),O462*L462*100,"")</f>
        <v/>
      </c>
      <c r="S462" s="48" t="str">
        <f aca="false">IF(AND(P462&lt;&gt;"",L462&lt;&gt;""),P462*L462*100,"")</f>
        <v/>
      </c>
      <c r="T462" s="49" t="str">
        <f aca="false">IF(AND(Q462&lt;&gt;"",R462&lt;&gt;""),R462-Q462,"")</f>
        <v/>
      </c>
      <c r="U462" s="50" t="str">
        <f aca="false">IF(AND(Q462&lt;&gt;"",Q462&lt;&gt;0,T462&lt;&gt;""),T462/Q462,"")</f>
        <v/>
      </c>
      <c r="V462" s="51" t="str">
        <f aca="false">IF(AND(S462&lt;&gt;"",Q462&lt;&gt;""),S462-Q462,"")</f>
        <v/>
      </c>
      <c r="W462" s="52" t="str">
        <f aca="false">IF(AND(Q462&lt;&gt;"",Q462&lt;&gt;0,V462&lt;&gt;""),V462/Q462,"")</f>
        <v/>
      </c>
      <c r="X462" s="53" t="s">
        <v>37</v>
      </c>
      <c r="Y462" s="54" t="str">
        <f aca="false">IF(AND(O462&lt;&gt;"",M462&lt;&gt;"",O462&gt;M462),CONCATENATE("1 : ",TEXT((O462-M462)/M462,"0.00")),IF(AND(O462&lt;&gt;"",M462&lt;&gt;"",O462&lt;M462),CONCATENATE("-1 : ",TEXT((M462-O462)/M462,"0.00")),"—"))</f>
        <v>—</v>
      </c>
      <c r="Z462" s="55" t="str">
        <f aca="false">IF(AND(P462&lt;&gt;"",M462&lt;&gt;"",P462&gt;M462),CONCATENATE("1 : ",TEXT((P462-M462)/M462,"0.00")),"—")</f>
        <v>—</v>
      </c>
      <c r="AA462" s="56" t="str">
        <f aca="false">IF(AND(C462&lt;&gt;"",E462&lt;&gt;""),E462-C462,"")</f>
        <v/>
      </c>
      <c r="AB462" s="42"/>
      <c r="AC462" s="57"/>
      <c r="AD462" s="58"/>
      <c r="AE462" s="59" t="str">
        <f aca="false">IF(G462&lt;&gt;"",HYPERLINK("https://www.tradingview.com/chart/?symbol="&amp;G462&amp;"&amp;interval=60&amp;from="&amp;(AG462-10*3600)&amp;"&amp;to="&amp;(AG462+50*3600),"📈 1H"),"")</f>
        <v/>
      </c>
      <c r="AF462" s="60" t="str">
        <f aca="false">IF(G462&lt;&gt;"",HYPERLINK("https://www.tradingview.com/chart/?symbol="&amp;G462&amp;"&amp;interval=240&amp;from="&amp;(AG462-10*14400)&amp;"&amp;to="&amp;(AG462+50*14400),"📈 4H"),"")</f>
        <v/>
      </c>
      <c r="AG462" s="36" t="str">
        <f aca="false">IF(C462&lt;&gt;"",INT((C462+IF(D462&lt;&gt;"",D462,0)-DATE(1970,1,1))*86400),"")</f>
        <v/>
      </c>
    </row>
    <row r="463" customFormat="false" ht="19.5" hidden="false" customHeight="true" outlineLevel="0" collapsed="false">
      <c r="A463" s="12" t="n">
        <f aca="false">ROW()-4</f>
        <v>459</v>
      </c>
      <c r="B463" s="13"/>
      <c r="C463" s="14"/>
      <c r="D463" s="15"/>
      <c r="E463" s="14"/>
      <c r="F463" s="15"/>
      <c r="G463" s="16"/>
      <c r="H463" s="17"/>
      <c r="I463" s="18"/>
      <c r="J463" s="19"/>
      <c r="K463" s="14"/>
      <c r="L463" s="17"/>
      <c r="M463" s="19"/>
      <c r="N463" s="20"/>
      <c r="O463" s="19"/>
      <c r="P463" s="21"/>
      <c r="Q463" s="22" t="str">
        <f aca="false">IF(L463="","",IF(M463&lt;&gt;"",M463*L463*100,IF(AND(O463&lt;&gt;"",B463&lt;&gt;""),IFERROR(AVERAGEIF($B$5:$B$1004,B463,$M$5:$M$1004)*L463*100,""),"")))</f>
        <v/>
      </c>
      <c r="R463" s="22" t="str">
        <f aca="false">IF(AND(O463&lt;&gt;"",L463&lt;&gt;""),O463*L463*100,"")</f>
        <v/>
      </c>
      <c r="S463" s="23" t="str">
        <f aca="false">IF(AND(P463&lt;&gt;"",L463&lt;&gt;""),P463*L463*100,"")</f>
        <v/>
      </c>
      <c r="T463" s="24" t="str">
        <f aca="false">IF(AND(Q463&lt;&gt;"",R463&lt;&gt;""),R463-Q463,"")</f>
        <v/>
      </c>
      <c r="U463" s="25" t="str">
        <f aca="false">IF(AND(Q463&lt;&gt;"",Q463&lt;&gt;0,T463&lt;&gt;""),T463/Q463,"")</f>
        <v/>
      </c>
      <c r="V463" s="26" t="str">
        <f aca="false">IF(AND(S463&lt;&gt;"",Q463&lt;&gt;""),S463-Q463,"")</f>
        <v/>
      </c>
      <c r="W463" s="27" t="str">
        <f aca="false">IF(AND(Q463&lt;&gt;"",Q463&lt;&gt;0,V463&lt;&gt;""),V463/Q463,"")</f>
        <v/>
      </c>
      <c r="X463" s="28" t="s">
        <v>37</v>
      </c>
      <c r="Y463" s="29" t="str">
        <f aca="false">IF(AND(O463&lt;&gt;"",M463&lt;&gt;"",O463&gt;M463),CONCATENATE("1 : ",TEXT((O463-M463)/M463,"0.00")),IF(AND(O463&lt;&gt;"",M463&lt;&gt;"",O463&lt;M463),CONCATENATE("-1 : ",TEXT((M463-O463)/M463,"0.00")),"—"))</f>
        <v>—</v>
      </c>
      <c r="Z463" s="30" t="str">
        <f aca="false">IF(AND(P463&lt;&gt;"",M463&lt;&gt;"",P463&gt;M463),CONCATENATE("1 : ",TEXT((P463-M463)/M463,"0.00")),"—")</f>
        <v>—</v>
      </c>
      <c r="AA463" s="31" t="str">
        <f aca="false">IF(AND(C463&lt;&gt;"",E463&lt;&gt;""),E463-C463,"")</f>
        <v/>
      </c>
      <c r="AB463" s="17"/>
      <c r="AC463" s="32"/>
      <c r="AD463" s="33"/>
      <c r="AE463" s="34" t="str">
        <f aca="false">IF(G463&lt;&gt;"",HYPERLINK("https://www.tradingview.com/chart/?symbol="&amp;G463&amp;"&amp;interval=60&amp;from="&amp;(AG463-10*3600)&amp;"&amp;to="&amp;(AG463+50*3600),"📈 1H"),"")</f>
        <v/>
      </c>
      <c r="AF463" s="35" t="str">
        <f aca="false">IF(G463&lt;&gt;"",HYPERLINK("https://www.tradingview.com/chart/?symbol="&amp;G463&amp;"&amp;interval=240&amp;from="&amp;(AG463-10*14400)&amp;"&amp;to="&amp;(AG463+50*14400),"📈 4H"),"")</f>
        <v/>
      </c>
      <c r="AG463" s="36" t="str">
        <f aca="false">IF(C463&lt;&gt;"",INT((C463+IF(D463&lt;&gt;"",D463,0)-DATE(1970,1,1))*86400),"")</f>
        <v/>
      </c>
    </row>
    <row r="464" customFormat="false" ht="19.5" hidden="false" customHeight="true" outlineLevel="0" collapsed="false">
      <c r="A464" s="37" t="n">
        <f aca="false">ROW()-4</f>
        <v>460</v>
      </c>
      <c r="B464" s="38"/>
      <c r="C464" s="39"/>
      <c r="D464" s="40"/>
      <c r="E464" s="39"/>
      <c r="F464" s="40"/>
      <c r="G464" s="41"/>
      <c r="H464" s="42"/>
      <c r="I464" s="43"/>
      <c r="J464" s="44"/>
      <c r="K464" s="39"/>
      <c r="L464" s="42"/>
      <c r="M464" s="44"/>
      <c r="N464" s="45"/>
      <c r="O464" s="44"/>
      <c r="P464" s="46"/>
      <c r="Q464" s="47" t="str">
        <f aca="false">IF(L464="","",IF(M464&lt;&gt;"",M464*L464*100,IF(AND(O464&lt;&gt;"",B464&lt;&gt;""),IFERROR(AVERAGEIF($B$5:$B$1004,B464,$M$5:$M$1004)*L464*100,""),"")))</f>
        <v/>
      </c>
      <c r="R464" s="47" t="str">
        <f aca="false">IF(AND(O464&lt;&gt;"",L464&lt;&gt;""),O464*L464*100,"")</f>
        <v/>
      </c>
      <c r="S464" s="48" t="str">
        <f aca="false">IF(AND(P464&lt;&gt;"",L464&lt;&gt;""),P464*L464*100,"")</f>
        <v/>
      </c>
      <c r="T464" s="49" t="str">
        <f aca="false">IF(AND(Q464&lt;&gt;"",R464&lt;&gt;""),R464-Q464,"")</f>
        <v/>
      </c>
      <c r="U464" s="50" t="str">
        <f aca="false">IF(AND(Q464&lt;&gt;"",Q464&lt;&gt;0,T464&lt;&gt;""),T464/Q464,"")</f>
        <v/>
      </c>
      <c r="V464" s="51" t="str">
        <f aca="false">IF(AND(S464&lt;&gt;"",Q464&lt;&gt;""),S464-Q464,"")</f>
        <v/>
      </c>
      <c r="W464" s="52" t="str">
        <f aca="false">IF(AND(Q464&lt;&gt;"",Q464&lt;&gt;0,V464&lt;&gt;""),V464/Q464,"")</f>
        <v/>
      </c>
      <c r="X464" s="53" t="s">
        <v>37</v>
      </c>
      <c r="Y464" s="54" t="str">
        <f aca="false">IF(AND(O464&lt;&gt;"",M464&lt;&gt;"",O464&gt;M464),CONCATENATE("1 : ",TEXT((O464-M464)/M464,"0.00")),IF(AND(O464&lt;&gt;"",M464&lt;&gt;"",O464&lt;M464),CONCATENATE("-1 : ",TEXT((M464-O464)/M464,"0.00")),"—"))</f>
        <v>—</v>
      </c>
      <c r="Z464" s="55" t="str">
        <f aca="false">IF(AND(P464&lt;&gt;"",M464&lt;&gt;"",P464&gt;M464),CONCATENATE("1 : ",TEXT((P464-M464)/M464,"0.00")),"—")</f>
        <v>—</v>
      </c>
      <c r="AA464" s="56" t="str">
        <f aca="false">IF(AND(C464&lt;&gt;"",E464&lt;&gt;""),E464-C464,"")</f>
        <v/>
      </c>
      <c r="AB464" s="42"/>
      <c r="AC464" s="57"/>
      <c r="AD464" s="58"/>
      <c r="AE464" s="59" t="str">
        <f aca="false">IF(G464&lt;&gt;"",HYPERLINK("https://www.tradingview.com/chart/?symbol="&amp;G464&amp;"&amp;interval=60&amp;from="&amp;(AG464-10*3600)&amp;"&amp;to="&amp;(AG464+50*3600),"📈 1H"),"")</f>
        <v/>
      </c>
      <c r="AF464" s="60" t="str">
        <f aca="false">IF(G464&lt;&gt;"",HYPERLINK("https://www.tradingview.com/chart/?symbol="&amp;G464&amp;"&amp;interval=240&amp;from="&amp;(AG464-10*14400)&amp;"&amp;to="&amp;(AG464+50*14400),"📈 4H"),"")</f>
        <v/>
      </c>
      <c r="AG464" s="36" t="str">
        <f aca="false">IF(C464&lt;&gt;"",INT((C464+IF(D464&lt;&gt;"",D464,0)-DATE(1970,1,1))*86400),"")</f>
        <v/>
      </c>
    </row>
    <row r="465" customFormat="false" ht="19.5" hidden="false" customHeight="true" outlineLevel="0" collapsed="false">
      <c r="A465" s="12" t="n">
        <f aca="false">ROW()-4</f>
        <v>461</v>
      </c>
      <c r="B465" s="13"/>
      <c r="C465" s="14"/>
      <c r="D465" s="15"/>
      <c r="E465" s="14"/>
      <c r="F465" s="15"/>
      <c r="G465" s="16"/>
      <c r="H465" s="17"/>
      <c r="I465" s="18"/>
      <c r="J465" s="19"/>
      <c r="K465" s="14"/>
      <c r="L465" s="17"/>
      <c r="M465" s="19"/>
      <c r="N465" s="20"/>
      <c r="O465" s="19"/>
      <c r="P465" s="21"/>
      <c r="Q465" s="22" t="str">
        <f aca="false">IF(L465="","",IF(M465&lt;&gt;"",M465*L465*100,IF(AND(O465&lt;&gt;"",B465&lt;&gt;""),IFERROR(AVERAGEIF($B$5:$B$1004,B465,$M$5:$M$1004)*L465*100,""),"")))</f>
        <v/>
      </c>
      <c r="R465" s="22" t="str">
        <f aca="false">IF(AND(O465&lt;&gt;"",L465&lt;&gt;""),O465*L465*100,"")</f>
        <v/>
      </c>
      <c r="S465" s="23" t="str">
        <f aca="false">IF(AND(P465&lt;&gt;"",L465&lt;&gt;""),P465*L465*100,"")</f>
        <v/>
      </c>
      <c r="T465" s="24" t="str">
        <f aca="false">IF(AND(Q465&lt;&gt;"",R465&lt;&gt;""),R465-Q465,"")</f>
        <v/>
      </c>
      <c r="U465" s="25" t="str">
        <f aca="false">IF(AND(Q465&lt;&gt;"",Q465&lt;&gt;0,T465&lt;&gt;""),T465/Q465,"")</f>
        <v/>
      </c>
      <c r="V465" s="26" t="str">
        <f aca="false">IF(AND(S465&lt;&gt;"",Q465&lt;&gt;""),S465-Q465,"")</f>
        <v/>
      </c>
      <c r="W465" s="27" t="str">
        <f aca="false">IF(AND(Q465&lt;&gt;"",Q465&lt;&gt;0,V465&lt;&gt;""),V465/Q465,"")</f>
        <v/>
      </c>
      <c r="X465" s="28" t="s">
        <v>37</v>
      </c>
      <c r="Y465" s="29" t="str">
        <f aca="false">IF(AND(O465&lt;&gt;"",M465&lt;&gt;"",O465&gt;M465),CONCATENATE("1 : ",TEXT((O465-M465)/M465,"0.00")),IF(AND(O465&lt;&gt;"",M465&lt;&gt;"",O465&lt;M465),CONCATENATE("-1 : ",TEXT((M465-O465)/M465,"0.00")),"—"))</f>
        <v>—</v>
      </c>
      <c r="Z465" s="30" t="str">
        <f aca="false">IF(AND(P465&lt;&gt;"",M465&lt;&gt;"",P465&gt;M465),CONCATENATE("1 : ",TEXT((P465-M465)/M465,"0.00")),"—")</f>
        <v>—</v>
      </c>
      <c r="AA465" s="31" t="str">
        <f aca="false">IF(AND(C465&lt;&gt;"",E465&lt;&gt;""),E465-C465,"")</f>
        <v/>
      </c>
      <c r="AB465" s="17"/>
      <c r="AC465" s="32"/>
      <c r="AD465" s="33"/>
      <c r="AE465" s="34" t="str">
        <f aca="false">IF(G465&lt;&gt;"",HYPERLINK("https://www.tradingview.com/chart/?symbol="&amp;G465&amp;"&amp;interval=60&amp;from="&amp;(AG465-10*3600)&amp;"&amp;to="&amp;(AG465+50*3600),"📈 1H"),"")</f>
        <v/>
      </c>
      <c r="AF465" s="35" t="str">
        <f aca="false">IF(G465&lt;&gt;"",HYPERLINK("https://www.tradingview.com/chart/?symbol="&amp;G465&amp;"&amp;interval=240&amp;from="&amp;(AG465-10*14400)&amp;"&amp;to="&amp;(AG465+50*14400),"📈 4H"),"")</f>
        <v/>
      </c>
      <c r="AG465" s="36" t="str">
        <f aca="false">IF(C465&lt;&gt;"",INT((C465+IF(D465&lt;&gt;"",D465,0)-DATE(1970,1,1))*86400),"")</f>
        <v/>
      </c>
    </row>
    <row r="466" customFormat="false" ht="19.5" hidden="false" customHeight="true" outlineLevel="0" collapsed="false">
      <c r="A466" s="37" t="n">
        <f aca="false">ROW()-4</f>
        <v>462</v>
      </c>
      <c r="B466" s="38"/>
      <c r="C466" s="39"/>
      <c r="D466" s="40"/>
      <c r="E466" s="39"/>
      <c r="F466" s="40"/>
      <c r="G466" s="41"/>
      <c r="H466" s="42"/>
      <c r="I466" s="43"/>
      <c r="J466" s="44"/>
      <c r="K466" s="39"/>
      <c r="L466" s="42"/>
      <c r="M466" s="44"/>
      <c r="N466" s="45"/>
      <c r="O466" s="44"/>
      <c r="P466" s="46"/>
      <c r="Q466" s="47" t="str">
        <f aca="false">IF(L466="","",IF(M466&lt;&gt;"",M466*L466*100,IF(AND(O466&lt;&gt;"",B466&lt;&gt;""),IFERROR(AVERAGEIF($B$5:$B$1004,B466,$M$5:$M$1004)*L466*100,""),"")))</f>
        <v/>
      </c>
      <c r="R466" s="47" t="str">
        <f aca="false">IF(AND(O466&lt;&gt;"",L466&lt;&gt;""),O466*L466*100,"")</f>
        <v/>
      </c>
      <c r="S466" s="48" t="str">
        <f aca="false">IF(AND(P466&lt;&gt;"",L466&lt;&gt;""),P466*L466*100,"")</f>
        <v/>
      </c>
      <c r="T466" s="49" t="str">
        <f aca="false">IF(AND(Q466&lt;&gt;"",R466&lt;&gt;""),R466-Q466,"")</f>
        <v/>
      </c>
      <c r="U466" s="50" t="str">
        <f aca="false">IF(AND(Q466&lt;&gt;"",Q466&lt;&gt;0,T466&lt;&gt;""),T466/Q466,"")</f>
        <v/>
      </c>
      <c r="V466" s="51" t="str">
        <f aca="false">IF(AND(S466&lt;&gt;"",Q466&lt;&gt;""),S466-Q466,"")</f>
        <v/>
      </c>
      <c r="W466" s="52" t="str">
        <f aca="false">IF(AND(Q466&lt;&gt;"",Q466&lt;&gt;0,V466&lt;&gt;""),V466/Q466,"")</f>
        <v/>
      </c>
      <c r="X466" s="53" t="s">
        <v>37</v>
      </c>
      <c r="Y466" s="54" t="str">
        <f aca="false">IF(AND(O466&lt;&gt;"",M466&lt;&gt;"",O466&gt;M466),CONCATENATE("1 : ",TEXT((O466-M466)/M466,"0.00")),IF(AND(O466&lt;&gt;"",M466&lt;&gt;"",O466&lt;M466),CONCATENATE("-1 : ",TEXT((M466-O466)/M466,"0.00")),"—"))</f>
        <v>—</v>
      </c>
      <c r="Z466" s="55" t="str">
        <f aca="false">IF(AND(P466&lt;&gt;"",M466&lt;&gt;"",P466&gt;M466),CONCATENATE("1 : ",TEXT((P466-M466)/M466,"0.00")),"—")</f>
        <v>—</v>
      </c>
      <c r="AA466" s="56" t="str">
        <f aca="false">IF(AND(C466&lt;&gt;"",E466&lt;&gt;""),E466-C466,"")</f>
        <v/>
      </c>
      <c r="AB466" s="42"/>
      <c r="AC466" s="57"/>
      <c r="AD466" s="58"/>
      <c r="AE466" s="59" t="str">
        <f aca="false">IF(G466&lt;&gt;"",HYPERLINK("https://www.tradingview.com/chart/?symbol="&amp;G466&amp;"&amp;interval=60&amp;from="&amp;(AG466-10*3600)&amp;"&amp;to="&amp;(AG466+50*3600),"📈 1H"),"")</f>
        <v/>
      </c>
      <c r="AF466" s="60" t="str">
        <f aca="false">IF(G466&lt;&gt;"",HYPERLINK("https://www.tradingview.com/chart/?symbol="&amp;G466&amp;"&amp;interval=240&amp;from="&amp;(AG466-10*14400)&amp;"&amp;to="&amp;(AG466+50*14400),"📈 4H"),"")</f>
        <v/>
      </c>
      <c r="AG466" s="36" t="str">
        <f aca="false">IF(C466&lt;&gt;"",INT((C466+IF(D466&lt;&gt;"",D466,0)-DATE(1970,1,1))*86400),"")</f>
        <v/>
      </c>
    </row>
    <row r="467" customFormat="false" ht="19.5" hidden="false" customHeight="true" outlineLevel="0" collapsed="false">
      <c r="A467" s="12" t="n">
        <f aca="false">ROW()-4</f>
        <v>463</v>
      </c>
      <c r="B467" s="13"/>
      <c r="C467" s="14"/>
      <c r="D467" s="15"/>
      <c r="E467" s="14"/>
      <c r="F467" s="15"/>
      <c r="G467" s="16"/>
      <c r="H467" s="17"/>
      <c r="I467" s="18"/>
      <c r="J467" s="19"/>
      <c r="K467" s="14"/>
      <c r="L467" s="17"/>
      <c r="M467" s="19"/>
      <c r="N467" s="20"/>
      <c r="O467" s="19"/>
      <c r="P467" s="21"/>
      <c r="Q467" s="22" t="str">
        <f aca="false">IF(L467="","",IF(M467&lt;&gt;"",M467*L467*100,IF(AND(O467&lt;&gt;"",B467&lt;&gt;""),IFERROR(AVERAGEIF($B$5:$B$1004,B467,$M$5:$M$1004)*L467*100,""),"")))</f>
        <v/>
      </c>
      <c r="R467" s="22" t="str">
        <f aca="false">IF(AND(O467&lt;&gt;"",L467&lt;&gt;""),O467*L467*100,"")</f>
        <v/>
      </c>
      <c r="S467" s="23" t="str">
        <f aca="false">IF(AND(P467&lt;&gt;"",L467&lt;&gt;""),P467*L467*100,"")</f>
        <v/>
      </c>
      <c r="T467" s="24" t="str">
        <f aca="false">IF(AND(Q467&lt;&gt;"",R467&lt;&gt;""),R467-Q467,"")</f>
        <v/>
      </c>
      <c r="U467" s="25" t="str">
        <f aca="false">IF(AND(Q467&lt;&gt;"",Q467&lt;&gt;0,T467&lt;&gt;""),T467/Q467,"")</f>
        <v/>
      </c>
      <c r="V467" s="26" t="str">
        <f aca="false">IF(AND(S467&lt;&gt;"",Q467&lt;&gt;""),S467-Q467,"")</f>
        <v/>
      </c>
      <c r="W467" s="27" t="str">
        <f aca="false">IF(AND(Q467&lt;&gt;"",Q467&lt;&gt;0,V467&lt;&gt;""),V467/Q467,"")</f>
        <v/>
      </c>
      <c r="X467" s="28" t="s">
        <v>37</v>
      </c>
      <c r="Y467" s="29" t="str">
        <f aca="false">IF(AND(O467&lt;&gt;"",M467&lt;&gt;"",O467&gt;M467),CONCATENATE("1 : ",TEXT((O467-M467)/M467,"0.00")),IF(AND(O467&lt;&gt;"",M467&lt;&gt;"",O467&lt;M467),CONCATENATE("-1 : ",TEXT((M467-O467)/M467,"0.00")),"—"))</f>
        <v>—</v>
      </c>
      <c r="Z467" s="30" t="str">
        <f aca="false">IF(AND(P467&lt;&gt;"",M467&lt;&gt;"",P467&gt;M467),CONCATENATE("1 : ",TEXT((P467-M467)/M467,"0.00")),"—")</f>
        <v>—</v>
      </c>
      <c r="AA467" s="31" t="str">
        <f aca="false">IF(AND(C467&lt;&gt;"",E467&lt;&gt;""),E467-C467,"")</f>
        <v/>
      </c>
      <c r="AB467" s="17"/>
      <c r="AC467" s="32"/>
      <c r="AD467" s="33"/>
      <c r="AE467" s="34" t="str">
        <f aca="false">IF(G467&lt;&gt;"",HYPERLINK("https://www.tradingview.com/chart/?symbol="&amp;G467&amp;"&amp;interval=60&amp;from="&amp;(AG467-10*3600)&amp;"&amp;to="&amp;(AG467+50*3600),"📈 1H"),"")</f>
        <v/>
      </c>
      <c r="AF467" s="35" t="str">
        <f aca="false">IF(G467&lt;&gt;"",HYPERLINK("https://www.tradingview.com/chart/?symbol="&amp;G467&amp;"&amp;interval=240&amp;from="&amp;(AG467-10*14400)&amp;"&amp;to="&amp;(AG467+50*14400),"📈 4H"),"")</f>
        <v/>
      </c>
      <c r="AG467" s="36" t="str">
        <f aca="false">IF(C467&lt;&gt;"",INT((C467+IF(D467&lt;&gt;"",D467,0)-DATE(1970,1,1))*86400),"")</f>
        <v/>
      </c>
    </row>
    <row r="468" customFormat="false" ht="19.5" hidden="false" customHeight="true" outlineLevel="0" collapsed="false">
      <c r="A468" s="37" t="n">
        <f aca="false">ROW()-4</f>
        <v>464</v>
      </c>
      <c r="B468" s="38"/>
      <c r="C468" s="39"/>
      <c r="D468" s="40"/>
      <c r="E468" s="39"/>
      <c r="F468" s="40"/>
      <c r="G468" s="41"/>
      <c r="H468" s="42"/>
      <c r="I468" s="43"/>
      <c r="J468" s="44"/>
      <c r="K468" s="39"/>
      <c r="L468" s="42"/>
      <c r="M468" s="44"/>
      <c r="N468" s="45"/>
      <c r="O468" s="44"/>
      <c r="P468" s="46"/>
      <c r="Q468" s="47" t="str">
        <f aca="false">IF(L468="","",IF(M468&lt;&gt;"",M468*L468*100,IF(AND(O468&lt;&gt;"",B468&lt;&gt;""),IFERROR(AVERAGEIF($B$5:$B$1004,B468,$M$5:$M$1004)*L468*100,""),"")))</f>
        <v/>
      </c>
      <c r="R468" s="47" t="str">
        <f aca="false">IF(AND(O468&lt;&gt;"",L468&lt;&gt;""),O468*L468*100,"")</f>
        <v/>
      </c>
      <c r="S468" s="48" t="str">
        <f aca="false">IF(AND(P468&lt;&gt;"",L468&lt;&gt;""),P468*L468*100,"")</f>
        <v/>
      </c>
      <c r="T468" s="49" t="str">
        <f aca="false">IF(AND(Q468&lt;&gt;"",R468&lt;&gt;""),R468-Q468,"")</f>
        <v/>
      </c>
      <c r="U468" s="50" t="str">
        <f aca="false">IF(AND(Q468&lt;&gt;"",Q468&lt;&gt;0,T468&lt;&gt;""),T468/Q468,"")</f>
        <v/>
      </c>
      <c r="V468" s="51" t="str">
        <f aca="false">IF(AND(S468&lt;&gt;"",Q468&lt;&gt;""),S468-Q468,"")</f>
        <v/>
      </c>
      <c r="W468" s="52" t="str">
        <f aca="false">IF(AND(Q468&lt;&gt;"",Q468&lt;&gt;0,V468&lt;&gt;""),V468/Q468,"")</f>
        <v/>
      </c>
      <c r="X468" s="53" t="s">
        <v>37</v>
      </c>
      <c r="Y468" s="54" t="str">
        <f aca="false">IF(AND(O468&lt;&gt;"",M468&lt;&gt;"",O468&gt;M468),CONCATENATE("1 : ",TEXT((O468-M468)/M468,"0.00")),IF(AND(O468&lt;&gt;"",M468&lt;&gt;"",O468&lt;M468),CONCATENATE("-1 : ",TEXT((M468-O468)/M468,"0.00")),"—"))</f>
        <v>—</v>
      </c>
      <c r="Z468" s="55" t="str">
        <f aca="false">IF(AND(P468&lt;&gt;"",M468&lt;&gt;"",P468&gt;M468),CONCATENATE("1 : ",TEXT((P468-M468)/M468,"0.00")),"—")</f>
        <v>—</v>
      </c>
      <c r="AA468" s="56" t="str">
        <f aca="false">IF(AND(C468&lt;&gt;"",E468&lt;&gt;""),E468-C468,"")</f>
        <v/>
      </c>
      <c r="AB468" s="42"/>
      <c r="AC468" s="57"/>
      <c r="AD468" s="58"/>
      <c r="AE468" s="59" t="str">
        <f aca="false">IF(G468&lt;&gt;"",HYPERLINK("https://www.tradingview.com/chart/?symbol="&amp;G468&amp;"&amp;interval=60&amp;from="&amp;(AG468-10*3600)&amp;"&amp;to="&amp;(AG468+50*3600),"📈 1H"),"")</f>
        <v/>
      </c>
      <c r="AF468" s="60" t="str">
        <f aca="false">IF(G468&lt;&gt;"",HYPERLINK("https://www.tradingview.com/chart/?symbol="&amp;G468&amp;"&amp;interval=240&amp;from="&amp;(AG468-10*14400)&amp;"&amp;to="&amp;(AG468+50*14400),"📈 4H"),"")</f>
        <v/>
      </c>
      <c r="AG468" s="36" t="str">
        <f aca="false">IF(C468&lt;&gt;"",INT((C468+IF(D468&lt;&gt;"",D468,0)-DATE(1970,1,1))*86400),"")</f>
        <v/>
      </c>
    </row>
    <row r="469" customFormat="false" ht="19.5" hidden="false" customHeight="true" outlineLevel="0" collapsed="false">
      <c r="A469" s="12" t="n">
        <f aca="false">ROW()-4</f>
        <v>465</v>
      </c>
      <c r="B469" s="13"/>
      <c r="C469" s="14"/>
      <c r="D469" s="15"/>
      <c r="E469" s="14"/>
      <c r="F469" s="15"/>
      <c r="G469" s="16"/>
      <c r="H469" s="17"/>
      <c r="I469" s="18"/>
      <c r="J469" s="19"/>
      <c r="K469" s="14"/>
      <c r="L469" s="17"/>
      <c r="M469" s="19"/>
      <c r="N469" s="20"/>
      <c r="O469" s="19"/>
      <c r="P469" s="21"/>
      <c r="Q469" s="22" t="str">
        <f aca="false">IF(L469="","",IF(M469&lt;&gt;"",M469*L469*100,IF(AND(O469&lt;&gt;"",B469&lt;&gt;""),IFERROR(AVERAGEIF($B$5:$B$1004,B469,$M$5:$M$1004)*L469*100,""),"")))</f>
        <v/>
      </c>
      <c r="R469" s="22" t="str">
        <f aca="false">IF(AND(O469&lt;&gt;"",L469&lt;&gt;""),O469*L469*100,"")</f>
        <v/>
      </c>
      <c r="S469" s="23" t="str">
        <f aca="false">IF(AND(P469&lt;&gt;"",L469&lt;&gt;""),P469*L469*100,"")</f>
        <v/>
      </c>
      <c r="T469" s="24" t="str">
        <f aca="false">IF(AND(Q469&lt;&gt;"",R469&lt;&gt;""),R469-Q469,"")</f>
        <v/>
      </c>
      <c r="U469" s="25" t="str">
        <f aca="false">IF(AND(Q469&lt;&gt;"",Q469&lt;&gt;0,T469&lt;&gt;""),T469/Q469,"")</f>
        <v/>
      </c>
      <c r="V469" s="26" t="str">
        <f aca="false">IF(AND(S469&lt;&gt;"",Q469&lt;&gt;""),S469-Q469,"")</f>
        <v/>
      </c>
      <c r="W469" s="27" t="str">
        <f aca="false">IF(AND(Q469&lt;&gt;"",Q469&lt;&gt;0,V469&lt;&gt;""),V469/Q469,"")</f>
        <v/>
      </c>
      <c r="X469" s="28" t="s">
        <v>37</v>
      </c>
      <c r="Y469" s="29" t="str">
        <f aca="false">IF(AND(O469&lt;&gt;"",M469&lt;&gt;"",O469&gt;M469),CONCATENATE("1 : ",TEXT((O469-M469)/M469,"0.00")),IF(AND(O469&lt;&gt;"",M469&lt;&gt;"",O469&lt;M469),CONCATENATE("-1 : ",TEXT((M469-O469)/M469,"0.00")),"—"))</f>
        <v>—</v>
      </c>
      <c r="Z469" s="30" t="str">
        <f aca="false">IF(AND(P469&lt;&gt;"",M469&lt;&gt;"",P469&gt;M469),CONCATENATE("1 : ",TEXT((P469-M469)/M469,"0.00")),"—")</f>
        <v>—</v>
      </c>
      <c r="AA469" s="31" t="str">
        <f aca="false">IF(AND(C469&lt;&gt;"",E469&lt;&gt;""),E469-C469,"")</f>
        <v/>
      </c>
      <c r="AB469" s="17"/>
      <c r="AC469" s="32"/>
      <c r="AD469" s="33"/>
      <c r="AE469" s="34" t="str">
        <f aca="false">IF(G469&lt;&gt;"",HYPERLINK("https://www.tradingview.com/chart/?symbol="&amp;G469&amp;"&amp;interval=60&amp;from="&amp;(AG469-10*3600)&amp;"&amp;to="&amp;(AG469+50*3600),"📈 1H"),"")</f>
        <v/>
      </c>
      <c r="AF469" s="35" t="str">
        <f aca="false">IF(G469&lt;&gt;"",HYPERLINK("https://www.tradingview.com/chart/?symbol="&amp;G469&amp;"&amp;interval=240&amp;from="&amp;(AG469-10*14400)&amp;"&amp;to="&amp;(AG469+50*14400),"📈 4H"),"")</f>
        <v/>
      </c>
      <c r="AG469" s="36" t="str">
        <f aca="false">IF(C469&lt;&gt;"",INT((C469+IF(D469&lt;&gt;"",D469,0)-DATE(1970,1,1))*86400),"")</f>
        <v/>
      </c>
    </row>
    <row r="470" customFormat="false" ht="19.5" hidden="false" customHeight="true" outlineLevel="0" collapsed="false">
      <c r="A470" s="37" t="n">
        <f aca="false">ROW()-4</f>
        <v>466</v>
      </c>
      <c r="B470" s="38"/>
      <c r="C470" s="39"/>
      <c r="D470" s="40"/>
      <c r="E470" s="39"/>
      <c r="F470" s="40"/>
      <c r="G470" s="41"/>
      <c r="H470" s="42"/>
      <c r="I470" s="43"/>
      <c r="J470" s="44"/>
      <c r="K470" s="39"/>
      <c r="L470" s="42"/>
      <c r="M470" s="44"/>
      <c r="N470" s="45"/>
      <c r="O470" s="44"/>
      <c r="P470" s="46"/>
      <c r="Q470" s="47" t="str">
        <f aca="false">IF(L470="","",IF(M470&lt;&gt;"",M470*L470*100,IF(AND(O470&lt;&gt;"",B470&lt;&gt;""),IFERROR(AVERAGEIF($B$5:$B$1004,B470,$M$5:$M$1004)*L470*100,""),"")))</f>
        <v/>
      </c>
      <c r="R470" s="47" t="str">
        <f aca="false">IF(AND(O470&lt;&gt;"",L470&lt;&gt;""),O470*L470*100,"")</f>
        <v/>
      </c>
      <c r="S470" s="48" t="str">
        <f aca="false">IF(AND(P470&lt;&gt;"",L470&lt;&gt;""),P470*L470*100,"")</f>
        <v/>
      </c>
      <c r="T470" s="49" t="str">
        <f aca="false">IF(AND(Q470&lt;&gt;"",R470&lt;&gt;""),R470-Q470,"")</f>
        <v/>
      </c>
      <c r="U470" s="50" t="str">
        <f aca="false">IF(AND(Q470&lt;&gt;"",Q470&lt;&gt;0,T470&lt;&gt;""),T470/Q470,"")</f>
        <v/>
      </c>
      <c r="V470" s="51" t="str">
        <f aca="false">IF(AND(S470&lt;&gt;"",Q470&lt;&gt;""),S470-Q470,"")</f>
        <v/>
      </c>
      <c r="W470" s="52" t="str">
        <f aca="false">IF(AND(Q470&lt;&gt;"",Q470&lt;&gt;0,V470&lt;&gt;""),V470/Q470,"")</f>
        <v/>
      </c>
      <c r="X470" s="53" t="s">
        <v>37</v>
      </c>
      <c r="Y470" s="54" t="str">
        <f aca="false">IF(AND(O470&lt;&gt;"",M470&lt;&gt;"",O470&gt;M470),CONCATENATE("1 : ",TEXT((O470-M470)/M470,"0.00")),IF(AND(O470&lt;&gt;"",M470&lt;&gt;"",O470&lt;M470),CONCATENATE("-1 : ",TEXT((M470-O470)/M470,"0.00")),"—"))</f>
        <v>—</v>
      </c>
      <c r="Z470" s="55" t="str">
        <f aca="false">IF(AND(P470&lt;&gt;"",M470&lt;&gt;"",P470&gt;M470),CONCATENATE("1 : ",TEXT((P470-M470)/M470,"0.00")),"—")</f>
        <v>—</v>
      </c>
      <c r="AA470" s="56" t="str">
        <f aca="false">IF(AND(C470&lt;&gt;"",E470&lt;&gt;""),E470-C470,"")</f>
        <v/>
      </c>
      <c r="AB470" s="42"/>
      <c r="AC470" s="57"/>
      <c r="AD470" s="58"/>
      <c r="AE470" s="59" t="str">
        <f aca="false">IF(G470&lt;&gt;"",HYPERLINK("https://www.tradingview.com/chart/?symbol="&amp;G470&amp;"&amp;interval=60&amp;from="&amp;(AG470-10*3600)&amp;"&amp;to="&amp;(AG470+50*3600),"📈 1H"),"")</f>
        <v/>
      </c>
      <c r="AF470" s="60" t="str">
        <f aca="false">IF(G470&lt;&gt;"",HYPERLINK("https://www.tradingview.com/chart/?symbol="&amp;G470&amp;"&amp;interval=240&amp;from="&amp;(AG470-10*14400)&amp;"&amp;to="&amp;(AG470+50*14400),"📈 4H"),"")</f>
        <v/>
      </c>
      <c r="AG470" s="36" t="str">
        <f aca="false">IF(C470&lt;&gt;"",INT((C470+IF(D470&lt;&gt;"",D470,0)-DATE(1970,1,1))*86400),"")</f>
        <v/>
      </c>
    </row>
    <row r="471" customFormat="false" ht="19.5" hidden="false" customHeight="true" outlineLevel="0" collapsed="false">
      <c r="A471" s="12" t="n">
        <f aca="false">ROW()-4</f>
        <v>467</v>
      </c>
      <c r="B471" s="13"/>
      <c r="C471" s="14"/>
      <c r="D471" s="15"/>
      <c r="E471" s="14"/>
      <c r="F471" s="15"/>
      <c r="G471" s="16"/>
      <c r="H471" s="17"/>
      <c r="I471" s="18"/>
      <c r="J471" s="19"/>
      <c r="K471" s="14"/>
      <c r="L471" s="17"/>
      <c r="M471" s="19"/>
      <c r="N471" s="20"/>
      <c r="O471" s="19"/>
      <c r="P471" s="21"/>
      <c r="Q471" s="22" t="str">
        <f aca="false">IF(L471="","",IF(M471&lt;&gt;"",M471*L471*100,IF(AND(O471&lt;&gt;"",B471&lt;&gt;""),IFERROR(AVERAGEIF($B$5:$B$1004,B471,$M$5:$M$1004)*L471*100,""),"")))</f>
        <v/>
      </c>
      <c r="R471" s="22" t="str">
        <f aca="false">IF(AND(O471&lt;&gt;"",L471&lt;&gt;""),O471*L471*100,"")</f>
        <v/>
      </c>
      <c r="S471" s="23" t="str">
        <f aca="false">IF(AND(P471&lt;&gt;"",L471&lt;&gt;""),P471*L471*100,"")</f>
        <v/>
      </c>
      <c r="T471" s="24" t="str">
        <f aca="false">IF(AND(Q471&lt;&gt;"",R471&lt;&gt;""),R471-Q471,"")</f>
        <v/>
      </c>
      <c r="U471" s="25" t="str">
        <f aca="false">IF(AND(Q471&lt;&gt;"",Q471&lt;&gt;0,T471&lt;&gt;""),T471/Q471,"")</f>
        <v/>
      </c>
      <c r="V471" s="26" t="str">
        <f aca="false">IF(AND(S471&lt;&gt;"",Q471&lt;&gt;""),S471-Q471,"")</f>
        <v/>
      </c>
      <c r="W471" s="27" t="str">
        <f aca="false">IF(AND(Q471&lt;&gt;"",Q471&lt;&gt;0,V471&lt;&gt;""),V471/Q471,"")</f>
        <v/>
      </c>
      <c r="X471" s="28" t="s">
        <v>37</v>
      </c>
      <c r="Y471" s="29" t="str">
        <f aca="false">IF(AND(O471&lt;&gt;"",M471&lt;&gt;"",O471&gt;M471),CONCATENATE("1 : ",TEXT((O471-M471)/M471,"0.00")),IF(AND(O471&lt;&gt;"",M471&lt;&gt;"",O471&lt;M471),CONCATENATE("-1 : ",TEXT((M471-O471)/M471,"0.00")),"—"))</f>
        <v>—</v>
      </c>
      <c r="Z471" s="30" t="str">
        <f aca="false">IF(AND(P471&lt;&gt;"",M471&lt;&gt;"",P471&gt;M471),CONCATENATE("1 : ",TEXT((P471-M471)/M471,"0.00")),"—")</f>
        <v>—</v>
      </c>
      <c r="AA471" s="31" t="str">
        <f aca="false">IF(AND(C471&lt;&gt;"",E471&lt;&gt;""),E471-C471,"")</f>
        <v/>
      </c>
      <c r="AB471" s="17"/>
      <c r="AC471" s="32"/>
      <c r="AD471" s="33"/>
      <c r="AE471" s="34" t="str">
        <f aca="false">IF(G471&lt;&gt;"",HYPERLINK("https://www.tradingview.com/chart/?symbol="&amp;G471&amp;"&amp;interval=60&amp;from="&amp;(AG471-10*3600)&amp;"&amp;to="&amp;(AG471+50*3600),"📈 1H"),"")</f>
        <v/>
      </c>
      <c r="AF471" s="35" t="str">
        <f aca="false">IF(G471&lt;&gt;"",HYPERLINK("https://www.tradingview.com/chart/?symbol="&amp;G471&amp;"&amp;interval=240&amp;from="&amp;(AG471-10*14400)&amp;"&amp;to="&amp;(AG471+50*14400),"📈 4H"),"")</f>
        <v/>
      </c>
      <c r="AG471" s="36" t="str">
        <f aca="false">IF(C471&lt;&gt;"",INT((C471+IF(D471&lt;&gt;"",D471,0)-DATE(1970,1,1))*86400),"")</f>
        <v/>
      </c>
    </row>
    <row r="472" customFormat="false" ht="19.5" hidden="false" customHeight="true" outlineLevel="0" collapsed="false">
      <c r="A472" s="37" t="n">
        <f aca="false">ROW()-4</f>
        <v>468</v>
      </c>
      <c r="B472" s="38"/>
      <c r="C472" s="39"/>
      <c r="D472" s="40"/>
      <c r="E472" s="39"/>
      <c r="F472" s="40"/>
      <c r="G472" s="41"/>
      <c r="H472" s="42"/>
      <c r="I472" s="43"/>
      <c r="J472" s="44"/>
      <c r="K472" s="39"/>
      <c r="L472" s="42"/>
      <c r="M472" s="44"/>
      <c r="N472" s="45"/>
      <c r="O472" s="44"/>
      <c r="P472" s="46"/>
      <c r="Q472" s="47" t="str">
        <f aca="false">IF(L472="","",IF(M472&lt;&gt;"",M472*L472*100,IF(AND(O472&lt;&gt;"",B472&lt;&gt;""),IFERROR(AVERAGEIF($B$5:$B$1004,B472,$M$5:$M$1004)*L472*100,""),"")))</f>
        <v/>
      </c>
      <c r="R472" s="47" t="str">
        <f aca="false">IF(AND(O472&lt;&gt;"",L472&lt;&gt;""),O472*L472*100,"")</f>
        <v/>
      </c>
      <c r="S472" s="48" t="str">
        <f aca="false">IF(AND(P472&lt;&gt;"",L472&lt;&gt;""),P472*L472*100,"")</f>
        <v/>
      </c>
      <c r="T472" s="49" t="str">
        <f aca="false">IF(AND(Q472&lt;&gt;"",R472&lt;&gt;""),R472-Q472,"")</f>
        <v/>
      </c>
      <c r="U472" s="50" t="str">
        <f aca="false">IF(AND(Q472&lt;&gt;"",Q472&lt;&gt;0,T472&lt;&gt;""),T472/Q472,"")</f>
        <v/>
      </c>
      <c r="V472" s="51" t="str">
        <f aca="false">IF(AND(S472&lt;&gt;"",Q472&lt;&gt;""),S472-Q472,"")</f>
        <v/>
      </c>
      <c r="W472" s="52" t="str">
        <f aca="false">IF(AND(Q472&lt;&gt;"",Q472&lt;&gt;0,V472&lt;&gt;""),V472/Q472,"")</f>
        <v/>
      </c>
      <c r="X472" s="53" t="s">
        <v>37</v>
      </c>
      <c r="Y472" s="54" t="str">
        <f aca="false">IF(AND(O472&lt;&gt;"",M472&lt;&gt;"",O472&gt;M472),CONCATENATE("1 : ",TEXT((O472-M472)/M472,"0.00")),IF(AND(O472&lt;&gt;"",M472&lt;&gt;"",O472&lt;M472),CONCATENATE("-1 : ",TEXT((M472-O472)/M472,"0.00")),"—"))</f>
        <v>—</v>
      </c>
      <c r="Z472" s="55" t="str">
        <f aca="false">IF(AND(P472&lt;&gt;"",M472&lt;&gt;"",P472&gt;M472),CONCATENATE("1 : ",TEXT((P472-M472)/M472,"0.00")),"—")</f>
        <v>—</v>
      </c>
      <c r="AA472" s="56" t="str">
        <f aca="false">IF(AND(C472&lt;&gt;"",E472&lt;&gt;""),E472-C472,"")</f>
        <v/>
      </c>
      <c r="AB472" s="42"/>
      <c r="AC472" s="57"/>
      <c r="AD472" s="58"/>
      <c r="AE472" s="59" t="str">
        <f aca="false">IF(G472&lt;&gt;"",HYPERLINK("https://www.tradingview.com/chart/?symbol="&amp;G472&amp;"&amp;interval=60&amp;from="&amp;(AG472-10*3600)&amp;"&amp;to="&amp;(AG472+50*3600),"📈 1H"),"")</f>
        <v/>
      </c>
      <c r="AF472" s="60" t="str">
        <f aca="false">IF(G472&lt;&gt;"",HYPERLINK("https://www.tradingview.com/chart/?symbol="&amp;G472&amp;"&amp;interval=240&amp;from="&amp;(AG472-10*14400)&amp;"&amp;to="&amp;(AG472+50*14400),"📈 4H"),"")</f>
        <v/>
      </c>
      <c r="AG472" s="36" t="str">
        <f aca="false">IF(C472&lt;&gt;"",INT((C472+IF(D472&lt;&gt;"",D472,0)-DATE(1970,1,1))*86400),"")</f>
        <v/>
      </c>
    </row>
    <row r="473" customFormat="false" ht="19.5" hidden="false" customHeight="true" outlineLevel="0" collapsed="false">
      <c r="A473" s="12" t="n">
        <f aca="false">ROW()-4</f>
        <v>469</v>
      </c>
      <c r="B473" s="13"/>
      <c r="C473" s="14"/>
      <c r="D473" s="15"/>
      <c r="E473" s="14"/>
      <c r="F473" s="15"/>
      <c r="G473" s="16"/>
      <c r="H473" s="17"/>
      <c r="I473" s="18"/>
      <c r="J473" s="19"/>
      <c r="K473" s="14"/>
      <c r="L473" s="17"/>
      <c r="M473" s="19"/>
      <c r="N473" s="20"/>
      <c r="O473" s="19"/>
      <c r="P473" s="21"/>
      <c r="Q473" s="22" t="str">
        <f aca="false">IF(L473="","",IF(M473&lt;&gt;"",M473*L473*100,IF(AND(O473&lt;&gt;"",B473&lt;&gt;""),IFERROR(AVERAGEIF($B$5:$B$1004,B473,$M$5:$M$1004)*L473*100,""),"")))</f>
        <v/>
      </c>
      <c r="R473" s="22" t="str">
        <f aca="false">IF(AND(O473&lt;&gt;"",L473&lt;&gt;""),O473*L473*100,"")</f>
        <v/>
      </c>
      <c r="S473" s="23" t="str">
        <f aca="false">IF(AND(P473&lt;&gt;"",L473&lt;&gt;""),P473*L473*100,"")</f>
        <v/>
      </c>
      <c r="T473" s="24" t="str">
        <f aca="false">IF(AND(Q473&lt;&gt;"",R473&lt;&gt;""),R473-Q473,"")</f>
        <v/>
      </c>
      <c r="U473" s="25" t="str">
        <f aca="false">IF(AND(Q473&lt;&gt;"",Q473&lt;&gt;0,T473&lt;&gt;""),T473/Q473,"")</f>
        <v/>
      </c>
      <c r="V473" s="26" t="str">
        <f aca="false">IF(AND(S473&lt;&gt;"",Q473&lt;&gt;""),S473-Q473,"")</f>
        <v/>
      </c>
      <c r="W473" s="27" t="str">
        <f aca="false">IF(AND(Q473&lt;&gt;"",Q473&lt;&gt;0,V473&lt;&gt;""),V473/Q473,"")</f>
        <v/>
      </c>
      <c r="X473" s="28" t="s">
        <v>37</v>
      </c>
      <c r="Y473" s="29" t="str">
        <f aca="false">IF(AND(O473&lt;&gt;"",M473&lt;&gt;"",O473&gt;M473),CONCATENATE("1 : ",TEXT((O473-M473)/M473,"0.00")),IF(AND(O473&lt;&gt;"",M473&lt;&gt;"",O473&lt;M473),CONCATENATE("-1 : ",TEXT((M473-O473)/M473,"0.00")),"—"))</f>
        <v>—</v>
      </c>
      <c r="Z473" s="30" t="str">
        <f aca="false">IF(AND(P473&lt;&gt;"",M473&lt;&gt;"",P473&gt;M473),CONCATENATE("1 : ",TEXT((P473-M473)/M473,"0.00")),"—")</f>
        <v>—</v>
      </c>
      <c r="AA473" s="31" t="str">
        <f aca="false">IF(AND(C473&lt;&gt;"",E473&lt;&gt;""),E473-C473,"")</f>
        <v/>
      </c>
      <c r="AB473" s="17"/>
      <c r="AC473" s="32"/>
      <c r="AD473" s="33"/>
      <c r="AE473" s="34" t="str">
        <f aca="false">IF(G473&lt;&gt;"",HYPERLINK("https://www.tradingview.com/chart/?symbol="&amp;G473&amp;"&amp;interval=60&amp;from="&amp;(AG473-10*3600)&amp;"&amp;to="&amp;(AG473+50*3600),"📈 1H"),"")</f>
        <v/>
      </c>
      <c r="AF473" s="35" t="str">
        <f aca="false">IF(G473&lt;&gt;"",HYPERLINK("https://www.tradingview.com/chart/?symbol="&amp;G473&amp;"&amp;interval=240&amp;from="&amp;(AG473-10*14400)&amp;"&amp;to="&amp;(AG473+50*14400),"📈 4H"),"")</f>
        <v/>
      </c>
      <c r="AG473" s="36" t="str">
        <f aca="false">IF(C473&lt;&gt;"",INT((C473+IF(D473&lt;&gt;"",D473,0)-DATE(1970,1,1))*86400),"")</f>
        <v/>
      </c>
    </row>
    <row r="474" customFormat="false" ht="19.5" hidden="false" customHeight="true" outlineLevel="0" collapsed="false">
      <c r="A474" s="37" t="n">
        <f aca="false">ROW()-4</f>
        <v>470</v>
      </c>
      <c r="B474" s="38"/>
      <c r="C474" s="39"/>
      <c r="D474" s="40"/>
      <c r="E474" s="39"/>
      <c r="F474" s="40"/>
      <c r="G474" s="41"/>
      <c r="H474" s="42"/>
      <c r="I474" s="43"/>
      <c r="J474" s="44"/>
      <c r="K474" s="39"/>
      <c r="L474" s="42"/>
      <c r="M474" s="44"/>
      <c r="N474" s="45"/>
      <c r="O474" s="44"/>
      <c r="P474" s="46"/>
      <c r="Q474" s="47" t="str">
        <f aca="false">IF(L474="","",IF(M474&lt;&gt;"",M474*L474*100,IF(AND(O474&lt;&gt;"",B474&lt;&gt;""),IFERROR(AVERAGEIF($B$5:$B$1004,B474,$M$5:$M$1004)*L474*100,""),"")))</f>
        <v/>
      </c>
      <c r="R474" s="47" t="str">
        <f aca="false">IF(AND(O474&lt;&gt;"",L474&lt;&gt;""),O474*L474*100,"")</f>
        <v/>
      </c>
      <c r="S474" s="48" t="str">
        <f aca="false">IF(AND(P474&lt;&gt;"",L474&lt;&gt;""),P474*L474*100,"")</f>
        <v/>
      </c>
      <c r="T474" s="49" t="str">
        <f aca="false">IF(AND(Q474&lt;&gt;"",R474&lt;&gt;""),R474-Q474,"")</f>
        <v/>
      </c>
      <c r="U474" s="50" t="str">
        <f aca="false">IF(AND(Q474&lt;&gt;"",Q474&lt;&gt;0,T474&lt;&gt;""),T474/Q474,"")</f>
        <v/>
      </c>
      <c r="V474" s="51" t="str">
        <f aca="false">IF(AND(S474&lt;&gt;"",Q474&lt;&gt;""),S474-Q474,"")</f>
        <v/>
      </c>
      <c r="W474" s="52" t="str">
        <f aca="false">IF(AND(Q474&lt;&gt;"",Q474&lt;&gt;0,V474&lt;&gt;""),V474/Q474,"")</f>
        <v/>
      </c>
      <c r="X474" s="53" t="s">
        <v>37</v>
      </c>
      <c r="Y474" s="54" t="str">
        <f aca="false">IF(AND(O474&lt;&gt;"",M474&lt;&gt;"",O474&gt;M474),CONCATENATE("1 : ",TEXT((O474-M474)/M474,"0.00")),IF(AND(O474&lt;&gt;"",M474&lt;&gt;"",O474&lt;M474),CONCATENATE("-1 : ",TEXT((M474-O474)/M474,"0.00")),"—"))</f>
        <v>—</v>
      </c>
      <c r="Z474" s="55" t="str">
        <f aca="false">IF(AND(P474&lt;&gt;"",M474&lt;&gt;"",P474&gt;M474),CONCATENATE("1 : ",TEXT((P474-M474)/M474,"0.00")),"—")</f>
        <v>—</v>
      </c>
      <c r="AA474" s="56" t="str">
        <f aca="false">IF(AND(C474&lt;&gt;"",E474&lt;&gt;""),E474-C474,"")</f>
        <v/>
      </c>
      <c r="AB474" s="42"/>
      <c r="AC474" s="57"/>
      <c r="AD474" s="58"/>
      <c r="AE474" s="59" t="str">
        <f aca="false">IF(G474&lt;&gt;"",HYPERLINK("https://www.tradingview.com/chart/?symbol="&amp;G474&amp;"&amp;interval=60&amp;from="&amp;(AG474-10*3600)&amp;"&amp;to="&amp;(AG474+50*3600),"📈 1H"),"")</f>
        <v/>
      </c>
      <c r="AF474" s="60" t="str">
        <f aca="false">IF(G474&lt;&gt;"",HYPERLINK("https://www.tradingview.com/chart/?symbol="&amp;G474&amp;"&amp;interval=240&amp;from="&amp;(AG474-10*14400)&amp;"&amp;to="&amp;(AG474+50*14400),"📈 4H"),"")</f>
        <v/>
      </c>
      <c r="AG474" s="36" t="str">
        <f aca="false">IF(C474&lt;&gt;"",INT((C474+IF(D474&lt;&gt;"",D474,0)-DATE(1970,1,1))*86400),"")</f>
        <v/>
      </c>
    </row>
    <row r="475" customFormat="false" ht="19.5" hidden="false" customHeight="true" outlineLevel="0" collapsed="false">
      <c r="A475" s="12" t="n">
        <f aca="false">ROW()-4</f>
        <v>471</v>
      </c>
      <c r="B475" s="13"/>
      <c r="C475" s="14"/>
      <c r="D475" s="15"/>
      <c r="E475" s="14"/>
      <c r="F475" s="15"/>
      <c r="G475" s="16"/>
      <c r="H475" s="17"/>
      <c r="I475" s="18"/>
      <c r="J475" s="19"/>
      <c r="K475" s="14"/>
      <c r="L475" s="17"/>
      <c r="M475" s="19"/>
      <c r="N475" s="20"/>
      <c r="O475" s="19"/>
      <c r="P475" s="21"/>
      <c r="Q475" s="22" t="str">
        <f aca="false">IF(L475="","",IF(M475&lt;&gt;"",M475*L475*100,IF(AND(O475&lt;&gt;"",B475&lt;&gt;""),IFERROR(AVERAGEIF($B$5:$B$1004,B475,$M$5:$M$1004)*L475*100,""),"")))</f>
        <v/>
      </c>
      <c r="R475" s="22" t="str">
        <f aca="false">IF(AND(O475&lt;&gt;"",L475&lt;&gt;""),O475*L475*100,"")</f>
        <v/>
      </c>
      <c r="S475" s="23" t="str">
        <f aca="false">IF(AND(P475&lt;&gt;"",L475&lt;&gt;""),P475*L475*100,"")</f>
        <v/>
      </c>
      <c r="T475" s="24" t="str">
        <f aca="false">IF(AND(Q475&lt;&gt;"",R475&lt;&gt;""),R475-Q475,"")</f>
        <v/>
      </c>
      <c r="U475" s="25" t="str">
        <f aca="false">IF(AND(Q475&lt;&gt;"",Q475&lt;&gt;0,T475&lt;&gt;""),T475/Q475,"")</f>
        <v/>
      </c>
      <c r="V475" s="26" t="str">
        <f aca="false">IF(AND(S475&lt;&gt;"",Q475&lt;&gt;""),S475-Q475,"")</f>
        <v/>
      </c>
      <c r="W475" s="27" t="str">
        <f aca="false">IF(AND(Q475&lt;&gt;"",Q475&lt;&gt;0,V475&lt;&gt;""),V475/Q475,"")</f>
        <v/>
      </c>
      <c r="X475" s="28" t="s">
        <v>37</v>
      </c>
      <c r="Y475" s="29" t="str">
        <f aca="false">IF(AND(O475&lt;&gt;"",M475&lt;&gt;"",O475&gt;M475),CONCATENATE("1 : ",TEXT((O475-M475)/M475,"0.00")),IF(AND(O475&lt;&gt;"",M475&lt;&gt;"",O475&lt;M475),CONCATENATE("-1 : ",TEXT((M475-O475)/M475,"0.00")),"—"))</f>
        <v>—</v>
      </c>
      <c r="Z475" s="30" t="str">
        <f aca="false">IF(AND(P475&lt;&gt;"",M475&lt;&gt;"",P475&gt;M475),CONCATENATE("1 : ",TEXT((P475-M475)/M475,"0.00")),"—")</f>
        <v>—</v>
      </c>
      <c r="AA475" s="31" t="str">
        <f aca="false">IF(AND(C475&lt;&gt;"",E475&lt;&gt;""),E475-C475,"")</f>
        <v/>
      </c>
      <c r="AB475" s="17"/>
      <c r="AC475" s="32"/>
      <c r="AD475" s="33"/>
      <c r="AE475" s="34" t="str">
        <f aca="false">IF(G475&lt;&gt;"",HYPERLINK("https://www.tradingview.com/chart/?symbol="&amp;G475&amp;"&amp;interval=60&amp;from="&amp;(AG475-10*3600)&amp;"&amp;to="&amp;(AG475+50*3600),"📈 1H"),"")</f>
        <v/>
      </c>
      <c r="AF475" s="35" t="str">
        <f aca="false">IF(G475&lt;&gt;"",HYPERLINK("https://www.tradingview.com/chart/?symbol="&amp;G475&amp;"&amp;interval=240&amp;from="&amp;(AG475-10*14400)&amp;"&amp;to="&amp;(AG475+50*14400),"📈 4H"),"")</f>
        <v/>
      </c>
      <c r="AG475" s="36" t="str">
        <f aca="false">IF(C475&lt;&gt;"",INT((C475+IF(D475&lt;&gt;"",D475,0)-DATE(1970,1,1))*86400),"")</f>
        <v/>
      </c>
    </row>
    <row r="476" customFormat="false" ht="19.5" hidden="false" customHeight="true" outlineLevel="0" collapsed="false">
      <c r="A476" s="37" t="n">
        <f aca="false">ROW()-4</f>
        <v>472</v>
      </c>
      <c r="B476" s="38"/>
      <c r="C476" s="39"/>
      <c r="D476" s="40"/>
      <c r="E476" s="39"/>
      <c r="F476" s="40"/>
      <c r="G476" s="41"/>
      <c r="H476" s="42"/>
      <c r="I476" s="43"/>
      <c r="J476" s="44"/>
      <c r="K476" s="39"/>
      <c r="L476" s="42"/>
      <c r="M476" s="44"/>
      <c r="N476" s="45"/>
      <c r="O476" s="44"/>
      <c r="P476" s="46"/>
      <c r="Q476" s="47" t="str">
        <f aca="false">IF(L476="","",IF(M476&lt;&gt;"",M476*L476*100,IF(AND(O476&lt;&gt;"",B476&lt;&gt;""),IFERROR(AVERAGEIF($B$5:$B$1004,B476,$M$5:$M$1004)*L476*100,""),"")))</f>
        <v/>
      </c>
      <c r="R476" s="47" t="str">
        <f aca="false">IF(AND(O476&lt;&gt;"",L476&lt;&gt;""),O476*L476*100,"")</f>
        <v/>
      </c>
      <c r="S476" s="48" t="str">
        <f aca="false">IF(AND(P476&lt;&gt;"",L476&lt;&gt;""),P476*L476*100,"")</f>
        <v/>
      </c>
      <c r="T476" s="49" t="str">
        <f aca="false">IF(AND(Q476&lt;&gt;"",R476&lt;&gt;""),R476-Q476,"")</f>
        <v/>
      </c>
      <c r="U476" s="50" t="str">
        <f aca="false">IF(AND(Q476&lt;&gt;"",Q476&lt;&gt;0,T476&lt;&gt;""),T476/Q476,"")</f>
        <v/>
      </c>
      <c r="V476" s="51" t="str">
        <f aca="false">IF(AND(S476&lt;&gt;"",Q476&lt;&gt;""),S476-Q476,"")</f>
        <v/>
      </c>
      <c r="W476" s="52" t="str">
        <f aca="false">IF(AND(Q476&lt;&gt;"",Q476&lt;&gt;0,V476&lt;&gt;""),V476/Q476,"")</f>
        <v/>
      </c>
      <c r="X476" s="53" t="s">
        <v>37</v>
      </c>
      <c r="Y476" s="54" t="str">
        <f aca="false">IF(AND(O476&lt;&gt;"",M476&lt;&gt;"",O476&gt;M476),CONCATENATE("1 : ",TEXT((O476-M476)/M476,"0.00")),IF(AND(O476&lt;&gt;"",M476&lt;&gt;"",O476&lt;M476),CONCATENATE("-1 : ",TEXT((M476-O476)/M476,"0.00")),"—"))</f>
        <v>—</v>
      </c>
      <c r="Z476" s="55" t="str">
        <f aca="false">IF(AND(P476&lt;&gt;"",M476&lt;&gt;"",P476&gt;M476),CONCATENATE("1 : ",TEXT((P476-M476)/M476,"0.00")),"—")</f>
        <v>—</v>
      </c>
      <c r="AA476" s="56" t="str">
        <f aca="false">IF(AND(C476&lt;&gt;"",E476&lt;&gt;""),E476-C476,"")</f>
        <v/>
      </c>
      <c r="AB476" s="42"/>
      <c r="AC476" s="57"/>
      <c r="AD476" s="58"/>
      <c r="AE476" s="59" t="str">
        <f aca="false">IF(G476&lt;&gt;"",HYPERLINK("https://www.tradingview.com/chart/?symbol="&amp;G476&amp;"&amp;interval=60&amp;from="&amp;(AG476-10*3600)&amp;"&amp;to="&amp;(AG476+50*3600),"📈 1H"),"")</f>
        <v/>
      </c>
      <c r="AF476" s="60" t="str">
        <f aca="false">IF(G476&lt;&gt;"",HYPERLINK("https://www.tradingview.com/chart/?symbol="&amp;G476&amp;"&amp;interval=240&amp;from="&amp;(AG476-10*14400)&amp;"&amp;to="&amp;(AG476+50*14400),"📈 4H"),"")</f>
        <v/>
      </c>
      <c r="AG476" s="36" t="str">
        <f aca="false">IF(C476&lt;&gt;"",INT((C476+IF(D476&lt;&gt;"",D476,0)-DATE(1970,1,1))*86400),"")</f>
        <v/>
      </c>
    </row>
    <row r="477" customFormat="false" ht="19.5" hidden="false" customHeight="true" outlineLevel="0" collapsed="false">
      <c r="A477" s="12" t="n">
        <f aca="false">ROW()-4</f>
        <v>473</v>
      </c>
      <c r="B477" s="13"/>
      <c r="C477" s="14"/>
      <c r="D477" s="15"/>
      <c r="E477" s="14"/>
      <c r="F477" s="15"/>
      <c r="G477" s="16"/>
      <c r="H477" s="17"/>
      <c r="I477" s="18"/>
      <c r="J477" s="19"/>
      <c r="K477" s="14"/>
      <c r="L477" s="17"/>
      <c r="M477" s="19"/>
      <c r="N477" s="20"/>
      <c r="O477" s="19"/>
      <c r="P477" s="21"/>
      <c r="Q477" s="22" t="str">
        <f aca="false">IF(L477="","",IF(M477&lt;&gt;"",M477*L477*100,IF(AND(O477&lt;&gt;"",B477&lt;&gt;""),IFERROR(AVERAGEIF($B$5:$B$1004,B477,$M$5:$M$1004)*L477*100,""),"")))</f>
        <v/>
      </c>
      <c r="R477" s="22" t="str">
        <f aca="false">IF(AND(O477&lt;&gt;"",L477&lt;&gt;""),O477*L477*100,"")</f>
        <v/>
      </c>
      <c r="S477" s="23" t="str">
        <f aca="false">IF(AND(P477&lt;&gt;"",L477&lt;&gt;""),P477*L477*100,"")</f>
        <v/>
      </c>
      <c r="T477" s="24" t="str">
        <f aca="false">IF(AND(Q477&lt;&gt;"",R477&lt;&gt;""),R477-Q477,"")</f>
        <v/>
      </c>
      <c r="U477" s="25" t="str">
        <f aca="false">IF(AND(Q477&lt;&gt;"",Q477&lt;&gt;0,T477&lt;&gt;""),T477/Q477,"")</f>
        <v/>
      </c>
      <c r="V477" s="26" t="str">
        <f aca="false">IF(AND(S477&lt;&gt;"",Q477&lt;&gt;""),S477-Q477,"")</f>
        <v/>
      </c>
      <c r="W477" s="27" t="str">
        <f aca="false">IF(AND(Q477&lt;&gt;"",Q477&lt;&gt;0,V477&lt;&gt;""),V477/Q477,"")</f>
        <v/>
      </c>
      <c r="X477" s="28" t="s">
        <v>37</v>
      </c>
      <c r="Y477" s="29" t="str">
        <f aca="false">IF(AND(O477&lt;&gt;"",M477&lt;&gt;"",O477&gt;M477),CONCATENATE("1 : ",TEXT((O477-M477)/M477,"0.00")),IF(AND(O477&lt;&gt;"",M477&lt;&gt;"",O477&lt;M477),CONCATENATE("-1 : ",TEXT((M477-O477)/M477,"0.00")),"—"))</f>
        <v>—</v>
      </c>
      <c r="Z477" s="30" t="str">
        <f aca="false">IF(AND(P477&lt;&gt;"",M477&lt;&gt;"",P477&gt;M477),CONCATENATE("1 : ",TEXT((P477-M477)/M477,"0.00")),"—")</f>
        <v>—</v>
      </c>
      <c r="AA477" s="31" t="str">
        <f aca="false">IF(AND(C477&lt;&gt;"",E477&lt;&gt;""),E477-C477,"")</f>
        <v/>
      </c>
      <c r="AB477" s="17"/>
      <c r="AC477" s="32"/>
      <c r="AD477" s="33"/>
      <c r="AE477" s="34" t="str">
        <f aca="false">IF(G477&lt;&gt;"",HYPERLINK("https://www.tradingview.com/chart/?symbol="&amp;G477&amp;"&amp;interval=60&amp;from="&amp;(AG477-10*3600)&amp;"&amp;to="&amp;(AG477+50*3600),"📈 1H"),"")</f>
        <v/>
      </c>
      <c r="AF477" s="35" t="str">
        <f aca="false">IF(G477&lt;&gt;"",HYPERLINK("https://www.tradingview.com/chart/?symbol="&amp;G477&amp;"&amp;interval=240&amp;from="&amp;(AG477-10*14400)&amp;"&amp;to="&amp;(AG477+50*14400),"📈 4H"),"")</f>
        <v/>
      </c>
      <c r="AG477" s="36" t="str">
        <f aca="false">IF(C477&lt;&gt;"",INT((C477+IF(D477&lt;&gt;"",D477,0)-DATE(1970,1,1))*86400),"")</f>
        <v/>
      </c>
    </row>
    <row r="478" customFormat="false" ht="19.5" hidden="false" customHeight="true" outlineLevel="0" collapsed="false">
      <c r="A478" s="37" t="n">
        <f aca="false">ROW()-4</f>
        <v>474</v>
      </c>
      <c r="B478" s="38"/>
      <c r="C478" s="39"/>
      <c r="D478" s="40"/>
      <c r="E478" s="39"/>
      <c r="F478" s="40"/>
      <c r="G478" s="41"/>
      <c r="H478" s="42"/>
      <c r="I478" s="43"/>
      <c r="J478" s="44"/>
      <c r="K478" s="39"/>
      <c r="L478" s="42"/>
      <c r="M478" s="44"/>
      <c r="N478" s="45"/>
      <c r="O478" s="44"/>
      <c r="P478" s="46"/>
      <c r="Q478" s="47" t="str">
        <f aca="false">IF(L478="","",IF(M478&lt;&gt;"",M478*L478*100,IF(AND(O478&lt;&gt;"",B478&lt;&gt;""),IFERROR(AVERAGEIF($B$5:$B$1004,B478,$M$5:$M$1004)*L478*100,""),"")))</f>
        <v/>
      </c>
      <c r="R478" s="47" t="str">
        <f aca="false">IF(AND(O478&lt;&gt;"",L478&lt;&gt;""),O478*L478*100,"")</f>
        <v/>
      </c>
      <c r="S478" s="48" t="str">
        <f aca="false">IF(AND(P478&lt;&gt;"",L478&lt;&gt;""),P478*L478*100,"")</f>
        <v/>
      </c>
      <c r="T478" s="49" t="str">
        <f aca="false">IF(AND(Q478&lt;&gt;"",R478&lt;&gt;""),R478-Q478,"")</f>
        <v/>
      </c>
      <c r="U478" s="50" t="str">
        <f aca="false">IF(AND(Q478&lt;&gt;"",Q478&lt;&gt;0,T478&lt;&gt;""),T478/Q478,"")</f>
        <v/>
      </c>
      <c r="V478" s="51" t="str">
        <f aca="false">IF(AND(S478&lt;&gt;"",Q478&lt;&gt;""),S478-Q478,"")</f>
        <v/>
      </c>
      <c r="W478" s="52" t="str">
        <f aca="false">IF(AND(Q478&lt;&gt;"",Q478&lt;&gt;0,V478&lt;&gt;""),V478/Q478,"")</f>
        <v/>
      </c>
      <c r="X478" s="53" t="s">
        <v>37</v>
      </c>
      <c r="Y478" s="54" t="str">
        <f aca="false">IF(AND(O478&lt;&gt;"",M478&lt;&gt;"",O478&gt;M478),CONCATENATE("1 : ",TEXT((O478-M478)/M478,"0.00")),IF(AND(O478&lt;&gt;"",M478&lt;&gt;"",O478&lt;M478),CONCATENATE("-1 : ",TEXT((M478-O478)/M478,"0.00")),"—"))</f>
        <v>—</v>
      </c>
      <c r="Z478" s="55" t="str">
        <f aca="false">IF(AND(P478&lt;&gt;"",M478&lt;&gt;"",P478&gt;M478),CONCATENATE("1 : ",TEXT((P478-M478)/M478,"0.00")),"—")</f>
        <v>—</v>
      </c>
      <c r="AA478" s="56" t="str">
        <f aca="false">IF(AND(C478&lt;&gt;"",E478&lt;&gt;""),E478-C478,"")</f>
        <v/>
      </c>
      <c r="AB478" s="42"/>
      <c r="AC478" s="57"/>
      <c r="AD478" s="58"/>
      <c r="AE478" s="59" t="str">
        <f aca="false">IF(G478&lt;&gt;"",HYPERLINK("https://www.tradingview.com/chart/?symbol="&amp;G478&amp;"&amp;interval=60&amp;from="&amp;(AG478-10*3600)&amp;"&amp;to="&amp;(AG478+50*3600),"📈 1H"),"")</f>
        <v/>
      </c>
      <c r="AF478" s="60" t="str">
        <f aca="false">IF(G478&lt;&gt;"",HYPERLINK("https://www.tradingview.com/chart/?symbol="&amp;G478&amp;"&amp;interval=240&amp;from="&amp;(AG478-10*14400)&amp;"&amp;to="&amp;(AG478+50*14400),"📈 4H"),"")</f>
        <v/>
      </c>
      <c r="AG478" s="36" t="str">
        <f aca="false">IF(C478&lt;&gt;"",INT((C478+IF(D478&lt;&gt;"",D478,0)-DATE(1970,1,1))*86400),"")</f>
        <v/>
      </c>
    </row>
    <row r="479" customFormat="false" ht="19.5" hidden="false" customHeight="true" outlineLevel="0" collapsed="false">
      <c r="A479" s="12" t="n">
        <f aca="false">ROW()-4</f>
        <v>475</v>
      </c>
      <c r="B479" s="13"/>
      <c r="C479" s="14"/>
      <c r="D479" s="15"/>
      <c r="E479" s="14"/>
      <c r="F479" s="15"/>
      <c r="G479" s="16"/>
      <c r="H479" s="17"/>
      <c r="I479" s="18"/>
      <c r="J479" s="19"/>
      <c r="K479" s="14"/>
      <c r="L479" s="17"/>
      <c r="M479" s="19"/>
      <c r="N479" s="20"/>
      <c r="O479" s="19"/>
      <c r="P479" s="21"/>
      <c r="Q479" s="22" t="str">
        <f aca="false">IF(L479="","",IF(M479&lt;&gt;"",M479*L479*100,IF(AND(O479&lt;&gt;"",B479&lt;&gt;""),IFERROR(AVERAGEIF($B$5:$B$1004,B479,$M$5:$M$1004)*L479*100,""),"")))</f>
        <v/>
      </c>
      <c r="R479" s="22" t="str">
        <f aca="false">IF(AND(O479&lt;&gt;"",L479&lt;&gt;""),O479*L479*100,"")</f>
        <v/>
      </c>
      <c r="S479" s="23" t="str">
        <f aca="false">IF(AND(P479&lt;&gt;"",L479&lt;&gt;""),P479*L479*100,"")</f>
        <v/>
      </c>
      <c r="T479" s="24" t="str">
        <f aca="false">IF(AND(Q479&lt;&gt;"",R479&lt;&gt;""),R479-Q479,"")</f>
        <v/>
      </c>
      <c r="U479" s="25" t="str">
        <f aca="false">IF(AND(Q479&lt;&gt;"",Q479&lt;&gt;0,T479&lt;&gt;""),T479/Q479,"")</f>
        <v/>
      </c>
      <c r="V479" s="26" t="str">
        <f aca="false">IF(AND(S479&lt;&gt;"",Q479&lt;&gt;""),S479-Q479,"")</f>
        <v/>
      </c>
      <c r="W479" s="27" t="str">
        <f aca="false">IF(AND(Q479&lt;&gt;"",Q479&lt;&gt;0,V479&lt;&gt;""),V479/Q479,"")</f>
        <v/>
      </c>
      <c r="X479" s="28" t="s">
        <v>37</v>
      </c>
      <c r="Y479" s="29" t="str">
        <f aca="false">IF(AND(O479&lt;&gt;"",M479&lt;&gt;"",O479&gt;M479),CONCATENATE("1 : ",TEXT((O479-M479)/M479,"0.00")),IF(AND(O479&lt;&gt;"",M479&lt;&gt;"",O479&lt;M479),CONCATENATE("-1 : ",TEXT((M479-O479)/M479,"0.00")),"—"))</f>
        <v>—</v>
      </c>
      <c r="Z479" s="30" t="str">
        <f aca="false">IF(AND(P479&lt;&gt;"",M479&lt;&gt;"",P479&gt;M479),CONCATENATE("1 : ",TEXT((P479-M479)/M479,"0.00")),"—")</f>
        <v>—</v>
      </c>
      <c r="AA479" s="31" t="str">
        <f aca="false">IF(AND(C479&lt;&gt;"",E479&lt;&gt;""),E479-C479,"")</f>
        <v/>
      </c>
      <c r="AB479" s="17"/>
      <c r="AC479" s="32"/>
      <c r="AD479" s="33"/>
      <c r="AE479" s="34" t="str">
        <f aca="false">IF(G479&lt;&gt;"",HYPERLINK("https://www.tradingview.com/chart/?symbol="&amp;G479&amp;"&amp;interval=60&amp;from="&amp;(AG479-10*3600)&amp;"&amp;to="&amp;(AG479+50*3600),"📈 1H"),"")</f>
        <v/>
      </c>
      <c r="AF479" s="35" t="str">
        <f aca="false">IF(G479&lt;&gt;"",HYPERLINK("https://www.tradingview.com/chart/?symbol="&amp;G479&amp;"&amp;interval=240&amp;from="&amp;(AG479-10*14400)&amp;"&amp;to="&amp;(AG479+50*14400),"📈 4H"),"")</f>
        <v/>
      </c>
      <c r="AG479" s="36" t="str">
        <f aca="false">IF(C479&lt;&gt;"",INT((C479+IF(D479&lt;&gt;"",D479,0)-DATE(1970,1,1))*86400),"")</f>
        <v/>
      </c>
    </row>
    <row r="480" customFormat="false" ht="19.5" hidden="false" customHeight="true" outlineLevel="0" collapsed="false">
      <c r="A480" s="37" t="n">
        <f aca="false">ROW()-4</f>
        <v>476</v>
      </c>
      <c r="B480" s="38"/>
      <c r="C480" s="39"/>
      <c r="D480" s="40"/>
      <c r="E480" s="39"/>
      <c r="F480" s="40"/>
      <c r="G480" s="41"/>
      <c r="H480" s="42"/>
      <c r="I480" s="43"/>
      <c r="J480" s="44"/>
      <c r="K480" s="39"/>
      <c r="L480" s="42"/>
      <c r="M480" s="44"/>
      <c r="N480" s="45"/>
      <c r="O480" s="44"/>
      <c r="P480" s="46"/>
      <c r="Q480" s="47" t="str">
        <f aca="false">IF(L480="","",IF(M480&lt;&gt;"",M480*L480*100,IF(AND(O480&lt;&gt;"",B480&lt;&gt;""),IFERROR(AVERAGEIF($B$5:$B$1004,B480,$M$5:$M$1004)*L480*100,""),"")))</f>
        <v/>
      </c>
      <c r="R480" s="47" t="str">
        <f aca="false">IF(AND(O480&lt;&gt;"",L480&lt;&gt;""),O480*L480*100,"")</f>
        <v/>
      </c>
      <c r="S480" s="48" t="str">
        <f aca="false">IF(AND(P480&lt;&gt;"",L480&lt;&gt;""),P480*L480*100,"")</f>
        <v/>
      </c>
      <c r="T480" s="49" t="str">
        <f aca="false">IF(AND(Q480&lt;&gt;"",R480&lt;&gt;""),R480-Q480,"")</f>
        <v/>
      </c>
      <c r="U480" s="50" t="str">
        <f aca="false">IF(AND(Q480&lt;&gt;"",Q480&lt;&gt;0,T480&lt;&gt;""),T480/Q480,"")</f>
        <v/>
      </c>
      <c r="V480" s="51" t="str">
        <f aca="false">IF(AND(S480&lt;&gt;"",Q480&lt;&gt;""),S480-Q480,"")</f>
        <v/>
      </c>
      <c r="W480" s="52" t="str">
        <f aca="false">IF(AND(Q480&lt;&gt;"",Q480&lt;&gt;0,V480&lt;&gt;""),V480/Q480,"")</f>
        <v/>
      </c>
      <c r="X480" s="53" t="s">
        <v>37</v>
      </c>
      <c r="Y480" s="54" t="str">
        <f aca="false">IF(AND(O480&lt;&gt;"",M480&lt;&gt;"",O480&gt;M480),CONCATENATE("1 : ",TEXT((O480-M480)/M480,"0.00")),IF(AND(O480&lt;&gt;"",M480&lt;&gt;"",O480&lt;M480),CONCATENATE("-1 : ",TEXT((M480-O480)/M480,"0.00")),"—"))</f>
        <v>—</v>
      </c>
      <c r="Z480" s="55" t="str">
        <f aca="false">IF(AND(P480&lt;&gt;"",M480&lt;&gt;"",P480&gt;M480),CONCATENATE("1 : ",TEXT((P480-M480)/M480,"0.00")),"—")</f>
        <v>—</v>
      </c>
      <c r="AA480" s="56" t="str">
        <f aca="false">IF(AND(C480&lt;&gt;"",E480&lt;&gt;""),E480-C480,"")</f>
        <v/>
      </c>
      <c r="AB480" s="42"/>
      <c r="AC480" s="57"/>
      <c r="AD480" s="58"/>
      <c r="AE480" s="59" t="str">
        <f aca="false">IF(G480&lt;&gt;"",HYPERLINK("https://www.tradingview.com/chart/?symbol="&amp;G480&amp;"&amp;interval=60&amp;from="&amp;(AG480-10*3600)&amp;"&amp;to="&amp;(AG480+50*3600),"📈 1H"),"")</f>
        <v/>
      </c>
      <c r="AF480" s="60" t="str">
        <f aca="false">IF(G480&lt;&gt;"",HYPERLINK("https://www.tradingview.com/chart/?symbol="&amp;G480&amp;"&amp;interval=240&amp;from="&amp;(AG480-10*14400)&amp;"&amp;to="&amp;(AG480+50*14400),"📈 4H"),"")</f>
        <v/>
      </c>
      <c r="AG480" s="36" t="str">
        <f aca="false">IF(C480&lt;&gt;"",INT((C480+IF(D480&lt;&gt;"",D480,0)-DATE(1970,1,1))*86400),"")</f>
        <v/>
      </c>
    </row>
    <row r="481" customFormat="false" ht="19.5" hidden="false" customHeight="true" outlineLevel="0" collapsed="false">
      <c r="A481" s="12" t="n">
        <f aca="false">ROW()-4</f>
        <v>477</v>
      </c>
      <c r="B481" s="13"/>
      <c r="C481" s="14"/>
      <c r="D481" s="15"/>
      <c r="E481" s="14"/>
      <c r="F481" s="15"/>
      <c r="G481" s="16"/>
      <c r="H481" s="17"/>
      <c r="I481" s="18"/>
      <c r="J481" s="19"/>
      <c r="K481" s="14"/>
      <c r="L481" s="17"/>
      <c r="M481" s="19"/>
      <c r="N481" s="20"/>
      <c r="O481" s="19"/>
      <c r="P481" s="21"/>
      <c r="Q481" s="22" t="str">
        <f aca="false">IF(L481="","",IF(M481&lt;&gt;"",M481*L481*100,IF(AND(O481&lt;&gt;"",B481&lt;&gt;""),IFERROR(AVERAGEIF($B$5:$B$1004,B481,$M$5:$M$1004)*L481*100,""),"")))</f>
        <v/>
      </c>
      <c r="R481" s="22" t="str">
        <f aca="false">IF(AND(O481&lt;&gt;"",L481&lt;&gt;""),O481*L481*100,"")</f>
        <v/>
      </c>
      <c r="S481" s="23" t="str">
        <f aca="false">IF(AND(P481&lt;&gt;"",L481&lt;&gt;""),P481*L481*100,"")</f>
        <v/>
      </c>
      <c r="T481" s="24" t="str">
        <f aca="false">IF(AND(Q481&lt;&gt;"",R481&lt;&gt;""),R481-Q481,"")</f>
        <v/>
      </c>
      <c r="U481" s="25" t="str">
        <f aca="false">IF(AND(Q481&lt;&gt;"",Q481&lt;&gt;0,T481&lt;&gt;""),T481/Q481,"")</f>
        <v/>
      </c>
      <c r="V481" s="26" t="str">
        <f aca="false">IF(AND(S481&lt;&gt;"",Q481&lt;&gt;""),S481-Q481,"")</f>
        <v/>
      </c>
      <c r="W481" s="27" t="str">
        <f aca="false">IF(AND(Q481&lt;&gt;"",Q481&lt;&gt;0,V481&lt;&gt;""),V481/Q481,"")</f>
        <v/>
      </c>
      <c r="X481" s="28" t="s">
        <v>37</v>
      </c>
      <c r="Y481" s="29" t="str">
        <f aca="false">IF(AND(O481&lt;&gt;"",M481&lt;&gt;"",O481&gt;M481),CONCATENATE("1 : ",TEXT((O481-M481)/M481,"0.00")),IF(AND(O481&lt;&gt;"",M481&lt;&gt;"",O481&lt;M481),CONCATENATE("-1 : ",TEXT((M481-O481)/M481,"0.00")),"—"))</f>
        <v>—</v>
      </c>
      <c r="Z481" s="30" t="str">
        <f aca="false">IF(AND(P481&lt;&gt;"",M481&lt;&gt;"",P481&gt;M481),CONCATENATE("1 : ",TEXT((P481-M481)/M481,"0.00")),"—")</f>
        <v>—</v>
      </c>
      <c r="AA481" s="31" t="str">
        <f aca="false">IF(AND(C481&lt;&gt;"",E481&lt;&gt;""),E481-C481,"")</f>
        <v/>
      </c>
      <c r="AB481" s="17"/>
      <c r="AC481" s="32"/>
      <c r="AD481" s="33"/>
      <c r="AE481" s="34" t="str">
        <f aca="false">IF(G481&lt;&gt;"",HYPERLINK("https://www.tradingview.com/chart/?symbol="&amp;G481&amp;"&amp;interval=60&amp;from="&amp;(AG481-10*3600)&amp;"&amp;to="&amp;(AG481+50*3600),"📈 1H"),"")</f>
        <v/>
      </c>
      <c r="AF481" s="35" t="str">
        <f aca="false">IF(G481&lt;&gt;"",HYPERLINK("https://www.tradingview.com/chart/?symbol="&amp;G481&amp;"&amp;interval=240&amp;from="&amp;(AG481-10*14400)&amp;"&amp;to="&amp;(AG481+50*14400),"📈 4H"),"")</f>
        <v/>
      </c>
      <c r="AG481" s="36" t="str">
        <f aca="false">IF(C481&lt;&gt;"",INT((C481+IF(D481&lt;&gt;"",D481,0)-DATE(1970,1,1))*86400),"")</f>
        <v/>
      </c>
    </row>
    <row r="482" customFormat="false" ht="19.5" hidden="false" customHeight="true" outlineLevel="0" collapsed="false">
      <c r="A482" s="37" t="n">
        <f aca="false">ROW()-4</f>
        <v>478</v>
      </c>
      <c r="B482" s="38"/>
      <c r="C482" s="39"/>
      <c r="D482" s="40"/>
      <c r="E482" s="39"/>
      <c r="F482" s="40"/>
      <c r="G482" s="41"/>
      <c r="H482" s="42"/>
      <c r="I482" s="43"/>
      <c r="J482" s="44"/>
      <c r="K482" s="39"/>
      <c r="L482" s="42"/>
      <c r="M482" s="44"/>
      <c r="N482" s="45"/>
      <c r="O482" s="44"/>
      <c r="P482" s="46"/>
      <c r="Q482" s="47" t="str">
        <f aca="false">IF(L482="","",IF(M482&lt;&gt;"",M482*L482*100,IF(AND(O482&lt;&gt;"",B482&lt;&gt;""),IFERROR(AVERAGEIF($B$5:$B$1004,B482,$M$5:$M$1004)*L482*100,""),"")))</f>
        <v/>
      </c>
      <c r="R482" s="47" t="str">
        <f aca="false">IF(AND(O482&lt;&gt;"",L482&lt;&gt;""),O482*L482*100,"")</f>
        <v/>
      </c>
      <c r="S482" s="48" t="str">
        <f aca="false">IF(AND(P482&lt;&gt;"",L482&lt;&gt;""),P482*L482*100,"")</f>
        <v/>
      </c>
      <c r="T482" s="49" t="str">
        <f aca="false">IF(AND(Q482&lt;&gt;"",R482&lt;&gt;""),R482-Q482,"")</f>
        <v/>
      </c>
      <c r="U482" s="50" t="str">
        <f aca="false">IF(AND(Q482&lt;&gt;"",Q482&lt;&gt;0,T482&lt;&gt;""),T482/Q482,"")</f>
        <v/>
      </c>
      <c r="V482" s="51" t="str">
        <f aca="false">IF(AND(S482&lt;&gt;"",Q482&lt;&gt;""),S482-Q482,"")</f>
        <v/>
      </c>
      <c r="W482" s="52" t="str">
        <f aca="false">IF(AND(Q482&lt;&gt;"",Q482&lt;&gt;0,V482&lt;&gt;""),V482/Q482,"")</f>
        <v/>
      </c>
      <c r="X482" s="53" t="s">
        <v>37</v>
      </c>
      <c r="Y482" s="54" t="str">
        <f aca="false">IF(AND(O482&lt;&gt;"",M482&lt;&gt;"",O482&gt;M482),CONCATENATE("1 : ",TEXT((O482-M482)/M482,"0.00")),IF(AND(O482&lt;&gt;"",M482&lt;&gt;"",O482&lt;M482),CONCATENATE("-1 : ",TEXT((M482-O482)/M482,"0.00")),"—"))</f>
        <v>—</v>
      </c>
      <c r="Z482" s="55" t="str">
        <f aca="false">IF(AND(P482&lt;&gt;"",M482&lt;&gt;"",P482&gt;M482),CONCATENATE("1 : ",TEXT((P482-M482)/M482,"0.00")),"—")</f>
        <v>—</v>
      </c>
      <c r="AA482" s="56" t="str">
        <f aca="false">IF(AND(C482&lt;&gt;"",E482&lt;&gt;""),E482-C482,"")</f>
        <v/>
      </c>
      <c r="AB482" s="42"/>
      <c r="AC482" s="57"/>
      <c r="AD482" s="58"/>
      <c r="AE482" s="59" t="str">
        <f aca="false">IF(G482&lt;&gt;"",HYPERLINK("https://www.tradingview.com/chart/?symbol="&amp;G482&amp;"&amp;interval=60&amp;from="&amp;(AG482-10*3600)&amp;"&amp;to="&amp;(AG482+50*3600),"📈 1H"),"")</f>
        <v/>
      </c>
      <c r="AF482" s="60" t="str">
        <f aca="false">IF(G482&lt;&gt;"",HYPERLINK("https://www.tradingview.com/chart/?symbol="&amp;G482&amp;"&amp;interval=240&amp;from="&amp;(AG482-10*14400)&amp;"&amp;to="&amp;(AG482+50*14400),"📈 4H"),"")</f>
        <v/>
      </c>
      <c r="AG482" s="36" t="str">
        <f aca="false">IF(C482&lt;&gt;"",INT((C482+IF(D482&lt;&gt;"",D482,0)-DATE(1970,1,1))*86400),"")</f>
        <v/>
      </c>
    </row>
    <row r="483" customFormat="false" ht="19.5" hidden="false" customHeight="true" outlineLevel="0" collapsed="false">
      <c r="A483" s="12" t="n">
        <f aca="false">ROW()-4</f>
        <v>479</v>
      </c>
      <c r="B483" s="13"/>
      <c r="C483" s="14"/>
      <c r="D483" s="15"/>
      <c r="E483" s="14"/>
      <c r="F483" s="15"/>
      <c r="G483" s="16"/>
      <c r="H483" s="17"/>
      <c r="I483" s="18"/>
      <c r="J483" s="19"/>
      <c r="K483" s="14"/>
      <c r="L483" s="17"/>
      <c r="M483" s="19"/>
      <c r="N483" s="20"/>
      <c r="O483" s="19"/>
      <c r="P483" s="21"/>
      <c r="Q483" s="22" t="str">
        <f aca="false">IF(L483="","",IF(M483&lt;&gt;"",M483*L483*100,IF(AND(O483&lt;&gt;"",B483&lt;&gt;""),IFERROR(AVERAGEIF($B$5:$B$1004,B483,$M$5:$M$1004)*L483*100,""),"")))</f>
        <v/>
      </c>
      <c r="R483" s="22" t="str">
        <f aca="false">IF(AND(O483&lt;&gt;"",L483&lt;&gt;""),O483*L483*100,"")</f>
        <v/>
      </c>
      <c r="S483" s="23" t="str">
        <f aca="false">IF(AND(P483&lt;&gt;"",L483&lt;&gt;""),P483*L483*100,"")</f>
        <v/>
      </c>
      <c r="T483" s="24" t="str">
        <f aca="false">IF(AND(Q483&lt;&gt;"",R483&lt;&gt;""),R483-Q483,"")</f>
        <v/>
      </c>
      <c r="U483" s="25" t="str">
        <f aca="false">IF(AND(Q483&lt;&gt;"",Q483&lt;&gt;0,T483&lt;&gt;""),T483/Q483,"")</f>
        <v/>
      </c>
      <c r="V483" s="26" t="str">
        <f aca="false">IF(AND(S483&lt;&gt;"",Q483&lt;&gt;""),S483-Q483,"")</f>
        <v/>
      </c>
      <c r="W483" s="27" t="str">
        <f aca="false">IF(AND(Q483&lt;&gt;"",Q483&lt;&gt;0,V483&lt;&gt;""),V483/Q483,"")</f>
        <v/>
      </c>
      <c r="X483" s="28" t="s">
        <v>37</v>
      </c>
      <c r="Y483" s="29" t="str">
        <f aca="false">IF(AND(O483&lt;&gt;"",M483&lt;&gt;"",O483&gt;M483),CONCATENATE("1 : ",TEXT((O483-M483)/M483,"0.00")),IF(AND(O483&lt;&gt;"",M483&lt;&gt;"",O483&lt;M483),CONCATENATE("-1 : ",TEXT((M483-O483)/M483,"0.00")),"—"))</f>
        <v>—</v>
      </c>
      <c r="Z483" s="30" t="str">
        <f aca="false">IF(AND(P483&lt;&gt;"",M483&lt;&gt;"",P483&gt;M483),CONCATENATE("1 : ",TEXT((P483-M483)/M483,"0.00")),"—")</f>
        <v>—</v>
      </c>
      <c r="AA483" s="31" t="str">
        <f aca="false">IF(AND(C483&lt;&gt;"",E483&lt;&gt;""),E483-C483,"")</f>
        <v/>
      </c>
      <c r="AB483" s="17"/>
      <c r="AC483" s="32"/>
      <c r="AD483" s="33"/>
      <c r="AE483" s="34" t="str">
        <f aca="false">IF(G483&lt;&gt;"",HYPERLINK("https://www.tradingview.com/chart/?symbol="&amp;G483&amp;"&amp;interval=60&amp;from="&amp;(AG483-10*3600)&amp;"&amp;to="&amp;(AG483+50*3600),"📈 1H"),"")</f>
        <v/>
      </c>
      <c r="AF483" s="35" t="str">
        <f aca="false">IF(G483&lt;&gt;"",HYPERLINK("https://www.tradingview.com/chart/?symbol="&amp;G483&amp;"&amp;interval=240&amp;from="&amp;(AG483-10*14400)&amp;"&amp;to="&amp;(AG483+50*14400),"📈 4H"),"")</f>
        <v/>
      </c>
      <c r="AG483" s="36" t="str">
        <f aca="false">IF(C483&lt;&gt;"",INT((C483+IF(D483&lt;&gt;"",D483,0)-DATE(1970,1,1))*86400),"")</f>
        <v/>
      </c>
    </row>
    <row r="484" customFormat="false" ht="19.5" hidden="false" customHeight="true" outlineLevel="0" collapsed="false">
      <c r="A484" s="37" t="n">
        <f aca="false">ROW()-4</f>
        <v>480</v>
      </c>
      <c r="B484" s="38"/>
      <c r="C484" s="39"/>
      <c r="D484" s="40"/>
      <c r="E484" s="39"/>
      <c r="F484" s="40"/>
      <c r="G484" s="41"/>
      <c r="H484" s="42"/>
      <c r="I484" s="43"/>
      <c r="J484" s="44"/>
      <c r="K484" s="39"/>
      <c r="L484" s="42"/>
      <c r="M484" s="44"/>
      <c r="N484" s="45"/>
      <c r="O484" s="44"/>
      <c r="P484" s="46"/>
      <c r="Q484" s="47" t="str">
        <f aca="false">IF(L484="","",IF(M484&lt;&gt;"",M484*L484*100,IF(AND(O484&lt;&gt;"",B484&lt;&gt;""),IFERROR(AVERAGEIF($B$5:$B$1004,B484,$M$5:$M$1004)*L484*100,""),"")))</f>
        <v/>
      </c>
      <c r="R484" s="47" t="str">
        <f aca="false">IF(AND(O484&lt;&gt;"",L484&lt;&gt;""),O484*L484*100,"")</f>
        <v/>
      </c>
      <c r="S484" s="48" t="str">
        <f aca="false">IF(AND(P484&lt;&gt;"",L484&lt;&gt;""),P484*L484*100,"")</f>
        <v/>
      </c>
      <c r="T484" s="49" t="str">
        <f aca="false">IF(AND(Q484&lt;&gt;"",R484&lt;&gt;""),R484-Q484,"")</f>
        <v/>
      </c>
      <c r="U484" s="50" t="str">
        <f aca="false">IF(AND(Q484&lt;&gt;"",Q484&lt;&gt;0,T484&lt;&gt;""),T484/Q484,"")</f>
        <v/>
      </c>
      <c r="V484" s="51" t="str">
        <f aca="false">IF(AND(S484&lt;&gt;"",Q484&lt;&gt;""),S484-Q484,"")</f>
        <v/>
      </c>
      <c r="W484" s="52" t="str">
        <f aca="false">IF(AND(Q484&lt;&gt;"",Q484&lt;&gt;0,V484&lt;&gt;""),V484/Q484,"")</f>
        <v/>
      </c>
      <c r="X484" s="53" t="s">
        <v>37</v>
      </c>
      <c r="Y484" s="54" t="str">
        <f aca="false">IF(AND(O484&lt;&gt;"",M484&lt;&gt;"",O484&gt;M484),CONCATENATE("1 : ",TEXT((O484-M484)/M484,"0.00")),IF(AND(O484&lt;&gt;"",M484&lt;&gt;"",O484&lt;M484),CONCATENATE("-1 : ",TEXT((M484-O484)/M484,"0.00")),"—"))</f>
        <v>—</v>
      </c>
      <c r="Z484" s="55" t="str">
        <f aca="false">IF(AND(P484&lt;&gt;"",M484&lt;&gt;"",P484&gt;M484),CONCATENATE("1 : ",TEXT((P484-M484)/M484,"0.00")),"—")</f>
        <v>—</v>
      </c>
      <c r="AA484" s="56" t="str">
        <f aca="false">IF(AND(C484&lt;&gt;"",E484&lt;&gt;""),E484-C484,"")</f>
        <v/>
      </c>
      <c r="AB484" s="42"/>
      <c r="AC484" s="57"/>
      <c r="AD484" s="58"/>
      <c r="AE484" s="59" t="str">
        <f aca="false">IF(G484&lt;&gt;"",HYPERLINK("https://www.tradingview.com/chart/?symbol="&amp;G484&amp;"&amp;interval=60&amp;from="&amp;(AG484-10*3600)&amp;"&amp;to="&amp;(AG484+50*3600),"📈 1H"),"")</f>
        <v/>
      </c>
      <c r="AF484" s="60" t="str">
        <f aca="false">IF(G484&lt;&gt;"",HYPERLINK("https://www.tradingview.com/chart/?symbol="&amp;G484&amp;"&amp;interval=240&amp;from="&amp;(AG484-10*14400)&amp;"&amp;to="&amp;(AG484+50*14400),"📈 4H"),"")</f>
        <v/>
      </c>
      <c r="AG484" s="36" t="str">
        <f aca="false">IF(C484&lt;&gt;"",INT((C484+IF(D484&lt;&gt;"",D484,0)-DATE(1970,1,1))*86400),"")</f>
        <v/>
      </c>
    </row>
    <row r="485" customFormat="false" ht="19.5" hidden="false" customHeight="true" outlineLevel="0" collapsed="false">
      <c r="A485" s="12" t="n">
        <f aca="false">ROW()-4</f>
        <v>481</v>
      </c>
      <c r="B485" s="13"/>
      <c r="C485" s="14"/>
      <c r="D485" s="15"/>
      <c r="E485" s="14"/>
      <c r="F485" s="15"/>
      <c r="G485" s="16"/>
      <c r="H485" s="17"/>
      <c r="I485" s="18"/>
      <c r="J485" s="19"/>
      <c r="K485" s="14"/>
      <c r="L485" s="17"/>
      <c r="M485" s="19"/>
      <c r="N485" s="20"/>
      <c r="O485" s="19"/>
      <c r="P485" s="21"/>
      <c r="Q485" s="22" t="str">
        <f aca="false">IF(L485="","",IF(M485&lt;&gt;"",M485*L485*100,IF(AND(O485&lt;&gt;"",B485&lt;&gt;""),IFERROR(AVERAGEIF($B$5:$B$1004,B485,$M$5:$M$1004)*L485*100,""),"")))</f>
        <v/>
      </c>
      <c r="R485" s="22" t="str">
        <f aca="false">IF(AND(O485&lt;&gt;"",L485&lt;&gt;""),O485*L485*100,"")</f>
        <v/>
      </c>
      <c r="S485" s="23" t="str">
        <f aca="false">IF(AND(P485&lt;&gt;"",L485&lt;&gt;""),P485*L485*100,"")</f>
        <v/>
      </c>
      <c r="T485" s="24" t="str">
        <f aca="false">IF(AND(Q485&lt;&gt;"",R485&lt;&gt;""),R485-Q485,"")</f>
        <v/>
      </c>
      <c r="U485" s="25" t="str">
        <f aca="false">IF(AND(Q485&lt;&gt;"",Q485&lt;&gt;0,T485&lt;&gt;""),T485/Q485,"")</f>
        <v/>
      </c>
      <c r="V485" s="26" t="str">
        <f aca="false">IF(AND(S485&lt;&gt;"",Q485&lt;&gt;""),S485-Q485,"")</f>
        <v/>
      </c>
      <c r="W485" s="27" t="str">
        <f aca="false">IF(AND(Q485&lt;&gt;"",Q485&lt;&gt;0,V485&lt;&gt;""),V485/Q485,"")</f>
        <v/>
      </c>
      <c r="X485" s="28" t="s">
        <v>37</v>
      </c>
      <c r="Y485" s="29" t="str">
        <f aca="false">IF(AND(O485&lt;&gt;"",M485&lt;&gt;"",O485&gt;M485),CONCATENATE("1 : ",TEXT((O485-M485)/M485,"0.00")),IF(AND(O485&lt;&gt;"",M485&lt;&gt;"",O485&lt;M485),CONCATENATE("-1 : ",TEXT((M485-O485)/M485,"0.00")),"—"))</f>
        <v>—</v>
      </c>
      <c r="Z485" s="30" t="str">
        <f aca="false">IF(AND(P485&lt;&gt;"",M485&lt;&gt;"",P485&gt;M485),CONCATENATE("1 : ",TEXT((P485-M485)/M485,"0.00")),"—")</f>
        <v>—</v>
      </c>
      <c r="AA485" s="31" t="str">
        <f aca="false">IF(AND(C485&lt;&gt;"",E485&lt;&gt;""),E485-C485,"")</f>
        <v/>
      </c>
      <c r="AB485" s="17"/>
      <c r="AC485" s="32"/>
      <c r="AD485" s="33"/>
      <c r="AE485" s="34" t="str">
        <f aca="false">IF(G485&lt;&gt;"",HYPERLINK("https://www.tradingview.com/chart/?symbol="&amp;G485&amp;"&amp;interval=60&amp;from="&amp;(AG485-10*3600)&amp;"&amp;to="&amp;(AG485+50*3600),"📈 1H"),"")</f>
        <v/>
      </c>
      <c r="AF485" s="35" t="str">
        <f aca="false">IF(G485&lt;&gt;"",HYPERLINK("https://www.tradingview.com/chart/?symbol="&amp;G485&amp;"&amp;interval=240&amp;from="&amp;(AG485-10*14400)&amp;"&amp;to="&amp;(AG485+50*14400),"📈 4H"),"")</f>
        <v/>
      </c>
      <c r="AG485" s="36" t="str">
        <f aca="false">IF(C485&lt;&gt;"",INT((C485+IF(D485&lt;&gt;"",D485,0)-DATE(1970,1,1))*86400),"")</f>
        <v/>
      </c>
    </row>
    <row r="486" customFormat="false" ht="19.5" hidden="false" customHeight="true" outlineLevel="0" collapsed="false">
      <c r="A486" s="37" t="n">
        <f aca="false">ROW()-4</f>
        <v>482</v>
      </c>
      <c r="B486" s="38"/>
      <c r="C486" s="39"/>
      <c r="D486" s="40"/>
      <c r="E486" s="39"/>
      <c r="F486" s="40"/>
      <c r="G486" s="41"/>
      <c r="H486" s="42"/>
      <c r="I486" s="43"/>
      <c r="J486" s="44"/>
      <c r="K486" s="39"/>
      <c r="L486" s="42"/>
      <c r="M486" s="44"/>
      <c r="N486" s="45"/>
      <c r="O486" s="44"/>
      <c r="P486" s="46"/>
      <c r="Q486" s="47" t="str">
        <f aca="false">IF(L486="","",IF(M486&lt;&gt;"",M486*L486*100,IF(AND(O486&lt;&gt;"",B486&lt;&gt;""),IFERROR(AVERAGEIF($B$5:$B$1004,B486,$M$5:$M$1004)*L486*100,""),"")))</f>
        <v/>
      </c>
      <c r="R486" s="47" t="str">
        <f aca="false">IF(AND(O486&lt;&gt;"",L486&lt;&gt;""),O486*L486*100,"")</f>
        <v/>
      </c>
      <c r="S486" s="48" t="str">
        <f aca="false">IF(AND(P486&lt;&gt;"",L486&lt;&gt;""),P486*L486*100,"")</f>
        <v/>
      </c>
      <c r="T486" s="49" t="str">
        <f aca="false">IF(AND(Q486&lt;&gt;"",R486&lt;&gt;""),R486-Q486,"")</f>
        <v/>
      </c>
      <c r="U486" s="50" t="str">
        <f aca="false">IF(AND(Q486&lt;&gt;"",Q486&lt;&gt;0,T486&lt;&gt;""),T486/Q486,"")</f>
        <v/>
      </c>
      <c r="V486" s="51" t="str">
        <f aca="false">IF(AND(S486&lt;&gt;"",Q486&lt;&gt;""),S486-Q486,"")</f>
        <v/>
      </c>
      <c r="W486" s="52" t="str">
        <f aca="false">IF(AND(Q486&lt;&gt;"",Q486&lt;&gt;0,V486&lt;&gt;""),V486/Q486,"")</f>
        <v/>
      </c>
      <c r="X486" s="53" t="s">
        <v>37</v>
      </c>
      <c r="Y486" s="54" t="str">
        <f aca="false">IF(AND(O486&lt;&gt;"",M486&lt;&gt;"",O486&gt;M486),CONCATENATE("1 : ",TEXT((O486-M486)/M486,"0.00")),IF(AND(O486&lt;&gt;"",M486&lt;&gt;"",O486&lt;M486),CONCATENATE("-1 : ",TEXT((M486-O486)/M486,"0.00")),"—"))</f>
        <v>—</v>
      </c>
      <c r="Z486" s="55" t="str">
        <f aca="false">IF(AND(P486&lt;&gt;"",M486&lt;&gt;"",P486&gt;M486),CONCATENATE("1 : ",TEXT((P486-M486)/M486,"0.00")),"—")</f>
        <v>—</v>
      </c>
      <c r="AA486" s="56" t="str">
        <f aca="false">IF(AND(C486&lt;&gt;"",E486&lt;&gt;""),E486-C486,"")</f>
        <v/>
      </c>
      <c r="AB486" s="42"/>
      <c r="AC486" s="57"/>
      <c r="AD486" s="58"/>
      <c r="AE486" s="59" t="str">
        <f aca="false">IF(G486&lt;&gt;"",HYPERLINK("https://www.tradingview.com/chart/?symbol="&amp;G486&amp;"&amp;interval=60&amp;from="&amp;(AG486-10*3600)&amp;"&amp;to="&amp;(AG486+50*3600),"📈 1H"),"")</f>
        <v/>
      </c>
      <c r="AF486" s="60" t="str">
        <f aca="false">IF(G486&lt;&gt;"",HYPERLINK("https://www.tradingview.com/chart/?symbol="&amp;G486&amp;"&amp;interval=240&amp;from="&amp;(AG486-10*14400)&amp;"&amp;to="&amp;(AG486+50*14400),"📈 4H"),"")</f>
        <v/>
      </c>
      <c r="AG486" s="36" t="str">
        <f aca="false">IF(C486&lt;&gt;"",INT((C486+IF(D486&lt;&gt;"",D486,0)-DATE(1970,1,1))*86400),"")</f>
        <v/>
      </c>
    </row>
    <row r="487" customFormat="false" ht="19.5" hidden="false" customHeight="true" outlineLevel="0" collapsed="false">
      <c r="A487" s="12" t="n">
        <f aca="false">ROW()-4</f>
        <v>483</v>
      </c>
      <c r="B487" s="13"/>
      <c r="C487" s="14"/>
      <c r="D487" s="15"/>
      <c r="E487" s="14"/>
      <c r="F487" s="15"/>
      <c r="G487" s="16"/>
      <c r="H487" s="17"/>
      <c r="I487" s="18"/>
      <c r="J487" s="19"/>
      <c r="K487" s="14"/>
      <c r="L487" s="17"/>
      <c r="M487" s="19"/>
      <c r="N487" s="20"/>
      <c r="O487" s="19"/>
      <c r="P487" s="21"/>
      <c r="Q487" s="22" t="str">
        <f aca="false">IF(L487="","",IF(M487&lt;&gt;"",M487*L487*100,IF(AND(O487&lt;&gt;"",B487&lt;&gt;""),IFERROR(AVERAGEIF($B$5:$B$1004,B487,$M$5:$M$1004)*L487*100,""),"")))</f>
        <v/>
      </c>
      <c r="R487" s="22" t="str">
        <f aca="false">IF(AND(O487&lt;&gt;"",L487&lt;&gt;""),O487*L487*100,"")</f>
        <v/>
      </c>
      <c r="S487" s="23" t="str">
        <f aca="false">IF(AND(P487&lt;&gt;"",L487&lt;&gt;""),P487*L487*100,"")</f>
        <v/>
      </c>
      <c r="T487" s="24" t="str">
        <f aca="false">IF(AND(Q487&lt;&gt;"",R487&lt;&gt;""),R487-Q487,"")</f>
        <v/>
      </c>
      <c r="U487" s="25" t="str">
        <f aca="false">IF(AND(Q487&lt;&gt;"",Q487&lt;&gt;0,T487&lt;&gt;""),T487/Q487,"")</f>
        <v/>
      </c>
      <c r="V487" s="26" t="str">
        <f aca="false">IF(AND(S487&lt;&gt;"",Q487&lt;&gt;""),S487-Q487,"")</f>
        <v/>
      </c>
      <c r="W487" s="27" t="str">
        <f aca="false">IF(AND(Q487&lt;&gt;"",Q487&lt;&gt;0,V487&lt;&gt;""),V487/Q487,"")</f>
        <v/>
      </c>
      <c r="X487" s="28" t="s">
        <v>37</v>
      </c>
      <c r="Y487" s="29" t="str">
        <f aca="false">IF(AND(O487&lt;&gt;"",M487&lt;&gt;"",O487&gt;M487),CONCATENATE("1 : ",TEXT((O487-M487)/M487,"0.00")),IF(AND(O487&lt;&gt;"",M487&lt;&gt;"",O487&lt;M487),CONCATENATE("-1 : ",TEXT((M487-O487)/M487,"0.00")),"—"))</f>
        <v>—</v>
      </c>
      <c r="Z487" s="30" t="str">
        <f aca="false">IF(AND(P487&lt;&gt;"",M487&lt;&gt;"",P487&gt;M487),CONCATENATE("1 : ",TEXT((P487-M487)/M487,"0.00")),"—")</f>
        <v>—</v>
      </c>
      <c r="AA487" s="31" t="str">
        <f aca="false">IF(AND(C487&lt;&gt;"",E487&lt;&gt;""),E487-C487,"")</f>
        <v/>
      </c>
      <c r="AB487" s="17"/>
      <c r="AC487" s="32"/>
      <c r="AD487" s="33"/>
      <c r="AE487" s="34" t="str">
        <f aca="false">IF(G487&lt;&gt;"",HYPERLINK("https://www.tradingview.com/chart/?symbol="&amp;G487&amp;"&amp;interval=60&amp;from="&amp;(AG487-10*3600)&amp;"&amp;to="&amp;(AG487+50*3600),"📈 1H"),"")</f>
        <v/>
      </c>
      <c r="AF487" s="35" t="str">
        <f aca="false">IF(G487&lt;&gt;"",HYPERLINK("https://www.tradingview.com/chart/?symbol="&amp;G487&amp;"&amp;interval=240&amp;from="&amp;(AG487-10*14400)&amp;"&amp;to="&amp;(AG487+50*14400),"📈 4H"),"")</f>
        <v/>
      </c>
      <c r="AG487" s="36" t="str">
        <f aca="false">IF(C487&lt;&gt;"",INT((C487+IF(D487&lt;&gt;"",D487,0)-DATE(1970,1,1))*86400),"")</f>
        <v/>
      </c>
    </row>
    <row r="488" customFormat="false" ht="19.5" hidden="false" customHeight="true" outlineLevel="0" collapsed="false">
      <c r="A488" s="37" t="n">
        <f aca="false">ROW()-4</f>
        <v>484</v>
      </c>
      <c r="B488" s="38"/>
      <c r="C488" s="39"/>
      <c r="D488" s="40"/>
      <c r="E488" s="39"/>
      <c r="F488" s="40"/>
      <c r="G488" s="41"/>
      <c r="H488" s="42"/>
      <c r="I488" s="43"/>
      <c r="J488" s="44"/>
      <c r="K488" s="39"/>
      <c r="L488" s="42"/>
      <c r="M488" s="44"/>
      <c r="N488" s="45"/>
      <c r="O488" s="44"/>
      <c r="P488" s="46"/>
      <c r="Q488" s="47" t="str">
        <f aca="false">IF(L488="","",IF(M488&lt;&gt;"",M488*L488*100,IF(AND(O488&lt;&gt;"",B488&lt;&gt;""),IFERROR(AVERAGEIF($B$5:$B$1004,B488,$M$5:$M$1004)*L488*100,""),"")))</f>
        <v/>
      </c>
      <c r="R488" s="47" t="str">
        <f aca="false">IF(AND(O488&lt;&gt;"",L488&lt;&gt;""),O488*L488*100,"")</f>
        <v/>
      </c>
      <c r="S488" s="48" t="str">
        <f aca="false">IF(AND(P488&lt;&gt;"",L488&lt;&gt;""),P488*L488*100,"")</f>
        <v/>
      </c>
      <c r="T488" s="49" t="str">
        <f aca="false">IF(AND(Q488&lt;&gt;"",R488&lt;&gt;""),R488-Q488,"")</f>
        <v/>
      </c>
      <c r="U488" s="50" t="str">
        <f aca="false">IF(AND(Q488&lt;&gt;"",Q488&lt;&gt;0,T488&lt;&gt;""),T488/Q488,"")</f>
        <v/>
      </c>
      <c r="V488" s="51" t="str">
        <f aca="false">IF(AND(S488&lt;&gt;"",Q488&lt;&gt;""),S488-Q488,"")</f>
        <v/>
      </c>
      <c r="W488" s="52" t="str">
        <f aca="false">IF(AND(Q488&lt;&gt;"",Q488&lt;&gt;0,V488&lt;&gt;""),V488/Q488,"")</f>
        <v/>
      </c>
      <c r="X488" s="53" t="s">
        <v>37</v>
      </c>
      <c r="Y488" s="54" t="str">
        <f aca="false">IF(AND(O488&lt;&gt;"",M488&lt;&gt;"",O488&gt;M488),CONCATENATE("1 : ",TEXT((O488-M488)/M488,"0.00")),IF(AND(O488&lt;&gt;"",M488&lt;&gt;"",O488&lt;M488),CONCATENATE("-1 : ",TEXT((M488-O488)/M488,"0.00")),"—"))</f>
        <v>—</v>
      </c>
      <c r="Z488" s="55" t="str">
        <f aca="false">IF(AND(P488&lt;&gt;"",M488&lt;&gt;"",P488&gt;M488),CONCATENATE("1 : ",TEXT((P488-M488)/M488,"0.00")),"—")</f>
        <v>—</v>
      </c>
      <c r="AA488" s="56" t="str">
        <f aca="false">IF(AND(C488&lt;&gt;"",E488&lt;&gt;""),E488-C488,"")</f>
        <v/>
      </c>
      <c r="AB488" s="42"/>
      <c r="AC488" s="57"/>
      <c r="AD488" s="58"/>
      <c r="AE488" s="59" t="str">
        <f aca="false">IF(G488&lt;&gt;"",HYPERLINK("https://www.tradingview.com/chart/?symbol="&amp;G488&amp;"&amp;interval=60&amp;from="&amp;(AG488-10*3600)&amp;"&amp;to="&amp;(AG488+50*3600),"📈 1H"),"")</f>
        <v/>
      </c>
      <c r="AF488" s="60" t="str">
        <f aca="false">IF(G488&lt;&gt;"",HYPERLINK("https://www.tradingview.com/chart/?symbol="&amp;G488&amp;"&amp;interval=240&amp;from="&amp;(AG488-10*14400)&amp;"&amp;to="&amp;(AG488+50*14400),"📈 4H"),"")</f>
        <v/>
      </c>
      <c r="AG488" s="36" t="str">
        <f aca="false">IF(C488&lt;&gt;"",INT((C488+IF(D488&lt;&gt;"",D488,0)-DATE(1970,1,1))*86400),"")</f>
        <v/>
      </c>
    </row>
    <row r="489" customFormat="false" ht="19.5" hidden="false" customHeight="true" outlineLevel="0" collapsed="false">
      <c r="A489" s="12" t="n">
        <f aca="false">ROW()-4</f>
        <v>485</v>
      </c>
      <c r="B489" s="13"/>
      <c r="C489" s="14"/>
      <c r="D489" s="15"/>
      <c r="E489" s="14"/>
      <c r="F489" s="15"/>
      <c r="G489" s="16"/>
      <c r="H489" s="17"/>
      <c r="I489" s="18"/>
      <c r="J489" s="19"/>
      <c r="K489" s="14"/>
      <c r="L489" s="17"/>
      <c r="M489" s="19"/>
      <c r="N489" s="20"/>
      <c r="O489" s="19"/>
      <c r="P489" s="21"/>
      <c r="Q489" s="22" t="str">
        <f aca="false">IF(L489="","",IF(M489&lt;&gt;"",M489*L489*100,IF(AND(O489&lt;&gt;"",B489&lt;&gt;""),IFERROR(AVERAGEIF($B$5:$B$1004,B489,$M$5:$M$1004)*L489*100,""),"")))</f>
        <v/>
      </c>
      <c r="R489" s="22" t="str">
        <f aca="false">IF(AND(O489&lt;&gt;"",L489&lt;&gt;""),O489*L489*100,"")</f>
        <v/>
      </c>
      <c r="S489" s="23" t="str">
        <f aca="false">IF(AND(P489&lt;&gt;"",L489&lt;&gt;""),P489*L489*100,"")</f>
        <v/>
      </c>
      <c r="T489" s="24" t="str">
        <f aca="false">IF(AND(Q489&lt;&gt;"",R489&lt;&gt;""),R489-Q489,"")</f>
        <v/>
      </c>
      <c r="U489" s="25" t="str">
        <f aca="false">IF(AND(Q489&lt;&gt;"",Q489&lt;&gt;0,T489&lt;&gt;""),T489/Q489,"")</f>
        <v/>
      </c>
      <c r="V489" s="26" t="str">
        <f aca="false">IF(AND(S489&lt;&gt;"",Q489&lt;&gt;""),S489-Q489,"")</f>
        <v/>
      </c>
      <c r="W489" s="27" t="str">
        <f aca="false">IF(AND(Q489&lt;&gt;"",Q489&lt;&gt;0,V489&lt;&gt;""),V489/Q489,"")</f>
        <v/>
      </c>
      <c r="X489" s="28" t="s">
        <v>37</v>
      </c>
      <c r="Y489" s="29" t="str">
        <f aca="false">IF(AND(O489&lt;&gt;"",M489&lt;&gt;"",O489&gt;M489),CONCATENATE("1 : ",TEXT((O489-M489)/M489,"0.00")),IF(AND(O489&lt;&gt;"",M489&lt;&gt;"",O489&lt;M489),CONCATENATE("-1 : ",TEXT((M489-O489)/M489,"0.00")),"—"))</f>
        <v>—</v>
      </c>
      <c r="Z489" s="30" t="str">
        <f aca="false">IF(AND(P489&lt;&gt;"",M489&lt;&gt;"",P489&gt;M489),CONCATENATE("1 : ",TEXT((P489-M489)/M489,"0.00")),"—")</f>
        <v>—</v>
      </c>
      <c r="AA489" s="31" t="str">
        <f aca="false">IF(AND(C489&lt;&gt;"",E489&lt;&gt;""),E489-C489,"")</f>
        <v/>
      </c>
      <c r="AB489" s="17"/>
      <c r="AC489" s="32"/>
      <c r="AD489" s="33"/>
      <c r="AE489" s="34" t="str">
        <f aca="false">IF(G489&lt;&gt;"",HYPERLINK("https://www.tradingview.com/chart/?symbol="&amp;G489&amp;"&amp;interval=60&amp;from="&amp;(AG489-10*3600)&amp;"&amp;to="&amp;(AG489+50*3600),"📈 1H"),"")</f>
        <v/>
      </c>
      <c r="AF489" s="35" t="str">
        <f aca="false">IF(G489&lt;&gt;"",HYPERLINK("https://www.tradingview.com/chart/?symbol="&amp;G489&amp;"&amp;interval=240&amp;from="&amp;(AG489-10*14400)&amp;"&amp;to="&amp;(AG489+50*14400),"📈 4H"),"")</f>
        <v/>
      </c>
      <c r="AG489" s="36" t="str">
        <f aca="false">IF(C489&lt;&gt;"",INT((C489+IF(D489&lt;&gt;"",D489,0)-DATE(1970,1,1))*86400),"")</f>
        <v/>
      </c>
    </row>
    <row r="490" customFormat="false" ht="19.5" hidden="false" customHeight="true" outlineLevel="0" collapsed="false">
      <c r="A490" s="37" t="n">
        <f aca="false">ROW()-4</f>
        <v>486</v>
      </c>
      <c r="B490" s="38"/>
      <c r="C490" s="39"/>
      <c r="D490" s="40"/>
      <c r="E490" s="39"/>
      <c r="F490" s="40"/>
      <c r="G490" s="41"/>
      <c r="H490" s="42"/>
      <c r="I490" s="43"/>
      <c r="J490" s="44"/>
      <c r="K490" s="39"/>
      <c r="L490" s="42"/>
      <c r="M490" s="44"/>
      <c r="N490" s="45"/>
      <c r="O490" s="44"/>
      <c r="P490" s="46"/>
      <c r="Q490" s="47" t="str">
        <f aca="false">IF(L490="","",IF(M490&lt;&gt;"",M490*L490*100,IF(AND(O490&lt;&gt;"",B490&lt;&gt;""),IFERROR(AVERAGEIF($B$5:$B$1004,B490,$M$5:$M$1004)*L490*100,""),"")))</f>
        <v/>
      </c>
      <c r="R490" s="47" t="str">
        <f aca="false">IF(AND(O490&lt;&gt;"",L490&lt;&gt;""),O490*L490*100,"")</f>
        <v/>
      </c>
      <c r="S490" s="48" t="str">
        <f aca="false">IF(AND(P490&lt;&gt;"",L490&lt;&gt;""),P490*L490*100,"")</f>
        <v/>
      </c>
      <c r="T490" s="49" t="str">
        <f aca="false">IF(AND(Q490&lt;&gt;"",R490&lt;&gt;""),R490-Q490,"")</f>
        <v/>
      </c>
      <c r="U490" s="50" t="str">
        <f aca="false">IF(AND(Q490&lt;&gt;"",Q490&lt;&gt;0,T490&lt;&gt;""),T490/Q490,"")</f>
        <v/>
      </c>
      <c r="V490" s="51" t="str">
        <f aca="false">IF(AND(S490&lt;&gt;"",Q490&lt;&gt;""),S490-Q490,"")</f>
        <v/>
      </c>
      <c r="W490" s="52" t="str">
        <f aca="false">IF(AND(Q490&lt;&gt;"",Q490&lt;&gt;0,V490&lt;&gt;""),V490/Q490,"")</f>
        <v/>
      </c>
      <c r="X490" s="53" t="s">
        <v>37</v>
      </c>
      <c r="Y490" s="54" t="str">
        <f aca="false">IF(AND(O490&lt;&gt;"",M490&lt;&gt;"",O490&gt;M490),CONCATENATE("1 : ",TEXT((O490-M490)/M490,"0.00")),IF(AND(O490&lt;&gt;"",M490&lt;&gt;"",O490&lt;M490),CONCATENATE("-1 : ",TEXT((M490-O490)/M490,"0.00")),"—"))</f>
        <v>—</v>
      </c>
      <c r="Z490" s="55" t="str">
        <f aca="false">IF(AND(P490&lt;&gt;"",M490&lt;&gt;"",P490&gt;M490),CONCATENATE("1 : ",TEXT((P490-M490)/M490,"0.00")),"—")</f>
        <v>—</v>
      </c>
      <c r="AA490" s="56" t="str">
        <f aca="false">IF(AND(C490&lt;&gt;"",E490&lt;&gt;""),E490-C490,"")</f>
        <v/>
      </c>
      <c r="AB490" s="42"/>
      <c r="AC490" s="57"/>
      <c r="AD490" s="58"/>
      <c r="AE490" s="59" t="str">
        <f aca="false">IF(G490&lt;&gt;"",HYPERLINK("https://www.tradingview.com/chart/?symbol="&amp;G490&amp;"&amp;interval=60&amp;from="&amp;(AG490-10*3600)&amp;"&amp;to="&amp;(AG490+50*3600),"📈 1H"),"")</f>
        <v/>
      </c>
      <c r="AF490" s="60" t="str">
        <f aca="false">IF(G490&lt;&gt;"",HYPERLINK("https://www.tradingview.com/chart/?symbol="&amp;G490&amp;"&amp;interval=240&amp;from="&amp;(AG490-10*14400)&amp;"&amp;to="&amp;(AG490+50*14400),"📈 4H"),"")</f>
        <v/>
      </c>
      <c r="AG490" s="36" t="str">
        <f aca="false">IF(C490&lt;&gt;"",INT((C490+IF(D490&lt;&gt;"",D490,0)-DATE(1970,1,1))*86400),"")</f>
        <v/>
      </c>
    </row>
    <row r="491" customFormat="false" ht="19.5" hidden="false" customHeight="true" outlineLevel="0" collapsed="false">
      <c r="A491" s="12" t="n">
        <f aca="false">ROW()-4</f>
        <v>487</v>
      </c>
      <c r="B491" s="13"/>
      <c r="C491" s="14"/>
      <c r="D491" s="15"/>
      <c r="E491" s="14"/>
      <c r="F491" s="15"/>
      <c r="G491" s="16"/>
      <c r="H491" s="17"/>
      <c r="I491" s="18"/>
      <c r="J491" s="19"/>
      <c r="K491" s="14"/>
      <c r="L491" s="17"/>
      <c r="M491" s="19"/>
      <c r="N491" s="20"/>
      <c r="O491" s="19"/>
      <c r="P491" s="21"/>
      <c r="Q491" s="22" t="str">
        <f aca="false">IF(L491="","",IF(M491&lt;&gt;"",M491*L491*100,IF(AND(O491&lt;&gt;"",B491&lt;&gt;""),IFERROR(AVERAGEIF($B$5:$B$1004,B491,$M$5:$M$1004)*L491*100,""),"")))</f>
        <v/>
      </c>
      <c r="R491" s="22" t="str">
        <f aca="false">IF(AND(O491&lt;&gt;"",L491&lt;&gt;""),O491*L491*100,"")</f>
        <v/>
      </c>
      <c r="S491" s="23" t="str">
        <f aca="false">IF(AND(P491&lt;&gt;"",L491&lt;&gt;""),P491*L491*100,"")</f>
        <v/>
      </c>
      <c r="T491" s="24" t="str">
        <f aca="false">IF(AND(Q491&lt;&gt;"",R491&lt;&gt;""),R491-Q491,"")</f>
        <v/>
      </c>
      <c r="U491" s="25" t="str">
        <f aca="false">IF(AND(Q491&lt;&gt;"",Q491&lt;&gt;0,T491&lt;&gt;""),T491/Q491,"")</f>
        <v/>
      </c>
      <c r="V491" s="26" t="str">
        <f aca="false">IF(AND(S491&lt;&gt;"",Q491&lt;&gt;""),S491-Q491,"")</f>
        <v/>
      </c>
      <c r="W491" s="27" t="str">
        <f aca="false">IF(AND(Q491&lt;&gt;"",Q491&lt;&gt;0,V491&lt;&gt;""),V491/Q491,"")</f>
        <v/>
      </c>
      <c r="X491" s="28" t="s">
        <v>37</v>
      </c>
      <c r="Y491" s="29" t="str">
        <f aca="false">IF(AND(O491&lt;&gt;"",M491&lt;&gt;"",O491&gt;M491),CONCATENATE("1 : ",TEXT((O491-M491)/M491,"0.00")),IF(AND(O491&lt;&gt;"",M491&lt;&gt;"",O491&lt;M491),CONCATENATE("-1 : ",TEXT((M491-O491)/M491,"0.00")),"—"))</f>
        <v>—</v>
      </c>
      <c r="Z491" s="30" t="str">
        <f aca="false">IF(AND(P491&lt;&gt;"",M491&lt;&gt;"",P491&gt;M491),CONCATENATE("1 : ",TEXT((P491-M491)/M491,"0.00")),"—")</f>
        <v>—</v>
      </c>
      <c r="AA491" s="31" t="str">
        <f aca="false">IF(AND(C491&lt;&gt;"",E491&lt;&gt;""),E491-C491,"")</f>
        <v/>
      </c>
      <c r="AB491" s="17"/>
      <c r="AC491" s="32"/>
      <c r="AD491" s="33"/>
      <c r="AE491" s="34" t="str">
        <f aca="false">IF(G491&lt;&gt;"",HYPERLINK("https://www.tradingview.com/chart/?symbol="&amp;G491&amp;"&amp;interval=60&amp;from="&amp;(AG491-10*3600)&amp;"&amp;to="&amp;(AG491+50*3600),"📈 1H"),"")</f>
        <v/>
      </c>
      <c r="AF491" s="35" t="str">
        <f aca="false">IF(G491&lt;&gt;"",HYPERLINK("https://www.tradingview.com/chart/?symbol="&amp;G491&amp;"&amp;interval=240&amp;from="&amp;(AG491-10*14400)&amp;"&amp;to="&amp;(AG491+50*14400),"📈 4H"),"")</f>
        <v/>
      </c>
      <c r="AG491" s="36" t="str">
        <f aca="false">IF(C491&lt;&gt;"",INT((C491+IF(D491&lt;&gt;"",D491,0)-DATE(1970,1,1))*86400),"")</f>
        <v/>
      </c>
    </row>
    <row r="492" customFormat="false" ht="19.5" hidden="false" customHeight="true" outlineLevel="0" collapsed="false">
      <c r="A492" s="37" t="n">
        <f aca="false">ROW()-4</f>
        <v>488</v>
      </c>
      <c r="B492" s="38"/>
      <c r="C492" s="39"/>
      <c r="D492" s="40"/>
      <c r="E492" s="39"/>
      <c r="F492" s="40"/>
      <c r="G492" s="41"/>
      <c r="H492" s="42"/>
      <c r="I492" s="43"/>
      <c r="J492" s="44"/>
      <c r="K492" s="39"/>
      <c r="L492" s="42"/>
      <c r="M492" s="44"/>
      <c r="N492" s="45"/>
      <c r="O492" s="44"/>
      <c r="P492" s="46"/>
      <c r="Q492" s="47" t="str">
        <f aca="false">IF(L492="","",IF(M492&lt;&gt;"",M492*L492*100,IF(AND(O492&lt;&gt;"",B492&lt;&gt;""),IFERROR(AVERAGEIF($B$5:$B$1004,B492,$M$5:$M$1004)*L492*100,""),"")))</f>
        <v/>
      </c>
      <c r="R492" s="47" t="str">
        <f aca="false">IF(AND(O492&lt;&gt;"",L492&lt;&gt;""),O492*L492*100,"")</f>
        <v/>
      </c>
      <c r="S492" s="48" t="str">
        <f aca="false">IF(AND(P492&lt;&gt;"",L492&lt;&gt;""),P492*L492*100,"")</f>
        <v/>
      </c>
      <c r="T492" s="49" t="str">
        <f aca="false">IF(AND(Q492&lt;&gt;"",R492&lt;&gt;""),R492-Q492,"")</f>
        <v/>
      </c>
      <c r="U492" s="50" t="str">
        <f aca="false">IF(AND(Q492&lt;&gt;"",Q492&lt;&gt;0,T492&lt;&gt;""),T492/Q492,"")</f>
        <v/>
      </c>
      <c r="V492" s="51" t="str">
        <f aca="false">IF(AND(S492&lt;&gt;"",Q492&lt;&gt;""),S492-Q492,"")</f>
        <v/>
      </c>
      <c r="W492" s="52" t="str">
        <f aca="false">IF(AND(Q492&lt;&gt;"",Q492&lt;&gt;0,V492&lt;&gt;""),V492/Q492,"")</f>
        <v/>
      </c>
      <c r="X492" s="53" t="s">
        <v>37</v>
      </c>
      <c r="Y492" s="54" t="str">
        <f aca="false">IF(AND(O492&lt;&gt;"",M492&lt;&gt;"",O492&gt;M492),CONCATENATE("1 : ",TEXT((O492-M492)/M492,"0.00")),IF(AND(O492&lt;&gt;"",M492&lt;&gt;"",O492&lt;M492),CONCATENATE("-1 : ",TEXT((M492-O492)/M492,"0.00")),"—"))</f>
        <v>—</v>
      </c>
      <c r="Z492" s="55" t="str">
        <f aca="false">IF(AND(P492&lt;&gt;"",M492&lt;&gt;"",P492&gt;M492),CONCATENATE("1 : ",TEXT((P492-M492)/M492,"0.00")),"—")</f>
        <v>—</v>
      </c>
      <c r="AA492" s="56" t="str">
        <f aca="false">IF(AND(C492&lt;&gt;"",E492&lt;&gt;""),E492-C492,"")</f>
        <v/>
      </c>
      <c r="AB492" s="42"/>
      <c r="AC492" s="57"/>
      <c r="AD492" s="58"/>
      <c r="AE492" s="59" t="str">
        <f aca="false">IF(G492&lt;&gt;"",HYPERLINK("https://www.tradingview.com/chart/?symbol="&amp;G492&amp;"&amp;interval=60&amp;from="&amp;(AG492-10*3600)&amp;"&amp;to="&amp;(AG492+50*3600),"📈 1H"),"")</f>
        <v/>
      </c>
      <c r="AF492" s="60" t="str">
        <f aca="false">IF(G492&lt;&gt;"",HYPERLINK("https://www.tradingview.com/chart/?symbol="&amp;G492&amp;"&amp;interval=240&amp;from="&amp;(AG492-10*14400)&amp;"&amp;to="&amp;(AG492+50*14400),"📈 4H"),"")</f>
        <v/>
      </c>
      <c r="AG492" s="36" t="str">
        <f aca="false">IF(C492&lt;&gt;"",INT((C492+IF(D492&lt;&gt;"",D492,0)-DATE(1970,1,1))*86400),"")</f>
        <v/>
      </c>
    </row>
    <row r="493" customFormat="false" ht="19.5" hidden="false" customHeight="true" outlineLevel="0" collapsed="false">
      <c r="A493" s="12" t="n">
        <f aca="false">ROW()-4</f>
        <v>489</v>
      </c>
      <c r="B493" s="13"/>
      <c r="C493" s="14"/>
      <c r="D493" s="15"/>
      <c r="E493" s="14"/>
      <c r="F493" s="15"/>
      <c r="G493" s="16"/>
      <c r="H493" s="17"/>
      <c r="I493" s="18"/>
      <c r="J493" s="19"/>
      <c r="K493" s="14"/>
      <c r="L493" s="17"/>
      <c r="M493" s="19"/>
      <c r="N493" s="20"/>
      <c r="O493" s="19"/>
      <c r="P493" s="21"/>
      <c r="Q493" s="22" t="str">
        <f aca="false">IF(L493="","",IF(M493&lt;&gt;"",M493*L493*100,IF(AND(O493&lt;&gt;"",B493&lt;&gt;""),IFERROR(AVERAGEIF($B$5:$B$1004,B493,$M$5:$M$1004)*L493*100,""),"")))</f>
        <v/>
      </c>
      <c r="R493" s="22" t="str">
        <f aca="false">IF(AND(O493&lt;&gt;"",L493&lt;&gt;""),O493*L493*100,"")</f>
        <v/>
      </c>
      <c r="S493" s="23" t="str">
        <f aca="false">IF(AND(P493&lt;&gt;"",L493&lt;&gt;""),P493*L493*100,"")</f>
        <v/>
      </c>
      <c r="T493" s="24" t="str">
        <f aca="false">IF(AND(Q493&lt;&gt;"",R493&lt;&gt;""),R493-Q493,"")</f>
        <v/>
      </c>
      <c r="U493" s="25" t="str">
        <f aca="false">IF(AND(Q493&lt;&gt;"",Q493&lt;&gt;0,T493&lt;&gt;""),T493/Q493,"")</f>
        <v/>
      </c>
      <c r="V493" s="26" t="str">
        <f aca="false">IF(AND(S493&lt;&gt;"",Q493&lt;&gt;""),S493-Q493,"")</f>
        <v/>
      </c>
      <c r="W493" s="27" t="str">
        <f aca="false">IF(AND(Q493&lt;&gt;"",Q493&lt;&gt;0,V493&lt;&gt;""),V493/Q493,"")</f>
        <v/>
      </c>
      <c r="X493" s="28" t="s">
        <v>37</v>
      </c>
      <c r="Y493" s="29" t="str">
        <f aca="false">IF(AND(O493&lt;&gt;"",M493&lt;&gt;"",O493&gt;M493),CONCATENATE("1 : ",TEXT((O493-M493)/M493,"0.00")),IF(AND(O493&lt;&gt;"",M493&lt;&gt;"",O493&lt;M493),CONCATENATE("-1 : ",TEXT((M493-O493)/M493,"0.00")),"—"))</f>
        <v>—</v>
      </c>
      <c r="Z493" s="30" t="str">
        <f aca="false">IF(AND(P493&lt;&gt;"",M493&lt;&gt;"",P493&gt;M493),CONCATENATE("1 : ",TEXT((P493-M493)/M493,"0.00")),"—")</f>
        <v>—</v>
      </c>
      <c r="AA493" s="31" t="str">
        <f aca="false">IF(AND(C493&lt;&gt;"",E493&lt;&gt;""),E493-C493,"")</f>
        <v/>
      </c>
      <c r="AB493" s="17"/>
      <c r="AC493" s="32"/>
      <c r="AD493" s="33"/>
      <c r="AE493" s="34" t="str">
        <f aca="false">IF(G493&lt;&gt;"",HYPERLINK("https://www.tradingview.com/chart/?symbol="&amp;G493&amp;"&amp;interval=60&amp;from="&amp;(AG493-10*3600)&amp;"&amp;to="&amp;(AG493+50*3600),"📈 1H"),"")</f>
        <v/>
      </c>
      <c r="AF493" s="35" t="str">
        <f aca="false">IF(G493&lt;&gt;"",HYPERLINK("https://www.tradingview.com/chart/?symbol="&amp;G493&amp;"&amp;interval=240&amp;from="&amp;(AG493-10*14400)&amp;"&amp;to="&amp;(AG493+50*14400),"📈 4H"),"")</f>
        <v/>
      </c>
      <c r="AG493" s="36" t="str">
        <f aca="false">IF(C493&lt;&gt;"",INT((C493+IF(D493&lt;&gt;"",D493,0)-DATE(1970,1,1))*86400),"")</f>
        <v/>
      </c>
    </row>
    <row r="494" customFormat="false" ht="19.5" hidden="false" customHeight="true" outlineLevel="0" collapsed="false">
      <c r="A494" s="37" t="n">
        <f aca="false">ROW()-4</f>
        <v>490</v>
      </c>
      <c r="B494" s="38"/>
      <c r="C494" s="39"/>
      <c r="D494" s="40"/>
      <c r="E494" s="39"/>
      <c r="F494" s="40"/>
      <c r="G494" s="41"/>
      <c r="H494" s="42"/>
      <c r="I494" s="43"/>
      <c r="J494" s="44"/>
      <c r="K494" s="39"/>
      <c r="L494" s="42"/>
      <c r="M494" s="44"/>
      <c r="N494" s="45"/>
      <c r="O494" s="44"/>
      <c r="P494" s="46"/>
      <c r="Q494" s="47" t="str">
        <f aca="false">IF(L494="","",IF(M494&lt;&gt;"",M494*L494*100,IF(AND(O494&lt;&gt;"",B494&lt;&gt;""),IFERROR(AVERAGEIF($B$5:$B$1004,B494,$M$5:$M$1004)*L494*100,""),"")))</f>
        <v/>
      </c>
      <c r="R494" s="47" t="str">
        <f aca="false">IF(AND(O494&lt;&gt;"",L494&lt;&gt;""),O494*L494*100,"")</f>
        <v/>
      </c>
      <c r="S494" s="48" t="str">
        <f aca="false">IF(AND(P494&lt;&gt;"",L494&lt;&gt;""),P494*L494*100,"")</f>
        <v/>
      </c>
      <c r="T494" s="49" t="str">
        <f aca="false">IF(AND(Q494&lt;&gt;"",R494&lt;&gt;""),R494-Q494,"")</f>
        <v/>
      </c>
      <c r="U494" s="50" t="str">
        <f aca="false">IF(AND(Q494&lt;&gt;"",Q494&lt;&gt;0,T494&lt;&gt;""),T494/Q494,"")</f>
        <v/>
      </c>
      <c r="V494" s="51" t="str">
        <f aca="false">IF(AND(S494&lt;&gt;"",Q494&lt;&gt;""),S494-Q494,"")</f>
        <v/>
      </c>
      <c r="W494" s="52" t="str">
        <f aca="false">IF(AND(Q494&lt;&gt;"",Q494&lt;&gt;0,V494&lt;&gt;""),V494/Q494,"")</f>
        <v/>
      </c>
      <c r="X494" s="53" t="s">
        <v>37</v>
      </c>
      <c r="Y494" s="54" t="str">
        <f aca="false">IF(AND(O494&lt;&gt;"",M494&lt;&gt;"",O494&gt;M494),CONCATENATE("1 : ",TEXT((O494-M494)/M494,"0.00")),IF(AND(O494&lt;&gt;"",M494&lt;&gt;"",O494&lt;M494),CONCATENATE("-1 : ",TEXT((M494-O494)/M494,"0.00")),"—"))</f>
        <v>—</v>
      </c>
      <c r="Z494" s="55" t="str">
        <f aca="false">IF(AND(P494&lt;&gt;"",M494&lt;&gt;"",P494&gt;M494),CONCATENATE("1 : ",TEXT((P494-M494)/M494,"0.00")),"—")</f>
        <v>—</v>
      </c>
      <c r="AA494" s="56" t="str">
        <f aca="false">IF(AND(C494&lt;&gt;"",E494&lt;&gt;""),E494-C494,"")</f>
        <v/>
      </c>
      <c r="AB494" s="42"/>
      <c r="AC494" s="57"/>
      <c r="AD494" s="58"/>
      <c r="AE494" s="59" t="str">
        <f aca="false">IF(G494&lt;&gt;"",HYPERLINK("https://www.tradingview.com/chart/?symbol="&amp;G494&amp;"&amp;interval=60&amp;from="&amp;(AG494-10*3600)&amp;"&amp;to="&amp;(AG494+50*3600),"📈 1H"),"")</f>
        <v/>
      </c>
      <c r="AF494" s="60" t="str">
        <f aca="false">IF(G494&lt;&gt;"",HYPERLINK("https://www.tradingview.com/chart/?symbol="&amp;G494&amp;"&amp;interval=240&amp;from="&amp;(AG494-10*14400)&amp;"&amp;to="&amp;(AG494+50*14400),"📈 4H"),"")</f>
        <v/>
      </c>
      <c r="AG494" s="36" t="str">
        <f aca="false">IF(C494&lt;&gt;"",INT((C494+IF(D494&lt;&gt;"",D494,0)-DATE(1970,1,1))*86400),"")</f>
        <v/>
      </c>
    </row>
    <row r="495" customFormat="false" ht="19.5" hidden="false" customHeight="true" outlineLevel="0" collapsed="false">
      <c r="A495" s="12" t="n">
        <f aca="false">ROW()-4</f>
        <v>491</v>
      </c>
      <c r="B495" s="13"/>
      <c r="C495" s="14"/>
      <c r="D495" s="15"/>
      <c r="E495" s="14"/>
      <c r="F495" s="15"/>
      <c r="G495" s="16"/>
      <c r="H495" s="17"/>
      <c r="I495" s="18"/>
      <c r="J495" s="19"/>
      <c r="K495" s="14"/>
      <c r="L495" s="17"/>
      <c r="M495" s="19"/>
      <c r="N495" s="20"/>
      <c r="O495" s="19"/>
      <c r="P495" s="21"/>
      <c r="Q495" s="22" t="str">
        <f aca="false">IF(L495="","",IF(M495&lt;&gt;"",M495*L495*100,IF(AND(O495&lt;&gt;"",B495&lt;&gt;""),IFERROR(AVERAGEIF($B$5:$B$1004,B495,$M$5:$M$1004)*L495*100,""),"")))</f>
        <v/>
      </c>
      <c r="R495" s="22" t="str">
        <f aca="false">IF(AND(O495&lt;&gt;"",L495&lt;&gt;""),O495*L495*100,"")</f>
        <v/>
      </c>
      <c r="S495" s="23" t="str">
        <f aca="false">IF(AND(P495&lt;&gt;"",L495&lt;&gt;""),P495*L495*100,"")</f>
        <v/>
      </c>
      <c r="T495" s="24" t="str">
        <f aca="false">IF(AND(Q495&lt;&gt;"",R495&lt;&gt;""),R495-Q495,"")</f>
        <v/>
      </c>
      <c r="U495" s="25" t="str">
        <f aca="false">IF(AND(Q495&lt;&gt;"",Q495&lt;&gt;0,T495&lt;&gt;""),T495/Q495,"")</f>
        <v/>
      </c>
      <c r="V495" s="26" t="str">
        <f aca="false">IF(AND(S495&lt;&gt;"",Q495&lt;&gt;""),S495-Q495,"")</f>
        <v/>
      </c>
      <c r="W495" s="27" t="str">
        <f aca="false">IF(AND(Q495&lt;&gt;"",Q495&lt;&gt;0,V495&lt;&gt;""),V495/Q495,"")</f>
        <v/>
      </c>
      <c r="X495" s="28" t="s">
        <v>37</v>
      </c>
      <c r="Y495" s="29" t="str">
        <f aca="false">IF(AND(O495&lt;&gt;"",M495&lt;&gt;"",O495&gt;M495),CONCATENATE("1 : ",TEXT((O495-M495)/M495,"0.00")),IF(AND(O495&lt;&gt;"",M495&lt;&gt;"",O495&lt;M495),CONCATENATE("-1 : ",TEXT((M495-O495)/M495,"0.00")),"—"))</f>
        <v>—</v>
      </c>
      <c r="Z495" s="30" t="str">
        <f aca="false">IF(AND(P495&lt;&gt;"",M495&lt;&gt;"",P495&gt;M495),CONCATENATE("1 : ",TEXT((P495-M495)/M495,"0.00")),"—")</f>
        <v>—</v>
      </c>
      <c r="AA495" s="31" t="str">
        <f aca="false">IF(AND(C495&lt;&gt;"",E495&lt;&gt;""),E495-C495,"")</f>
        <v/>
      </c>
      <c r="AB495" s="17"/>
      <c r="AC495" s="32"/>
      <c r="AD495" s="33"/>
      <c r="AE495" s="34" t="str">
        <f aca="false">IF(G495&lt;&gt;"",HYPERLINK("https://www.tradingview.com/chart/?symbol="&amp;G495&amp;"&amp;interval=60&amp;from="&amp;(AG495-10*3600)&amp;"&amp;to="&amp;(AG495+50*3600),"📈 1H"),"")</f>
        <v/>
      </c>
      <c r="AF495" s="35" t="str">
        <f aca="false">IF(G495&lt;&gt;"",HYPERLINK("https://www.tradingview.com/chart/?symbol="&amp;G495&amp;"&amp;interval=240&amp;from="&amp;(AG495-10*14400)&amp;"&amp;to="&amp;(AG495+50*14400),"📈 4H"),"")</f>
        <v/>
      </c>
      <c r="AG495" s="36" t="str">
        <f aca="false">IF(C495&lt;&gt;"",INT((C495+IF(D495&lt;&gt;"",D495,0)-DATE(1970,1,1))*86400),"")</f>
        <v/>
      </c>
    </row>
    <row r="496" customFormat="false" ht="19.5" hidden="false" customHeight="true" outlineLevel="0" collapsed="false">
      <c r="A496" s="37" t="n">
        <f aca="false">ROW()-4</f>
        <v>492</v>
      </c>
      <c r="B496" s="38"/>
      <c r="C496" s="39"/>
      <c r="D496" s="40"/>
      <c r="E496" s="39"/>
      <c r="F496" s="40"/>
      <c r="G496" s="41"/>
      <c r="H496" s="42"/>
      <c r="I496" s="43"/>
      <c r="J496" s="44"/>
      <c r="K496" s="39"/>
      <c r="L496" s="42"/>
      <c r="M496" s="44"/>
      <c r="N496" s="45"/>
      <c r="O496" s="44"/>
      <c r="P496" s="46"/>
      <c r="Q496" s="47" t="str">
        <f aca="false">IF(L496="","",IF(M496&lt;&gt;"",M496*L496*100,IF(AND(O496&lt;&gt;"",B496&lt;&gt;""),IFERROR(AVERAGEIF($B$5:$B$1004,B496,$M$5:$M$1004)*L496*100,""),"")))</f>
        <v/>
      </c>
      <c r="R496" s="47" t="str">
        <f aca="false">IF(AND(O496&lt;&gt;"",L496&lt;&gt;""),O496*L496*100,"")</f>
        <v/>
      </c>
      <c r="S496" s="48" t="str">
        <f aca="false">IF(AND(P496&lt;&gt;"",L496&lt;&gt;""),P496*L496*100,"")</f>
        <v/>
      </c>
      <c r="T496" s="49" t="str">
        <f aca="false">IF(AND(Q496&lt;&gt;"",R496&lt;&gt;""),R496-Q496,"")</f>
        <v/>
      </c>
      <c r="U496" s="50" t="str">
        <f aca="false">IF(AND(Q496&lt;&gt;"",Q496&lt;&gt;0,T496&lt;&gt;""),T496/Q496,"")</f>
        <v/>
      </c>
      <c r="V496" s="51" t="str">
        <f aca="false">IF(AND(S496&lt;&gt;"",Q496&lt;&gt;""),S496-Q496,"")</f>
        <v/>
      </c>
      <c r="W496" s="52" t="str">
        <f aca="false">IF(AND(Q496&lt;&gt;"",Q496&lt;&gt;0,V496&lt;&gt;""),V496/Q496,"")</f>
        <v/>
      </c>
      <c r="X496" s="53" t="s">
        <v>37</v>
      </c>
      <c r="Y496" s="54" t="str">
        <f aca="false">IF(AND(O496&lt;&gt;"",M496&lt;&gt;"",O496&gt;M496),CONCATENATE("1 : ",TEXT((O496-M496)/M496,"0.00")),IF(AND(O496&lt;&gt;"",M496&lt;&gt;"",O496&lt;M496),CONCATENATE("-1 : ",TEXT((M496-O496)/M496,"0.00")),"—"))</f>
        <v>—</v>
      </c>
      <c r="Z496" s="55" t="str">
        <f aca="false">IF(AND(P496&lt;&gt;"",M496&lt;&gt;"",P496&gt;M496),CONCATENATE("1 : ",TEXT((P496-M496)/M496,"0.00")),"—")</f>
        <v>—</v>
      </c>
      <c r="AA496" s="56" t="str">
        <f aca="false">IF(AND(C496&lt;&gt;"",E496&lt;&gt;""),E496-C496,"")</f>
        <v/>
      </c>
      <c r="AB496" s="42"/>
      <c r="AC496" s="57"/>
      <c r="AD496" s="58"/>
      <c r="AE496" s="59" t="str">
        <f aca="false">IF(G496&lt;&gt;"",HYPERLINK("https://www.tradingview.com/chart/?symbol="&amp;G496&amp;"&amp;interval=60&amp;from="&amp;(AG496-10*3600)&amp;"&amp;to="&amp;(AG496+50*3600),"📈 1H"),"")</f>
        <v/>
      </c>
      <c r="AF496" s="60" t="str">
        <f aca="false">IF(G496&lt;&gt;"",HYPERLINK("https://www.tradingview.com/chart/?symbol="&amp;G496&amp;"&amp;interval=240&amp;from="&amp;(AG496-10*14400)&amp;"&amp;to="&amp;(AG496+50*14400),"📈 4H"),"")</f>
        <v/>
      </c>
      <c r="AG496" s="36" t="str">
        <f aca="false">IF(C496&lt;&gt;"",INT((C496+IF(D496&lt;&gt;"",D496,0)-DATE(1970,1,1))*86400),"")</f>
        <v/>
      </c>
    </row>
    <row r="497" customFormat="false" ht="19.5" hidden="false" customHeight="true" outlineLevel="0" collapsed="false">
      <c r="A497" s="12" t="n">
        <f aca="false">ROW()-4</f>
        <v>493</v>
      </c>
      <c r="B497" s="13"/>
      <c r="C497" s="14"/>
      <c r="D497" s="15"/>
      <c r="E497" s="14"/>
      <c r="F497" s="15"/>
      <c r="G497" s="16"/>
      <c r="H497" s="17"/>
      <c r="I497" s="18"/>
      <c r="J497" s="19"/>
      <c r="K497" s="14"/>
      <c r="L497" s="17"/>
      <c r="M497" s="19"/>
      <c r="N497" s="20"/>
      <c r="O497" s="19"/>
      <c r="P497" s="21"/>
      <c r="Q497" s="22" t="str">
        <f aca="false">IF(L497="","",IF(M497&lt;&gt;"",M497*L497*100,IF(AND(O497&lt;&gt;"",B497&lt;&gt;""),IFERROR(AVERAGEIF($B$5:$B$1004,B497,$M$5:$M$1004)*L497*100,""),"")))</f>
        <v/>
      </c>
      <c r="R497" s="22" t="str">
        <f aca="false">IF(AND(O497&lt;&gt;"",L497&lt;&gt;""),O497*L497*100,"")</f>
        <v/>
      </c>
      <c r="S497" s="23" t="str">
        <f aca="false">IF(AND(P497&lt;&gt;"",L497&lt;&gt;""),P497*L497*100,"")</f>
        <v/>
      </c>
      <c r="T497" s="24" t="str">
        <f aca="false">IF(AND(Q497&lt;&gt;"",R497&lt;&gt;""),R497-Q497,"")</f>
        <v/>
      </c>
      <c r="U497" s="25" t="str">
        <f aca="false">IF(AND(Q497&lt;&gt;"",Q497&lt;&gt;0,T497&lt;&gt;""),T497/Q497,"")</f>
        <v/>
      </c>
      <c r="V497" s="26" t="str">
        <f aca="false">IF(AND(S497&lt;&gt;"",Q497&lt;&gt;""),S497-Q497,"")</f>
        <v/>
      </c>
      <c r="W497" s="27" t="str">
        <f aca="false">IF(AND(Q497&lt;&gt;"",Q497&lt;&gt;0,V497&lt;&gt;""),V497/Q497,"")</f>
        <v/>
      </c>
      <c r="X497" s="28" t="s">
        <v>37</v>
      </c>
      <c r="Y497" s="29" t="str">
        <f aca="false">IF(AND(O497&lt;&gt;"",M497&lt;&gt;"",O497&gt;M497),CONCATENATE("1 : ",TEXT((O497-M497)/M497,"0.00")),IF(AND(O497&lt;&gt;"",M497&lt;&gt;"",O497&lt;M497),CONCATENATE("-1 : ",TEXT((M497-O497)/M497,"0.00")),"—"))</f>
        <v>—</v>
      </c>
      <c r="Z497" s="30" t="str">
        <f aca="false">IF(AND(P497&lt;&gt;"",M497&lt;&gt;"",P497&gt;M497),CONCATENATE("1 : ",TEXT((P497-M497)/M497,"0.00")),"—")</f>
        <v>—</v>
      </c>
      <c r="AA497" s="31" t="str">
        <f aca="false">IF(AND(C497&lt;&gt;"",E497&lt;&gt;""),E497-C497,"")</f>
        <v/>
      </c>
      <c r="AB497" s="17"/>
      <c r="AC497" s="32"/>
      <c r="AD497" s="33"/>
      <c r="AE497" s="34" t="str">
        <f aca="false">IF(G497&lt;&gt;"",HYPERLINK("https://www.tradingview.com/chart/?symbol="&amp;G497&amp;"&amp;interval=60&amp;from="&amp;(AG497-10*3600)&amp;"&amp;to="&amp;(AG497+50*3600),"📈 1H"),"")</f>
        <v/>
      </c>
      <c r="AF497" s="35" t="str">
        <f aca="false">IF(G497&lt;&gt;"",HYPERLINK("https://www.tradingview.com/chart/?symbol="&amp;G497&amp;"&amp;interval=240&amp;from="&amp;(AG497-10*14400)&amp;"&amp;to="&amp;(AG497+50*14400),"📈 4H"),"")</f>
        <v/>
      </c>
      <c r="AG497" s="36" t="str">
        <f aca="false">IF(C497&lt;&gt;"",INT((C497+IF(D497&lt;&gt;"",D497,0)-DATE(1970,1,1))*86400),"")</f>
        <v/>
      </c>
    </row>
    <row r="498" customFormat="false" ht="19.5" hidden="false" customHeight="true" outlineLevel="0" collapsed="false">
      <c r="A498" s="37" t="n">
        <f aca="false">ROW()-4</f>
        <v>494</v>
      </c>
      <c r="B498" s="38"/>
      <c r="C498" s="39"/>
      <c r="D498" s="40"/>
      <c r="E498" s="39"/>
      <c r="F498" s="40"/>
      <c r="G498" s="41"/>
      <c r="H498" s="42"/>
      <c r="I498" s="43"/>
      <c r="J498" s="44"/>
      <c r="K498" s="39"/>
      <c r="L498" s="42"/>
      <c r="M498" s="44"/>
      <c r="N498" s="45"/>
      <c r="O498" s="44"/>
      <c r="P498" s="46"/>
      <c r="Q498" s="47" t="str">
        <f aca="false">IF(L498="","",IF(M498&lt;&gt;"",M498*L498*100,IF(AND(O498&lt;&gt;"",B498&lt;&gt;""),IFERROR(AVERAGEIF($B$5:$B$1004,B498,$M$5:$M$1004)*L498*100,""),"")))</f>
        <v/>
      </c>
      <c r="R498" s="47" t="str">
        <f aca="false">IF(AND(O498&lt;&gt;"",L498&lt;&gt;""),O498*L498*100,"")</f>
        <v/>
      </c>
      <c r="S498" s="48" t="str">
        <f aca="false">IF(AND(P498&lt;&gt;"",L498&lt;&gt;""),P498*L498*100,"")</f>
        <v/>
      </c>
      <c r="T498" s="49" t="str">
        <f aca="false">IF(AND(Q498&lt;&gt;"",R498&lt;&gt;""),R498-Q498,"")</f>
        <v/>
      </c>
      <c r="U498" s="50" t="str">
        <f aca="false">IF(AND(Q498&lt;&gt;"",Q498&lt;&gt;0,T498&lt;&gt;""),T498/Q498,"")</f>
        <v/>
      </c>
      <c r="V498" s="51" t="str">
        <f aca="false">IF(AND(S498&lt;&gt;"",Q498&lt;&gt;""),S498-Q498,"")</f>
        <v/>
      </c>
      <c r="W498" s="52" t="str">
        <f aca="false">IF(AND(Q498&lt;&gt;"",Q498&lt;&gt;0,V498&lt;&gt;""),V498/Q498,"")</f>
        <v/>
      </c>
      <c r="X498" s="53" t="s">
        <v>37</v>
      </c>
      <c r="Y498" s="54" t="str">
        <f aca="false">IF(AND(O498&lt;&gt;"",M498&lt;&gt;"",O498&gt;M498),CONCATENATE("1 : ",TEXT((O498-M498)/M498,"0.00")),IF(AND(O498&lt;&gt;"",M498&lt;&gt;"",O498&lt;M498),CONCATENATE("-1 : ",TEXT((M498-O498)/M498,"0.00")),"—"))</f>
        <v>—</v>
      </c>
      <c r="Z498" s="55" t="str">
        <f aca="false">IF(AND(P498&lt;&gt;"",M498&lt;&gt;"",P498&gt;M498),CONCATENATE("1 : ",TEXT((P498-M498)/M498,"0.00")),"—")</f>
        <v>—</v>
      </c>
      <c r="AA498" s="56" t="str">
        <f aca="false">IF(AND(C498&lt;&gt;"",E498&lt;&gt;""),E498-C498,"")</f>
        <v/>
      </c>
      <c r="AB498" s="42"/>
      <c r="AC498" s="57"/>
      <c r="AD498" s="58"/>
      <c r="AE498" s="59" t="str">
        <f aca="false">IF(G498&lt;&gt;"",HYPERLINK("https://www.tradingview.com/chart/?symbol="&amp;G498&amp;"&amp;interval=60&amp;from="&amp;(AG498-10*3600)&amp;"&amp;to="&amp;(AG498+50*3600),"📈 1H"),"")</f>
        <v/>
      </c>
      <c r="AF498" s="60" t="str">
        <f aca="false">IF(G498&lt;&gt;"",HYPERLINK("https://www.tradingview.com/chart/?symbol="&amp;G498&amp;"&amp;interval=240&amp;from="&amp;(AG498-10*14400)&amp;"&amp;to="&amp;(AG498+50*14400),"📈 4H"),"")</f>
        <v/>
      </c>
      <c r="AG498" s="36" t="str">
        <f aca="false">IF(C498&lt;&gt;"",INT((C498+IF(D498&lt;&gt;"",D498,0)-DATE(1970,1,1))*86400),"")</f>
        <v/>
      </c>
    </row>
    <row r="499" customFormat="false" ht="19.5" hidden="false" customHeight="true" outlineLevel="0" collapsed="false">
      <c r="A499" s="12" t="n">
        <f aca="false">ROW()-4</f>
        <v>495</v>
      </c>
      <c r="B499" s="13"/>
      <c r="C499" s="14"/>
      <c r="D499" s="15"/>
      <c r="E499" s="14"/>
      <c r="F499" s="15"/>
      <c r="G499" s="16"/>
      <c r="H499" s="17"/>
      <c r="I499" s="18"/>
      <c r="J499" s="19"/>
      <c r="K499" s="14"/>
      <c r="L499" s="17"/>
      <c r="M499" s="19"/>
      <c r="N499" s="20"/>
      <c r="O499" s="19"/>
      <c r="P499" s="21"/>
      <c r="Q499" s="22" t="str">
        <f aca="false">IF(L499="","",IF(M499&lt;&gt;"",M499*L499*100,IF(AND(O499&lt;&gt;"",B499&lt;&gt;""),IFERROR(AVERAGEIF($B$5:$B$1004,B499,$M$5:$M$1004)*L499*100,""),"")))</f>
        <v/>
      </c>
      <c r="R499" s="22" t="str">
        <f aca="false">IF(AND(O499&lt;&gt;"",L499&lt;&gt;""),O499*L499*100,"")</f>
        <v/>
      </c>
      <c r="S499" s="23" t="str">
        <f aca="false">IF(AND(P499&lt;&gt;"",L499&lt;&gt;""),P499*L499*100,"")</f>
        <v/>
      </c>
      <c r="T499" s="24" t="str">
        <f aca="false">IF(AND(Q499&lt;&gt;"",R499&lt;&gt;""),R499-Q499,"")</f>
        <v/>
      </c>
      <c r="U499" s="25" t="str">
        <f aca="false">IF(AND(Q499&lt;&gt;"",Q499&lt;&gt;0,T499&lt;&gt;""),T499/Q499,"")</f>
        <v/>
      </c>
      <c r="V499" s="26" t="str">
        <f aca="false">IF(AND(S499&lt;&gt;"",Q499&lt;&gt;""),S499-Q499,"")</f>
        <v/>
      </c>
      <c r="W499" s="27" t="str">
        <f aca="false">IF(AND(Q499&lt;&gt;"",Q499&lt;&gt;0,V499&lt;&gt;""),V499/Q499,"")</f>
        <v/>
      </c>
      <c r="X499" s="28" t="s">
        <v>37</v>
      </c>
      <c r="Y499" s="29" t="str">
        <f aca="false">IF(AND(O499&lt;&gt;"",M499&lt;&gt;"",O499&gt;M499),CONCATENATE("1 : ",TEXT((O499-M499)/M499,"0.00")),IF(AND(O499&lt;&gt;"",M499&lt;&gt;"",O499&lt;M499),CONCATENATE("-1 : ",TEXT((M499-O499)/M499,"0.00")),"—"))</f>
        <v>—</v>
      </c>
      <c r="Z499" s="30" t="str">
        <f aca="false">IF(AND(P499&lt;&gt;"",M499&lt;&gt;"",P499&gt;M499),CONCATENATE("1 : ",TEXT((P499-M499)/M499,"0.00")),"—")</f>
        <v>—</v>
      </c>
      <c r="AA499" s="31" t="str">
        <f aca="false">IF(AND(C499&lt;&gt;"",E499&lt;&gt;""),E499-C499,"")</f>
        <v/>
      </c>
      <c r="AB499" s="17"/>
      <c r="AC499" s="32"/>
      <c r="AD499" s="33"/>
      <c r="AE499" s="34" t="str">
        <f aca="false">IF(G499&lt;&gt;"",HYPERLINK("https://www.tradingview.com/chart/?symbol="&amp;G499&amp;"&amp;interval=60&amp;from="&amp;(AG499-10*3600)&amp;"&amp;to="&amp;(AG499+50*3600),"📈 1H"),"")</f>
        <v/>
      </c>
      <c r="AF499" s="35" t="str">
        <f aca="false">IF(G499&lt;&gt;"",HYPERLINK("https://www.tradingview.com/chart/?symbol="&amp;G499&amp;"&amp;interval=240&amp;from="&amp;(AG499-10*14400)&amp;"&amp;to="&amp;(AG499+50*14400),"📈 4H"),"")</f>
        <v/>
      </c>
      <c r="AG499" s="36" t="str">
        <f aca="false">IF(C499&lt;&gt;"",INT((C499+IF(D499&lt;&gt;"",D499,0)-DATE(1970,1,1))*86400),"")</f>
        <v/>
      </c>
    </row>
    <row r="500" customFormat="false" ht="19.5" hidden="false" customHeight="true" outlineLevel="0" collapsed="false">
      <c r="A500" s="37" t="n">
        <f aca="false">ROW()-4</f>
        <v>496</v>
      </c>
      <c r="B500" s="38"/>
      <c r="C500" s="39"/>
      <c r="D500" s="40"/>
      <c r="E500" s="39"/>
      <c r="F500" s="40"/>
      <c r="G500" s="41"/>
      <c r="H500" s="42"/>
      <c r="I500" s="43"/>
      <c r="J500" s="44"/>
      <c r="K500" s="39"/>
      <c r="L500" s="42"/>
      <c r="M500" s="44"/>
      <c r="N500" s="45"/>
      <c r="O500" s="44"/>
      <c r="P500" s="46"/>
      <c r="Q500" s="47" t="str">
        <f aca="false">IF(L500="","",IF(M500&lt;&gt;"",M500*L500*100,IF(AND(O500&lt;&gt;"",B500&lt;&gt;""),IFERROR(AVERAGEIF($B$5:$B$1004,B500,$M$5:$M$1004)*L500*100,""),"")))</f>
        <v/>
      </c>
      <c r="R500" s="47" t="str">
        <f aca="false">IF(AND(O500&lt;&gt;"",L500&lt;&gt;""),O500*L500*100,"")</f>
        <v/>
      </c>
      <c r="S500" s="48" t="str">
        <f aca="false">IF(AND(P500&lt;&gt;"",L500&lt;&gt;""),P500*L500*100,"")</f>
        <v/>
      </c>
      <c r="T500" s="49" t="str">
        <f aca="false">IF(AND(Q500&lt;&gt;"",R500&lt;&gt;""),R500-Q500,"")</f>
        <v/>
      </c>
      <c r="U500" s="50" t="str">
        <f aca="false">IF(AND(Q500&lt;&gt;"",Q500&lt;&gt;0,T500&lt;&gt;""),T500/Q500,"")</f>
        <v/>
      </c>
      <c r="V500" s="51" t="str">
        <f aca="false">IF(AND(S500&lt;&gt;"",Q500&lt;&gt;""),S500-Q500,"")</f>
        <v/>
      </c>
      <c r="W500" s="52" t="str">
        <f aca="false">IF(AND(Q500&lt;&gt;"",Q500&lt;&gt;0,V500&lt;&gt;""),V500/Q500,"")</f>
        <v/>
      </c>
      <c r="X500" s="53" t="s">
        <v>37</v>
      </c>
      <c r="Y500" s="54" t="str">
        <f aca="false">IF(AND(O500&lt;&gt;"",M500&lt;&gt;"",O500&gt;M500),CONCATENATE("1 : ",TEXT((O500-M500)/M500,"0.00")),IF(AND(O500&lt;&gt;"",M500&lt;&gt;"",O500&lt;M500),CONCATENATE("-1 : ",TEXT((M500-O500)/M500,"0.00")),"—"))</f>
        <v>—</v>
      </c>
      <c r="Z500" s="55" t="str">
        <f aca="false">IF(AND(P500&lt;&gt;"",M500&lt;&gt;"",P500&gt;M500),CONCATENATE("1 : ",TEXT((P500-M500)/M500,"0.00")),"—")</f>
        <v>—</v>
      </c>
      <c r="AA500" s="56" t="str">
        <f aca="false">IF(AND(C500&lt;&gt;"",E500&lt;&gt;""),E500-C500,"")</f>
        <v/>
      </c>
      <c r="AB500" s="42"/>
      <c r="AC500" s="57"/>
      <c r="AD500" s="58"/>
      <c r="AE500" s="59" t="str">
        <f aca="false">IF(G500&lt;&gt;"",HYPERLINK("https://www.tradingview.com/chart/?symbol="&amp;G500&amp;"&amp;interval=60&amp;from="&amp;(AG500-10*3600)&amp;"&amp;to="&amp;(AG500+50*3600),"📈 1H"),"")</f>
        <v/>
      </c>
      <c r="AF500" s="60" t="str">
        <f aca="false">IF(G500&lt;&gt;"",HYPERLINK("https://www.tradingview.com/chart/?symbol="&amp;G500&amp;"&amp;interval=240&amp;from="&amp;(AG500-10*14400)&amp;"&amp;to="&amp;(AG500+50*14400),"📈 4H"),"")</f>
        <v/>
      </c>
      <c r="AG500" s="36" t="str">
        <f aca="false">IF(C500&lt;&gt;"",INT((C500+IF(D500&lt;&gt;"",D500,0)-DATE(1970,1,1))*86400),"")</f>
        <v/>
      </c>
    </row>
    <row r="501" customFormat="false" ht="19.5" hidden="false" customHeight="true" outlineLevel="0" collapsed="false">
      <c r="A501" s="12" t="n">
        <f aca="false">ROW()-4</f>
        <v>497</v>
      </c>
      <c r="B501" s="13"/>
      <c r="C501" s="14"/>
      <c r="D501" s="15"/>
      <c r="E501" s="14"/>
      <c r="F501" s="15"/>
      <c r="G501" s="16"/>
      <c r="H501" s="17"/>
      <c r="I501" s="18"/>
      <c r="J501" s="19"/>
      <c r="K501" s="14"/>
      <c r="L501" s="17"/>
      <c r="M501" s="19"/>
      <c r="N501" s="20"/>
      <c r="O501" s="19"/>
      <c r="P501" s="21"/>
      <c r="Q501" s="22" t="str">
        <f aca="false">IF(L501="","",IF(M501&lt;&gt;"",M501*L501*100,IF(AND(O501&lt;&gt;"",B501&lt;&gt;""),IFERROR(AVERAGEIF($B$5:$B$1004,B501,$M$5:$M$1004)*L501*100,""),"")))</f>
        <v/>
      </c>
      <c r="R501" s="22" t="str">
        <f aca="false">IF(AND(O501&lt;&gt;"",L501&lt;&gt;""),O501*L501*100,"")</f>
        <v/>
      </c>
      <c r="S501" s="23" t="str">
        <f aca="false">IF(AND(P501&lt;&gt;"",L501&lt;&gt;""),P501*L501*100,"")</f>
        <v/>
      </c>
      <c r="T501" s="24" t="str">
        <f aca="false">IF(AND(Q501&lt;&gt;"",R501&lt;&gt;""),R501-Q501,"")</f>
        <v/>
      </c>
      <c r="U501" s="25" t="str">
        <f aca="false">IF(AND(Q501&lt;&gt;"",Q501&lt;&gt;0,T501&lt;&gt;""),T501/Q501,"")</f>
        <v/>
      </c>
      <c r="V501" s="26" t="str">
        <f aca="false">IF(AND(S501&lt;&gt;"",Q501&lt;&gt;""),S501-Q501,"")</f>
        <v/>
      </c>
      <c r="W501" s="27" t="str">
        <f aca="false">IF(AND(Q501&lt;&gt;"",Q501&lt;&gt;0,V501&lt;&gt;""),V501/Q501,"")</f>
        <v/>
      </c>
      <c r="X501" s="28" t="s">
        <v>37</v>
      </c>
      <c r="Y501" s="29" t="str">
        <f aca="false">IF(AND(O501&lt;&gt;"",M501&lt;&gt;"",O501&gt;M501),CONCATENATE("1 : ",TEXT((O501-M501)/M501,"0.00")),IF(AND(O501&lt;&gt;"",M501&lt;&gt;"",O501&lt;M501),CONCATENATE("-1 : ",TEXT((M501-O501)/M501,"0.00")),"—"))</f>
        <v>—</v>
      </c>
      <c r="Z501" s="30" t="str">
        <f aca="false">IF(AND(P501&lt;&gt;"",M501&lt;&gt;"",P501&gt;M501),CONCATENATE("1 : ",TEXT((P501-M501)/M501,"0.00")),"—")</f>
        <v>—</v>
      </c>
      <c r="AA501" s="31" t="str">
        <f aca="false">IF(AND(C501&lt;&gt;"",E501&lt;&gt;""),E501-C501,"")</f>
        <v/>
      </c>
      <c r="AB501" s="17"/>
      <c r="AC501" s="32"/>
      <c r="AD501" s="33"/>
      <c r="AE501" s="34" t="str">
        <f aca="false">IF(G501&lt;&gt;"",HYPERLINK("https://www.tradingview.com/chart/?symbol="&amp;G501&amp;"&amp;interval=60&amp;from="&amp;(AG501-10*3600)&amp;"&amp;to="&amp;(AG501+50*3600),"📈 1H"),"")</f>
        <v/>
      </c>
      <c r="AF501" s="35" t="str">
        <f aca="false">IF(G501&lt;&gt;"",HYPERLINK("https://www.tradingview.com/chart/?symbol="&amp;G501&amp;"&amp;interval=240&amp;from="&amp;(AG501-10*14400)&amp;"&amp;to="&amp;(AG501+50*14400),"📈 4H"),"")</f>
        <v/>
      </c>
      <c r="AG501" s="36" t="str">
        <f aca="false">IF(C501&lt;&gt;"",INT((C501+IF(D501&lt;&gt;"",D501,0)-DATE(1970,1,1))*86400),"")</f>
        <v/>
      </c>
    </row>
    <row r="502" customFormat="false" ht="19.5" hidden="false" customHeight="true" outlineLevel="0" collapsed="false">
      <c r="A502" s="37" t="n">
        <f aca="false">ROW()-4</f>
        <v>498</v>
      </c>
      <c r="B502" s="38"/>
      <c r="C502" s="39"/>
      <c r="D502" s="40"/>
      <c r="E502" s="39"/>
      <c r="F502" s="40"/>
      <c r="G502" s="41"/>
      <c r="H502" s="42"/>
      <c r="I502" s="43"/>
      <c r="J502" s="44"/>
      <c r="K502" s="39"/>
      <c r="L502" s="42"/>
      <c r="M502" s="44"/>
      <c r="N502" s="45"/>
      <c r="O502" s="44"/>
      <c r="P502" s="46"/>
      <c r="Q502" s="47" t="str">
        <f aca="false">IF(L502="","",IF(M502&lt;&gt;"",M502*L502*100,IF(AND(O502&lt;&gt;"",B502&lt;&gt;""),IFERROR(AVERAGEIF($B$5:$B$1004,B502,$M$5:$M$1004)*L502*100,""),"")))</f>
        <v/>
      </c>
      <c r="R502" s="47" t="str">
        <f aca="false">IF(AND(O502&lt;&gt;"",L502&lt;&gt;""),O502*L502*100,"")</f>
        <v/>
      </c>
      <c r="S502" s="48" t="str">
        <f aca="false">IF(AND(P502&lt;&gt;"",L502&lt;&gt;""),P502*L502*100,"")</f>
        <v/>
      </c>
      <c r="T502" s="49" t="str">
        <f aca="false">IF(AND(Q502&lt;&gt;"",R502&lt;&gt;""),R502-Q502,"")</f>
        <v/>
      </c>
      <c r="U502" s="50" t="str">
        <f aca="false">IF(AND(Q502&lt;&gt;"",Q502&lt;&gt;0,T502&lt;&gt;""),T502/Q502,"")</f>
        <v/>
      </c>
      <c r="V502" s="51" t="str">
        <f aca="false">IF(AND(S502&lt;&gt;"",Q502&lt;&gt;""),S502-Q502,"")</f>
        <v/>
      </c>
      <c r="W502" s="52" t="str">
        <f aca="false">IF(AND(Q502&lt;&gt;"",Q502&lt;&gt;0,V502&lt;&gt;""),V502/Q502,"")</f>
        <v/>
      </c>
      <c r="X502" s="53" t="s">
        <v>37</v>
      </c>
      <c r="Y502" s="54" t="str">
        <f aca="false">IF(AND(O502&lt;&gt;"",M502&lt;&gt;"",O502&gt;M502),CONCATENATE("1 : ",TEXT((O502-M502)/M502,"0.00")),IF(AND(O502&lt;&gt;"",M502&lt;&gt;"",O502&lt;M502),CONCATENATE("-1 : ",TEXT((M502-O502)/M502,"0.00")),"—"))</f>
        <v>—</v>
      </c>
      <c r="Z502" s="55" t="str">
        <f aca="false">IF(AND(P502&lt;&gt;"",M502&lt;&gt;"",P502&gt;M502),CONCATENATE("1 : ",TEXT((P502-M502)/M502,"0.00")),"—")</f>
        <v>—</v>
      </c>
      <c r="AA502" s="56" t="str">
        <f aca="false">IF(AND(C502&lt;&gt;"",E502&lt;&gt;""),E502-C502,"")</f>
        <v/>
      </c>
      <c r="AB502" s="42"/>
      <c r="AC502" s="57"/>
      <c r="AD502" s="58"/>
      <c r="AE502" s="59" t="str">
        <f aca="false">IF(G502&lt;&gt;"",HYPERLINK("https://www.tradingview.com/chart/?symbol="&amp;G502&amp;"&amp;interval=60&amp;from="&amp;(AG502-10*3600)&amp;"&amp;to="&amp;(AG502+50*3600),"📈 1H"),"")</f>
        <v/>
      </c>
      <c r="AF502" s="60" t="str">
        <f aca="false">IF(G502&lt;&gt;"",HYPERLINK("https://www.tradingview.com/chart/?symbol="&amp;G502&amp;"&amp;interval=240&amp;from="&amp;(AG502-10*14400)&amp;"&amp;to="&amp;(AG502+50*14400),"📈 4H"),"")</f>
        <v/>
      </c>
      <c r="AG502" s="36" t="str">
        <f aca="false">IF(C502&lt;&gt;"",INT((C502+IF(D502&lt;&gt;"",D502,0)-DATE(1970,1,1))*86400),"")</f>
        <v/>
      </c>
    </row>
    <row r="503" customFormat="false" ht="19.5" hidden="false" customHeight="true" outlineLevel="0" collapsed="false">
      <c r="A503" s="12" t="n">
        <f aca="false">ROW()-4</f>
        <v>499</v>
      </c>
      <c r="B503" s="13"/>
      <c r="C503" s="14"/>
      <c r="D503" s="15"/>
      <c r="E503" s="14"/>
      <c r="F503" s="15"/>
      <c r="G503" s="16"/>
      <c r="H503" s="17"/>
      <c r="I503" s="18"/>
      <c r="J503" s="19"/>
      <c r="K503" s="14"/>
      <c r="L503" s="17"/>
      <c r="M503" s="19"/>
      <c r="N503" s="20"/>
      <c r="O503" s="19"/>
      <c r="P503" s="21"/>
      <c r="Q503" s="22" t="str">
        <f aca="false">IF(L503="","",IF(M503&lt;&gt;"",M503*L503*100,IF(AND(O503&lt;&gt;"",B503&lt;&gt;""),IFERROR(AVERAGEIF($B$5:$B$1004,B503,$M$5:$M$1004)*L503*100,""),"")))</f>
        <v/>
      </c>
      <c r="R503" s="22" t="str">
        <f aca="false">IF(AND(O503&lt;&gt;"",L503&lt;&gt;""),O503*L503*100,"")</f>
        <v/>
      </c>
      <c r="S503" s="23" t="str">
        <f aca="false">IF(AND(P503&lt;&gt;"",L503&lt;&gt;""),P503*L503*100,"")</f>
        <v/>
      </c>
      <c r="T503" s="24" t="str">
        <f aca="false">IF(AND(Q503&lt;&gt;"",R503&lt;&gt;""),R503-Q503,"")</f>
        <v/>
      </c>
      <c r="U503" s="25" t="str">
        <f aca="false">IF(AND(Q503&lt;&gt;"",Q503&lt;&gt;0,T503&lt;&gt;""),T503/Q503,"")</f>
        <v/>
      </c>
      <c r="V503" s="26" t="str">
        <f aca="false">IF(AND(S503&lt;&gt;"",Q503&lt;&gt;""),S503-Q503,"")</f>
        <v/>
      </c>
      <c r="W503" s="27" t="str">
        <f aca="false">IF(AND(Q503&lt;&gt;"",Q503&lt;&gt;0,V503&lt;&gt;""),V503/Q503,"")</f>
        <v/>
      </c>
      <c r="X503" s="28" t="s">
        <v>37</v>
      </c>
      <c r="Y503" s="29" t="str">
        <f aca="false">IF(AND(O503&lt;&gt;"",M503&lt;&gt;"",O503&gt;M503),CONCATENATE("1 : ",TEXT((O503-M503)/M503,"0.00")),IF(AND(O503&lt;&gt;"",M503&lt;&gt;"",O503&lt;M503),CONCATENATE("-1 : ",TEXT((M503-O503)/M503,"0.00")),"—"))</f>
        <v>—</v>
      </c>
      <c r="Z503" s="30" t="str">
        <f aca="false">IF(AND(P503&lt;&gt;"",M503&lt;&gt;"",P503&gt;M503),CONCATENATE("1 : ",TEXT((P503-M503)/M503,"0.00")),"—")</f>
        <v>—</v>
      </c>
      <c r="AA503" s="31" t="str">
        <f aca="false">IF(AND(C503&lt;&gt;"",E503&lt;&gt;""),E503-C503,"")</f>
        <v/>
      </c>
      <c r="AB503" s="17"/>
      <c r="AC503" s="32"/>
      <c r="AD503" s="33"/>
      <c r="AE503" s="34" t="str">
        <f aca="false">IF(G503&lt;&gt;"",HYPERLINK("https://www.tradingview.com/chart/?symbol="&amp;G503&amp;"&amp;interval=60&amp;from="&amp;(AG503-10*3600)&amp;"&amp;to="&amp;(AG503+50*3600),"📈 1H"),"")</f>
        <v/>
      </c>
      <c r="AF503" s="35" t="str">
        <f aca="false">IF(G503&lt;&gt;"",HYPERLINK("https://www.tradingview.com/chart/?symbol="&amp;G503&amp;"&amp;interval=240&amp;from="&amp;(AG503-10*14400)&amp;"&amp;to="&amp;(AG503+50*14400),"📈 4H"),"")</f>
        <v/>
      </c>
      <c r="AG503" s="36" t="str">
        <f aca="false">IF(C503&lt;&gt;"",INT((C503+IF(D503&lt;&gt;"",D503,0)-DATE(1970,1,1))*86400),"")</f>
        <v/>
      </c>
    </row>
    <row r="504" customFormat="false" ht="19.5" hidden="false" customHeight="true" outlineLevel="0" collapsed="false">
      <c r="A504" s="37" t="n">
        <f aca="false">ROW()-4</f>
        <v>500</v>
      </c>
      <c r="B504" s="38"/>
      <c r="C504" s="39"/>
      <c r="D504" s="40"/>
      <c r="E504" s="39"/>
      <c r="F504" s="40"/>
      <c r="G504" s="41"/>
      <c r="H504" s="42"/>
      <c r="I504" s="43"/>
      <c r="J504" s="44"/>
      <c r="K504" s="39"/>
      <c r="L504" s="42"/>
      <c r="M504" s="44"/>
      <c r="N504" s="45"/>
      <c r="O504" s="44"/>
      <c r="P504" s="46"/>
      <c r="Q504" s="47" t="str">
        <f aca="false">IF(L504="","",IF(M504&lt;&gt;"",M504*L504*100,IF(AND(O504&lt;&gt;"",B504&lt;&gt;""),IFERROR(AVERAGEIF($B$5:$B$1004,B504,$M$5:$M$1004)*L504*100,""),"")))</f>
        <v/>
      </c>
      <c r="R504" s="47" t="str">
        <f aca="false">IF(AND(O504&lt;&gt;"",L504&lt;&gt;""),O504*L504*100,"")</f>
        <v/>
      </c>
      <c r="S504" s="48" t="str">
        <f aca="false">IF(AND(P504&lt;&gt;"",L504&lt;&gt;""),P504*L504*100,"")</f>
        <v/>
      </c>
      <c r="T504" s="49" t="str">
        <f aca="false">IF(AND(Q504&lt;&gt;"",R504&lt;&gt;""),R504-Q504,"")</f>
        <v/>
      </c>
      <c r="U504" s="50" t="str">
        <f aca="false">IF(AND(Q504&lt;&gt;"",Q504&lt;&gt;0,T504&lt;&gt;""),T504/Q504,"")</f>
        <v/>
      </c>
      <c r="V504" s="51" t="str">
        <f aca="false">IF(AND(S504&lt;&gt;"",Q504&lt;&gt;""),S504-Q504,"")</f>
        <v/>
      </c>
      <c r="W504" s="52" t="str">
        <f aca="false">IF(AND(Q504&lt;&gt;"",Q504&lt;&gt;0,V504&lt;&gt;""),V504/Q504,"")</f>
        <v/>
      </c>
      <c r="X504" s="53" t="s">
        <v>37</v>
      </c>
      <c r="Y504" s="54" t="str">
        <f aca="false">IF(AND(O504&lt;&gt;"",M504&lt;&gt;"",O504&gt;M504),CONCATENATE("1 : ",TEXT((O504-M504)/M504,"0.00")),IF(AND(O504&lt;&gt;"",M504&lt;&gt;"",O504&lt;M504),CONCATENATE("-1 : ",TEXT((M504-O504)/M504,"0.00")),"—"))</f>
        <v>—</v>
      </c>
      <c r="Z504" s="55" t="str">
        <f aca="false">IF(AND(P504&lt;&gt;"",M504&lt;&gt;"",P504&gt;M504),CONCATENATE("1 : ",TEXT((P504-M504)/M504,"0.00")),"—")</f>
        <v>—</v>
      </c>
      <c r="AA504" s="56" t="str">
        <f aca="false">IF(AND(C504&lt;&gt;"",E504&lt;&gt;""),E504-C504,"")</f>
        <v/>
      </c>
      <c r="AB504" s="42"/>
      <c r="AC504" s="57"/>
      <c r="AD504" s="58"/>
      <c r="AE504" s="59" t="str">
        <f aca="false">IF(G504&lt;&gt;"",HYPERLINK("https://www.tradingview.com/chart/?symbol="&amp;G504&amp;"&amp;interval=60&amp;from="&amp;(AG504-10*3600)&amp;"&amp;to="&amp;(AG504+50*3600),"📈 1H"),"")</f>
        <v/>
      </c>
      <c r="AF504" s="60" t="str">
        <f aca="false">IF(G504&lt;&gt;"",HYPERLINK("https://www.tradingview.com/chart/?symbol="&amp;G504&amp;"&amp;interval=240&amp;from="&amp;(AG504-10*14400)&amp;"&amp;to="&amp;(AG504+50*14400),"📈 4H"),"")</f>
        <v/>
      </c>
      <c r="AG504" s="36" t="str">
        <f aca="false">IF(C504&lt;&gt;"",INT((C504+IF(D504&lt;&gt;"",D504,0)-DATE(1970,1,1))*86400),"")</f>
        <v/>
      </c>
    </row>
    <row r="505" customFormat="false" ht="19.5" hidden="false" customHeight="true" outlineLevel="0" collapsed="false">
      <c r="A505" s="12" t="n">
        <f aca="false">ROW()-4</f>
        <v>501</v>
      </c>
      <c r="B505" s="13"/>
      <c r="C505" s="14"/>
      <c r="D505" s="15"/>
      <c r="E505" s="14"/>
      <c r="F505" s="15"/>
      <c r="G505" s="16"/>
      <c r="H505" s="17"/>
      <c r="I505" s="18"/>
      <c r="J505" s="19"/>
      <c r="K505" s="14"/>
      <c r="L505" s="17"/>
      <c r="M505" s="19"/>
      <c r="N505" s="20"/>
      <c r="O505" s="19"/>
      <c r="P505" s="21"/>
      <c r="Q505" s="22" t="str">
        <f aca="false">IF(L505="","",IF(M505&lt;&gt;"",M505*L505*100,IF(AND(O505&lt;&gt;"",B505&lt;&gt;""),IFERROR(AVERAGEIF($B$5:$B$1004,B505,$M$5:$M$1004)*L505*100,""),"")))</f>
        <v/>
      </c>
      <c r="R505" s="22" t="str">
        <f aca="false">IF(AND(O505&lt;&gt;"",L505&lt;&gt;""),O505*L505*100,"")</f>
        <v/>
      </c>
      <c r="S505" s="23" t="str">
        <f aca="false">IF(AND(P505&lt;&gt;"",L505&lt;&gt;""),P505*L505*100,"")</f>
        <v/>
      </c>
      <c r="T505" s="24" t="str">
        <f aca="false">IF(AND(Q505&lt;&gt;"",R505&lt;&gt;""),R505-Q505,"")</f>
        <v/>
      </c>
      <c r="U505" s="25" t="str">
        <f aca="false">IF(AND(Q505&lt;&gt;"",Q505&lt;&gt;0,T505&lt;&gt;""),T505/Q505,"")</f>
        <v/>
      </c>
      <c r="V505" s="26" t="str">
        <f aca="false">IF(AND(S505&lt;&gt;"",Q505&lt;&gt;""),S505-Q505,"")</f>
        <v/>
      </c>
      <c r="W505" s="27" t="str">
        <f aca="false">IF(AND(Q505&lt;&gt;"",Q505&lt;&gt;0,V505&lt;&gt;""),V505/Q505,"")</f>
        <v/>
      </c>
      <c r="X505" s="28" t="s">
        <v>37</v>
      </c>
      <c r="Y505" s="29" t="str">
        <f aca="false">IF(AND(O505&lt;&gt;"",M505&lt;&gt;"",O505&gt;M505),CONCATENATE("1 : ",TEXT((O505-M505)/M505,"0.00")),IF(AND(O505&lt;&gt;"",M505&lt;&gt;"",O505&lt;M505),CONCATENATE("-1 : ",TEXT((M505-O505)/M505,"0.00")),"—"))</f>
        <v>—</v>
      </c>
      <c r="Z505" s="30" t="str">
        <f aca="false">IF(AND(P505&lt;&gt;"",M505&lt;&gt;"",P505&gt;M505),CONCATENATE("1 : ",TEXT((P505-M505)/M505,"0.00")),"—")</f>
        <v>—</v>
      </c>
      <c r="AA505" s="31" t="str">
        <f aca="false">IF(AND(C505&lt;&gt;"",E505&lt;&gt;""),E505-C505,"")</f>
        <v/>
      </c>
      <c r="AB505" s="17"/>
      <c r="AC505" s="32"/>
      <c r="AD505" s="33"/>
      <c r="AE505" s="34" t="str">
        <f aca="false">IF(G505&lt;&gt;"",HYPERLINK("https://www.tradingview.com/chart/?symbol="&amp;G505&amp;"&amp;interval=60&amp;from="&amp;(AG505-10*3600)&amp;"&amp;to="&amp;(AG505+50*3600),"📈 1H"),"")</f>
        <v/>
      </c>
      <c r="AF505" s="35" t="str">
        <f aca="false">IF(G505&lt;&gt;"",HYPERLINK("https://www.tradingview.com/chart/?symbol="&amp;G505&amp;"&amp;interval=240&amp;from="&amp;(AG505-10*14400)&amp;"&amp;to="&amp;(AG505+50*14400),"📈 4H"),"")</f>
        <v/>
      </c>
      <c r="AG505" s="36" t="str">
        <f aca="false">IF(C505&lt;&gt;"",INT((C505+IF(D505&lt;&gt;"",D505,0)-DATE(1970,1,1))*86400),"")</f>
        <v/>
      </c>
    </row>
    <row r="506" customFormat="false" ht="19.5" hidden="false" customHeight="true" outlineLevel="0" collapsed="false">
      <c r="A506" s="37" t="n">
        <f aca="false">ROW()-4</f>
        <v>502</v>
      </c>
      <c r="B506" s="38"/>
      <c r="C506" s="39"/>
      <c r="D506" s="40"/>
      <c r="E506" s="39"/>
      <c r="F506" s="40"/>
      <c r="G506" s="41"/>
      <c r="H506" s="42"/>
      <c r="I506" s="43"/>
      <c r="J506" s="44"/>
      <c r="K506" s="39"/>
      <c r="L506" s="42"/>
      <c r="M506" s="44"/>
      <c r="N506" s="45"/>
      <c r="O506" s="44"/>
      <c r="P506" s="46"/>
      <c r="Q506" s="47" t="str">
        <f aca="false">IF(L506="","",IF(M506&lt;&gt;"",M506*L506*100,IF(AND(O506&lt;&gt;"",B506&lt;&gt;""),IFERROR(AVERAGEIF($B$5:$B$1004,B506,$M$5:$M$1004)*L506*100,""),"")))</f>
        <v/>
      </c>
      <c r="R506" s="47" t="str">
        <f aca="false">IF(AND(O506&lt;&gt;"",L506&lt;&gt;""),O506*L506*100,"")</f>
        <v/>
      </c>
      <c r="S506" s="48" t="str">
        <f aca="false">IF(AND(P506&lt;&gt;"",L506&lt;&gt;""),P506*L506*100,"")</f>
        <v/>
      </c>
      <c r="T506" s="49" t="str">
        <f aca="false">IF(AND(Q506&lt;&gt;"",R506&lt;&gt;""),R506-Q506,"")</f>
        <v/>
      </c>
      <c r="U506" s="50" t="str">
        <f aca="false">IF(AND(Q506&lt;&gt;"",Q506&lt;&gt;0,T506&lt;&gt;""),T506/Q506,"")</f>
        <v/>
      </c>
      <c r="V506" s="51" t="str">
        <f aca="false">IF(AND(S506&lt;&gt;"",Q506&lt;&gt;""),S506-Q506,"")</f>
        <v/>
      </c>
      <c r="W506" s="52" t="str">
        <f aca="false">IF(AND(Q506&lt;&gt;"",Q506&lt;&gt;0,V506&lt;&gt;""),V506/Q506,"")</f>
        <v/>
      </c>
      <c r="X506" s="53" t="s">
        <v>37</v>
      </c>
      <c r="Y506" s="54" t="str">
        <f aca="false">IF(AND(O506&lt;&gt;"",M506&lt;&gt;"",O506&gt;M506),CONCATENATE("1 : ",TEXT((O506-M506)/M506,"0.00")),IF(AND(O506&lt;&gt;"",M506&lt;&gt;"",O506&lt;M506),CONCATENATE("-1 : ",TEXT((M506-O506)/M506,"0.00")),"—"))</f>
        <v>—</v>
      </c>
      <c r="Z506" s="55" t="str">
        <f aca="false">IF(AND(P506&lt;&gt;"",M506&lt;&gt;"",P506&gt;M506),CONCATENATE("1 : ",TEXT((P506-M506)/M506,"0.00")),"—")</f>
        <v>—</v>
      </c>
      <c r="AA506" s="56" t="str">
        <f aca="false">IF(AND(C506&lt;&gt;"",E506&lt;&gt;""),E506-C506,"")</f>
        <v/>
      </c>
      <c r="AB506" s="42"/>
      <c r="AC506" s="57"/>
      <c r="AD506" s="58"/>
      <c r="AE506" s="59" t="str">
        <f aca="false">IF(G506&lt;&gt;"",HYPERLINK("https://www.tradingview.com/chart/?symbol="&amp;G506&amp;"&amp;interval=60&amp;from="&amp;(AG506-10*3600)&amp;"&amp;to="&amp;(AG506+50*3600),"📈 1H"),"")</f>
        <v/>
      </c>
      <c r="AF506" s="60" t="str">
        <f aca="false">IF(G506&lt;&gt;"",HYPERLINK("https://www.tradingview.com/chart/?symbol="&amp;G506&amp;"&amp;interval=240&amp;from="&amp;(AG506-10*14400)&amp;"&amp;to="&amp;(AG506+50*14400),"📈 4H"),"")</f>
        <v/>
      </c>
      <c r="AG506" s="36" t="str">
        <f aca="false">IF(C506&lt;&gt;"",INT((C506+IF(D506&lt;&gt;"",D506,0)-DATE(1970,1,1))*86400),"")</f>
        <v/>
      </c>
    </row>
    <row r="507" customFormat="false" ht="19.5" hidden="false" customHeight="true" outlineLevel="0" collapsed="false">
      <c r="A507" s="12" t="n">
        <f aca="false">ROW()-4</f>
        <v>503</v>
      </c>
      <c r="B507" s="13"/>
      <c r="C507" s="14"/>
      <c r="D507" s="15"/>
      <c r="E507" s="14"/>
      <c r="F507" s="15"/>
      <c r="G507" s="16"/>
      <c r="H507" s="17"/>
      <c r="I507" s="18"/>
      <c r="J507" s="19"/>
      <c r="K507" s="14"/>
      <c r="L507" s="17"/>
      <c r="M507" s="19"/>
      <c r="N507" s="20"/>
      <c r="O507" s="19"/>
      <c r="P507" s="21"/>
      <c r="Q507" s="22" t="str">
        <f aca="false">IF(L507="","",IF(M507&lt;&gt;"",M507*L507*100,IF(AND(O507&lt;&gt;"",B507&lt;&gt;""),IFERROR(AVERAGEIF($B$5:$B$1004,B507,$M$5:$M$1004)*L507*100,""),"")))</f>
        <v/>
      </c>
      <c r="R507" s="22" t="str">
        <f aca="false">IF(AND(O507&lt;&gt;"",L507&lt;&gt;""),O507*L507*100,"")</f>
        <v/>
      </c>
      <c r="S507" s="23" t="str">
        <f aca="false">IF(AND(P507&lt;&gt;"",L507&lt;&gt;""),P507*L507*100,"")</f>
        <v/>
      </c>
      <c r="T507" s="24" t="str">
        <f aca="false">IF(AND(Q507&lt;&gt;"",R507&lt;&gt;""),R507-Q507,"")</f>
        <v/>
      </c>
      <c r="U507" s="25" t="str">
        <f aca="false">IF(AND(Q507&lt;&gt;"",Q507&lt;&gt;0,T507&lt;&gt;""),T507/Q507,"")</f>
        <v/>
      </c>
      <c r="V507" s="26" t="str">
        <f aca="false">IF(AND(S507&lt;&gt;"",Q507&lt;&gt;""),S507-Q507,"")</f>
        <v/>
      </c>
      <c r="W507" s="27" t="str">
        <f aca="false">IF(AND(Q507&lt;&gt;"",Q507&lt;&gt;0,V507&lt;&gt;""),V507/Q507,"")</f>
        <v/>
      </c>
      <c r="X507" s="28" t="s">
        <v>37</v>
      </c>
      <c r="Y507" s="29" t="str">
        <f aca="false">IF(AND(O507&lt;&gt;"",M507&lt;&gt;"",O507&gt;M507),CONCATENATE("1 : ",TEXT((O507-M507)/M507,"0.00")),IF(AND(O507&lt;&gt;"",M507&lt;&gt;"",O507&lt;M507),CONCATENATE("-1 : ",TEXT((M507-O507)/M507,"0.00")),"—"))</f>
        <v>—</v>
      </c>
      <c r="Z507" s="30" t="str">
        <f aca="false">IF(AND(P507&lt;&gt;"",M507&lt;&gt;"",P507&gt;M507),CONCATENATE("1 : ",TEXT((P507-M507)/M507,"0.00")),"—")</f>
        <v>—</v>
      </c>
      <c r="AA507" s="31" t="str">
        <f aca="false">IF(AND(C507&lt;&gt;"",E507&lt;&gt;""),E507-C507,"")</f>
        <v/>
      </c>
      <c r="AB507" s="17"/>
      <c r="AC507" s="32"/>
      <c r="AD507" s="33"/>
      <c r="AE507" s="34" t="str">
        <f aca="false">IF(G507&lt;&gt;"",HYPERLINK("https://www.tradingview.com/chart/?symbol="&amp;G507&amp;"&amp;interval=60&amp;from="&amp;(AG507-10*3600)&amp;"&amp;to="&amp;(AG507+50*3600),"📈 1H"),"")</f>
        <v/>
      </c>
      <c r="AF507" s="35" t="str">
        <f aca="false">IF(G507&lt;&gt;"",HYPERLINK("https://www.tradingview.com/chart/?symbol="&amp;G507&amp;"&amp;interval=240&amp;from="&amp;(AG507-10*14400)&amp;"&amp;to="&amp;(AG507+50*14400),"📈 4H"),"")</f>
        <v/>
      </c>
      <c r="AG507" s="36" t="str">
        <f aca="false">IF(C507&lt;&gt;"",INT((C507+IF(D507&lt;&gt;"",D507,0)-DATE(1970,1,1))*86400),"")</f>
        <v/>
      </c>
    </row>
    <row r="508" customFormat="false" ht="19.5" hidden="false" customHeight="true" outlineLevel="0" collapsed="false">
      <c r="A508" s="37" t="n">
        <f aca="false">ROW()-4</f>
        <v>504</v>
      </c>
      <c r="B508" s="38"/>
      <c r="C508" s="39"/>
      <c r="D508" s="40"/>
      <c r="E508" s="39"/>
      <c r="F508" s="40"/>
      <c r="G508" s="41"/>
      <c r="H508" s="42"/>
      <c r="I508" s="43"/>
      <c r="J508" s="44"/>
      <c r="K508" s="39"/>
      <c r="L508" s="42"/>
      <c r="M508" s="44"/>
      <c r="N508" s="45"/>
      <c r="O508" s="44"/>
      <c r="P508" s="46"/>
      <c r="Q508" s="47" t="str">
        <f aca="false">IF(L508="","",IF(M508&lt;&gt;"",M508*L508*100,IF(AND(O508&lt;&gt;"",B508&lt;&gt;""),IFERROR(AVERAGEIF($B$5:$B$1004,B508,$M$5:$M$1004)*L508*100,""),"")))</f>
        <v/>
      </c>
      <c r="R508" s="47" t="str">
        <f aca="false">IF(AND(O508&lt;&gt;"",L508&lt;&gt;""),O508*L508*100,"")</f>
        <v/>
      </c>
      <c r="S508" s="48" t="str">
        <f aca="false">IF(AND(P508&lt;&gt;"",L508&lt;&gt;""),P508*L508*100,"")</f>
        <v/>
      </c>
      <c r="T508" s="49" t="str">
        <f aca="false">IF(AND(Q508&lt;&gt;"",R508&lt;&gt;""),R508-Q508,"")</f>
        <v/>
      </c>
      <c r="U508" s="50" t="str">
        <f aca="false">IF(AND(Q508&lt;&gt;"",Q508&lt;&gt;0,T508&lt;&gt;""),T508/Q508,"")</f>
        <v/>
      </c>
      <c r="V508" s="51" t="str">
        <f aca="false">IF(AND(S508&lt;&gt;"",Q508&lt;&gt;""),S508-Q508,"")</f>
        <v/>
      </c>
      <c r="W508" s="52" t="str">
        <f aca="false">IF(AND(Q508&lt;&gt;"",Q508&lt;&gt;0,V508&lt;&gt;""),V508/Q508,"")</f>
        <v/>
      </c>
      <c r="X508" s="53" t="s">
        <v>37</v>
      </c>
      <c r="Y508" s="54" t="str">
        <f aca="false">IF(AND(O508&lt;&gt;"",M508&lt;&gt;"",O508&gt;M508),CONCATENATE("1 : ",TEXT((O508-M508)/M508,"0.00")),IF(AND(O508&lt;&gt;"",M508&lt;&gt;"",O508&lt;M508),CONCATENATE("-1 : ",TEXT((M508-O508)/M508,"0.00")),"—"))</f>
        <v>—</v>
      </c>
      <c r="Z508" s="55" t="str">
        <f aca="false">IF(AND(P508&lt;&gt;"",M508&lt;&gt;"",P508&gt;M508),CONCATENATE("1 : ",TEXT((P508-M508)/M508,"0.00")),"—")</f>
        <v>—</v>
      </c>
      <c r="AA508" s="56" t="str">
        <f aca="false">IF(AND(C508&lt;&gt;"",E508&lt;&gt;""),E508-C508,"")</f>
        <v/>
      </c>
      <c r="AB508" s="42"/>
      <c r="AC508" s="57"/>
      <c r="AD508" s="58"/>
      <c r="AE508" s="59" t="str">
        <f aca="false">IF(G508&lt;&gt;"",HYPERLINK("https://www.tradingview.com/chart/?symbol="&amp;G508&amp;"&amp;interval=60&amp;from="&amp;(AG508-10*3600)&amp;"&amp;to="&amp;(AG508+50*3600),"📈 1H"),"")</f>
        <v/>
      </c>
      <c r="AF508" s="60" t="str">
        <f aca="false">IF(G508&lt;&gt;"",HYPERLINK("https://www.tradingview.com/chart/?symbol="&amp;G508&amp;"&amp;interval=240&amp;from="&amp;(AG508-10*14400)&amp;"&amp;to="&amp;(AG508+50*14400),"📈 4H"),"")</f>
        <v/>
      </c>
      <c r="AG508" s="36" t="str">
        <f aca="false">IF(C508&lt;&gt;"",INT((C508+IF(D508&lt;&gt;"",D508,0)-DATE(1970,1,1))*86400),"")</f>
        <v/>
      </c>
    </row>
    <row r="509" customFormat="false" ht="19.5" hidden="false" customHeight="true" outlineLevel="0" collapsed="false">
      <c r="A509" s="12" t="n">
        <f aca="false">ROW()-4</f>
        <v>505</v>
      </c>
      <c r="B509" s="13"/>
      <c r="C509" s="14"/>
      <c r="D509" s="15"/>
      <c r="E509" s="14"/>
      <c r="F509" s="15"/>
      <c r="G509" s="16"/>
      <c r="H509" s="17"/>
      <c r="I509" s="18"/>
      <c r="J509" s="19"/>
      <c r="K509" s="14"/>
      <c r="L509" s="17"/>
      <c r="M509" s="19"/>
      <c r="N509" s="20"/>
      <c r="O509" s="19"/>
      <c r="P509" s="21"/>
      <c r="Q509" s="22" t="str">
        <f aca="false">IF(L509="","",IF(M509&lt;&gt;"",M509*L509*100,IF(AND(O509&lt;&gt;"",B509&lt;&gt;""),IFERROR(AVERAGEIF($B$5:$B$1004,B509,$M$5:$M$1004)*L509*100,""),"")))</f>
        <v/>
      </c>
      <c r="R509" s="22" t="str">
        <f aca="false">IF(AND(O509&lt;&gt;"",L509&lt;&gt;""),O509*L509*100,"")</f>
        <v/>
      </c>
      <c r="S509" s="23" t="str">
        <f aca="false">IF(AND(P509&lt;&gt;"",L509&lt;&gt;""),P509*L509*100,"")</f>
        <v/>
      </c>
      <c r="T509" s="24" t="str">
        <f aca="false">IF(AND(Q509&lt;&gt;"",R509&lt;&gt;""),R509-Q509,"")</f>
        <v/>
      </c>
      <c r="U509" s="25" t="str">
        <f aca="false">IF(AND(Q509&lt;&gt;"",Q509&lt;&gt;0,T509&lt;&gt;""),T509/Q509,"")</f>
        <v/>
      </c>
      <c r="V509" s="26" t="str">
        <f aca="false">IF(AND(S509&lt;&gt;"",Q509&lt;&gt;""),S509-Q509,"")</f>
        <v/>
      </c>
      <c r="W509" s="27" t="str">
        <f aca="false">IF(AND(Q509&lt;&gt;"",Q509&lt;&gt;0,V509&lt;&gt;""),V509/Q509,"")</f>
        <v/>
      </c>
      <c r="X509" s="28" t="s">
        <v>37</v>
      </c>
      <c r="Y509" s="29" t="str">
        <f aca="false">IF(AND(O509&lt;&gt;"",M509&lt;&gt;"",O509&gt;M509),CONCATENATE("1 : ",TEXT((O509-M509)/M509,"0.00")),IF(AND(O509&lt;&gt;"",M509&lt;&gt;"",O509&lt;M509),CONCATENATE("-1 : ",TEXT((M509-O509)/M509,"0.00")),"—"))</f>
        <v>—</v>
      </c>
      <c r="Z509" s="30" t="str">
        <f aca="false">IF(AND(P509&lt;&gt;"",M509&lt;&gt;"",P509&gt;M509),CONCATENATE("1 : ",TEXT((P509-M509)/M509,"0.00")),"—")</f>
        <v>—</v>
      </c>
      <c r="AA509" s="31" t="str">
        <f aca="false">IF(AND(C509&lt;&gt;"",E509&lt;&gt;""),E509-C509,"")</f>
        <v/>
      </c>
      <c r="AB509" s="17"/>
      <c r="AC509" s="32"/>
      <c r="AD509" s="33"/>
      <c r="AE509" s="34" t="str">
        <f aca="false">IF(G509&lt;&gt;"",HYPERLINK("https://www.tradingview.com/chart/?symbol="&amp;G509&amp;"&amp;interval=60&amp;from="&amp;(AG509-10*3600)&amp;"&amp;to="&amp;(AG509+50*3600),"📈 1H"),"")</f>
        <v/>
      </c>
      <c r="AF509" s="35" t="str">
        <f aca="false">IF(G509&lt;&gt;"",HYPERLINK("https://www.tradingview.com/chart/?symbol="&amp;G509&amp;"&amp;interval=240&amp;from="&amp;(AG509-10*14400)&amp;"&amp;to="&amp;(AG509+50*14400),"📈 4H"),"")</f>
        <v/>
      </c>
      <c r="AG509" s="36" t="str">
        <f aca="false">IF(C509&lt;&gt;"",INT((C509+IF(D509&lt;&gt;"",D509,0)-DATE(1970,1,1))*86400),"")</f>
        <v/>
      </c>
    </row>
    <row r="510" customFormat="false" ht="19.5" hidden="false" customHeight="true" outlineLevel="0" collapsed="false">
      <c r="A510" s="37" t="n">
        <f aca="false">ROW()-4</f>
        <v>506</v>
      </c>
      <c r="B510" s="38"/>
      <c r="C510" s="39"/>
      <c r="D510" s="40"/>
      <c r="E510" s="39"/>
      <c r="F510" s="40"/>
      <c r="G510" s="41"/>
      <c r="H510" s="42"/>
      <c r="I510" s="43"/>
      <c r="J510" s="44"/>
      <c r="K510" s="39"/>
      <c r="L510" s="42"/>
      <c r="M510" s="44"/>
      <c r="N510" s="45"/>
      <c r="O510" s="44"/>
      <c r="P510" s="46"/>
      <c r="Q510" s="47" t="str">
        <f aca="false">IF(L510="","",IF(M510&lt;&gt;"",M510*L510*100,IF(AND(O510&lt;&gt;"",B510&lt;&gt;""),IFERROR(AVERAGEIF($B$5:$B$1004,B510,$M$5:$M$1004)*L510*100,""),"")))</f>
        <v/>
      </c>
      <c r="R510" s="47" t="str">
        <f aca="false">IF(AND(O510&lt;&gt;"",L510&lt;&gt;""),O510*L510*100,"")</f>
        <v/>
      </c>
      <c r="S510" s="48" t="str">
        <f aca="false">IF(AND(P510&lt;&gt;"",L510&lt;&gt;""),P510*L510*100,"")</f>
        <v/>
      </c>
      <c r="T510" s="49" t="str">
        <f aca="false">IF(AND(Q510&lt;&gt;"",R510&lt;&gt;""),R510-Q510,"")</f>
        <v/>
      </c>
      <c r="U510" s="50" t="str">
        <f aca="false">IF(AND(Q510&lt;&gt;"",Q510&lt;&gt;0,T510&lt;&gt;""),T510/Q510,"")</f>
        <v/>
      </c>
      <c r="V510" s="51" t="str">
        <f aca="false">IF(AND(S510&lt;&gt;"",Q510&lt;&gt;""),S510-Q510,"")</f>
        <v/>
      </c>
      <c r="W510" s="52" t="str">
        <f aca="false">IF(AND(Q510&lt;&gt;"",Q510&lt;&gt;0,V510&lt;&gt;""),V510/Q510,"")</f>
        <v/>
      </c>
      <c r="X510" s="53" t="s">
        <v>37</v>
      </c>
      <c r="Y510" s="54" t="str">
        <f aca="false">IF(AND(O510&lt;&gt;"",M510&lt;&gt;"",O510&gt;M510),CONCATENATE("1 : ",TEXT((O510-M510)/M510,"0.00")),IF(AND(O510&lt;&gt;"",M510&lt;&gt;"",O510&lt;M510),CONCATENATE("-1 : ",TEXT((M510-O510)/M510,"0.00")),"—"))</f>
        <v>—</v>
      </c>
      <c r="Z510" s="55" t="str">
        <f aca="false">IF(AND(P510&lt;&gt;"",M510&lt;&gt;"",P510&gt;M510),CONCATENATE("1 : ",TEXT((P510-M510)/M510,"0.00")),"—")</f>
        <v>—</v>
      </c>
      <c r="AA510" s="56" t="str">
        <f aca="false">IF(AND(C510&lt;&gt;"",E510&lt;&gt;""),E510-C510,"")</f>
        <v/>
      </c>
      <c r="AB510" s="42"/>
      <c r="AC510" s="57"/>
      <c r="AD510" s="58"/>
      <c r="AE510" s="59" t="str">
        <f aca="false">IF(G510&lt;&gt;"",HYPERLINK("https://www.tradingview.com/chart/?symbol="&amp;G510&amp;"&amp;interval=60&amp;from="&amp;(AG510-10*3600)&amp;"&amp;to="&amp;(AG510+50*3600),"📈 1H"),"")</f>
        <v/>
      </c>
      <c r="AF510" s="60" t="str">
        <f aca="false">IF(G510&lt;&gt;"",HYPERLINK("https://www.tradingview.com/chart/?symbol="&amp;G510&amp;"&amp;interval=240&amp;from="&amp;(AG510-10*14400)&amp;"&amp;to="&amp;(AG510+50*14400),"📈 4H"),"")</f>
        <v/>
      </c>
      <c r="AG510" s="36" t="str">
        <f aca="false">IF(C510&lt;&gt;"",INT((C510+IF(D510&lt;&gt;"",D510,0)-DATE(1970,1,1))*86400),"")</f>
        <v/>
      </c>
    </row>
    <row r="511" customFormat="false" ht="19.5" hidden="false" customHeight="true" outlineLevel="0" collapsed="false">
      <c r="A511" s="12" t="n">
        <f aca="false">ROW()-4</f>
        <v>507</v>
      </c>
      <c r="B511" s="13"/>
      <c r="C511" s="14"/>
      <c r="D511" s="15"/>
      <c r="E511" s="14"/>
      <c r="F511" s="15"/>
      <c r="G511" s="16"/>
      <c r="H511" s="17"/>
      <c r="I511" s="18"/>
      <c r="J511" s="19"/>
      <c r="K511" s="14"/>
      <c r="L511" s="17"/>
      <c r="M511" s="19"/>
      <c r="N511" s="20"/>
      <c r="O511" s="19"/>
      <c r="P511" s="21"/>
      <c r="Q511" s="22" t="str">
        <f aca="false">IF(L511="","",IF(M511&lt;&gt;"",M511*L511*100,IF(AND(O511&lt;&gt;"",B511&lt;&gt;""),IFERROR(AVERAGEIF($B$5:$B$1004,B511,$M$5:$M$1004)*L511*100,""),"")))</f>
        <v/>
      </c>
      <c r="R511" s="22" t="str">
        <f aca="false">IF(AND(O511&lt;&gt;"",L511&lt;&gt;""),O511*L511*100,"")</f>
        <v/>
      </c>
      <c r="S511" s="23" t="str">
        <f aca="false">IF(AND(P511&lt;&gt;"",L511&lt;&gt;""),P511*L511*100,"")</f>
        <v/>
      </c>
      <c r="T511" s="24" t="str">
        <f aca="false">IF(AND(Q511&lt;&gt;"",R511&lt;&gt;""),R511-Q511,"")</f>
        <v/>
      </c>
      <c r="U511" s="25" t="str">
        <f aca="false">IF(AND(Q511&lt;&gt;"",Q511&lt;&gt;0,T511&lt;&gt;""),T511/Q511,"")</f>
        <v/>
      </c>
      <c r="V511" s="26" t="str">
        <f aca="false">IF(AND(S511&lt;&gt;"",Q511&lt;&gt;""),S511-Q511,"")</f>
        <v/>
      </c>
      <c r="W511" s="27" t="str">
        <f aca="false">IF(AND(Q511&lt;&gt;"",Q511&lt;&gt;0,V511&lt;&gt;""),V511/Q511,"")</f>
        <v/>
      </c>
      <c r="X511" s="28" t="s">
        <v>37</v>
      </c>
      <c r="Y511" s="29" t="str">
        <f aca="false">IF(AND(O511&lt;&gt;"",M511&lt;&gt;"",O511&gt;M511),CONCATENATE("1 : ",TEXT((O511-M511)/M511,"0.00")),IF(AND(O511&lt;&gt;"",M511&lt;&gt;"",O511&lt;M511),CONCATENATE("-1 : ",TEXT((M511-O511)/M511,"0.00")),"—"))</f>
        <v>—</v>
      </c>
      <c r="Z511" s="30" t="str">
        <f aca="false">IF(AND(P511&lt;&gt;"",M511&lt;&gt;"",P511&gt;M511),CONCATENATE("1 : ",TEXT((P511-M511)/M511,"0.00")),"—")</f>
        <v>—</v>
      </c>
      <c r="AA511" s="31" t="str">
        <f aca="false">IF(AND(C511&lt;&gt;"",E511&lt;&gt;""),E511-C511,"")</f>
        <v/>
      </c>
      <c r="AB511" s="17"/>
      <c r="AC511" s="32"/>
      <c r="AD511" s="33"/>
      <c r="AE511" s="34" t="str">
        <f aca="false">IF(G511&lt;&gt;"",HYPERLINK("https://www.tradingview.com/chart/?symbol="&amp;G511&amp;"&amp;interval=60&amp;from="&amp;(AG511-10*3600)&amp;"&amp;to="&amp;(AG511+50*3600),"📈 1H"),"")</f>
        <v/>
      </c>
      <c r="AF511" s="35" t="str">
        <f aca="false">IF(G511&lt;&gt;"",HYPERLINK("https://www.tradingview.com/chart/?symbol="&amp;G511&amp;"&amp;interval=240&amp;from="&amp;(AG511-10*14400)&amp;"&amp;to="&amp;(AG511+50*14400),"📈 4H"),"")</f>
        <v/>
      </c>
      <c r="AG511" s="36" t="str">
        <f aca="false">IF(C511&lt;&gt;"",INT((C511+IF(D511&lt;&gt;"",D511,0)-DATE(1970,1,1))*86400),"")</f>
        <v/>
      </c>
    </row>
    <row r="512" customFormat="false" ht="19.5" hidden="false" customHeight="true" outlineLevel="0" collapsed="false">
      <c r="A512" s="37" t="n">
        <f aca="false">ROW()-4</f>
        <v>508</v>
      </c>
      <c r="B512" s="38"/>
      <c r="C512" s="39"/>
      <c r="D512" s="40"/>
      <c r="E512" s="39"/>
      <c r="F512" s="40"/>
      <c r="G512" s="41"/>
      <c r="H512" s="42"/>
      <c r="I512" s="43"/>
      <c r="J512" s="44"/>
      <c r="K512" s="39"/>
      <c r="L512" s="42"/>
      <c r="M512" s="44"/>
      <c r="N512" s="45"/>
      <c r="O512" s="44"/>
      <c r="P512" s="46"/>
      <c r="Q512" s="47" t="str">
        <f aca="false">IF(L512="","",IF(M512&lt;&gt;"",M512*L512*100,IF(AND(O512&lt;&gt;"",B512&lt;&gt;""),IFERROR(AVERAGEIF($B$5:$B$1004,B512,$M$5:$M$1004)*L512*100,""),"")))</f>
        <v/>
      </c>
      <c r="R512" s="47" t="str">
        <f aca="false">IF(AND(O512&lt;&gt;"",L512&lt;&gt;""),O512*L512*100,"")</f>
        <v/>
      </c>
      <c r="S512" s="48" t="str">
        <f aca="false">IF(AND(P512&lt;&gt;"",L512&lt;&gt;""),P512*L512*100,"")</f>
        <v/>
      </c>
      <c r="T512" s="49" t="str">
        <f aca="false">IF(AND(Q512&lt;&gt;"",R512&lt;&gt;""),R512-Q512,"")</f>
        <v/>
      </c>
      <c r="U512" s="50" t="str">
        <f aca="false">IF(AND(Q512&lt;&gt;"",Q512&lt;&gt;0,T512&lt;&gt;""),T512/Q512,"")</f>
        <v/>
      </c>
      <c r="V512" s="51" t="str">
        <f aca="false">IF(AND(S512&lt;&gt;"",Q512&lt;&gt;""),S512-Q512,"")</f>
        <v/>
      </c>
      <c r="W512" s="52" t="str">
        <f aca="false">IF(AND(Q512&lt;&gt;"",Q512&lt;&gt;0,V512&lt;&gt;""),V512/Q512,"")</f>
        <v/>
      </c>
      <c r="X512" s="53" t="s">
        <v>37</v>
      </c>
      <c r="Y512" s="54" t="str">
        <f aca="false">IF(AND(O512&lt;&gt;"",M512&lt;&gt;"",O512&gt;M512),CONCATENATE("1 : ",TEXT((O512-M512)/M512,"0.00")),IF(AND(O512&lt;&gt;"",M512&lt;&gt;"",O512&lt;M512),CONCATENATE("-1 : ",TEXT((M512-O512)/M512,"0.00")),"—"))</f>
        <v>—</v>
      </c>
      <c r="Z512" s="55" t="str">
        <f aca="false">IF(AND(P512&lt;&gt;"",M512&lt;&gt;"",P512&gt;M512),CONCATENATE("1 : ",TEXT((P512-M512)/M512,"0.00")),"—")</f>
        <v>—</v>
      </c>
      <c r="AA512" s="56" t="str">
        <f aca="false">IF(AND(C512&lt;&gt;"",E512&lt;&gt;""),E512-C512,"")</f>
        <v/>
      </c>
      <c r="AB512" s="42"/>
      <c r="AC512" s="57"/>
      <c r="AD512" s="58"/>
      <c r="AE512" s="59" t="str">
        <f aca="false">IF(G512&lt;&gt;"",HYPERLINK("https://www.tradingview.com/chart/?symbol="&amp;G512&amp;"&amp;interval=60&amp;from="&amp;(AG512-10*3600)&amp;"&amp;to="&amp;(AG512+50*3600),"📈 1H"),"")</f>
        <v/>
      </c>
      <c r="AF512" s="60" t="str">
        <f aca="false">IF(G512&lt;&gt;"",HYPERLINK("https://www.tradingview.com/chart/?symbol="&amp;G512&amp;"&amp;interval=240&amp;from="&amp;(AG512-10*14400)&amp;"&amp;to="&amp;(AG512+50*14400),"📈 4H"),"")</f>
        <v/>
      </c>
      <c r="AG512" s="36" t="str">
        <f aca="false">IF(C512&lt;&gt;"",INT((C512+IF(D512&lt;&gt;"",D512,0)-DATE(1970,1,1))*86400),"")</f>
        <v/>
      </c>
    </row>
    <row r="513" customFormat="false" ht="19.5" hidden="false" customHeight="true" outlineLevel="0" collapsed="false">
      <c r="A513" s="12" t="n">
        <f aca="false">ROW()-4</f>
        <v>509</v>
      </c>
      <c r="B513" s="13"/>
      <c r="C513" s="14"/>
      <c r="D513" s="15"/>
      <c r="E513" s="14"/>
      <c r="F513" s="15"/>
      <c r="G513" s="16"/>
      <c r="H513" s="17"/>
      <c r="I513" s="18"/>
      <c r="J513" s="19"/>
      <c r="K513" s="14"/>
      <c r="L513" s="17"/>
      <c r="M513" s="19"/>
      <c r="N513" s="20"/>
      <c r="O513" s="19"/>
      <c r="P513" s="21"/>
      <c r="Q513" s="22" t="str">
        <f aca="false">IF(L513="","",IF(M513&lt;&gt;"",M513*L513*100,IF(AND(O513&lt;&gt;"",B513&lt;&gt;""),IFERROR(AVERAGEIF($B$5:$B$1004,B513,$M$5:$M$1004)*L513*100,""),"")))</f>
        <v/>
      </c>
      <c r="R513" s="22" t="str">
        <f aca="false">IF(AND(O513&lt;&gt;"",L513&lt;&gt;""),O513*L513*100,"")</f>
        <v/>
      </c>
      <c r="S513" s="23" t="str">
        <f aca="false">IF(AND(P513&lt;&gt;"",L513&lt;&gt;""),P513*L513*100,"")</f>
        <v/>
      </c>
      <c r="T513" s="24" t="str">
        <f aca="false">IF(AND(Q513&lt;&gt;"",R513&lt;&gt;""),R513-Q513,"")</f>
        <v/>
      </c>
      <c r="U513" s="25" t="str">
        <f aca="false">IF(AND(Q513&lt;&gt;"",Q513&lt;&gt;0,T513&lt;&gt;""),T513/Q513,"")</f>
        <v/>
      </c>
      <c r="V513" s="26" t="str">
        <f aca="false">IF(AND(S513&lt;&gt;"",Q513&lt;&gt;""),S513-Q513,"")</f>
        <v/>
      </c>
      <c r="W513" s="27" t="str">
        <f aca="false">IF(AND(Q513&lt;&gt;"",Q513&lt;&gt;0,V513&lt;&gt;""),V513/Q513,"")</f>
        <v/>
      </c>
      <c r="X513" s="28" t="s">
        <v>37</v>
      </c>
      <c r="Y513" s="29" t="str">
        <f aca="false">IF(AND(O513&lt;&gt;"",M513&lt;&gt;"",O513&gt;M513),CONCATENATE("1 : ",TEXT((O513-M513)/M513,"0.00")),IF(AND(O513&lt;&gt;"",M513&lt;&gt;"",O513&lt;M513),CONCATENATE("-1 : ",TEXT((M513-O513)/M513,"0.00")),"—"))</f>
        <v>—</v>
      </c>
      <c r="Z513" s="30" t="str">
        <f aca="false">IF(AND(P513&lt;&gt;"",M513&lt;&gt;"",P513&gt;M513),CONCATENATE("1 : ",TEXT((P513-M513)/M513,"0.00")),"—")</f>
        <v>—</v>
      </c>
      <c r="AA513" s="31" t="str">
        <f aca="false">IF(AND(C513&lt;&gt;"",E513&lt;&gt;""),E513-C513,"")</f>
        <v/>
      </c>
      <c r="AB513" s="17"/>
      <c r="AC513" s="32"/>
      <c r="AD513" s="33"/>
      <c r="AE513" s="34" t="str">
        <f aca="false">IF(G513&lt;&gt;"",HYPERLINK("https://www.tradingview.com/chart/?symbol="&amp;G513&amp;"&amp;interval=60&amp;from="&amp;(AG513-10*3600)&amp;"&amp;to="&amp;(AG513+50*3600),"📈 1H"),"")</f>
        <v/>
      </c>
      <c r="AF513" s="35" t="str">
        <f aca="false">IF(G513&lt;&gt;"",HYPERLINK("https://www.tradingview.com/chart/?symbol="&amp;G513&amp;"&amp;interval=240&amp;from="&amp;(AG513-10*14400)&amp;"&amp;to="&amp;(AG513+50*14400),"📈 4H"),"")</f>
        <v/>
      </c>
      <c r="AG513" s="36" t="str">
        <f aca="false">IF(C513&lt;&gt;"",INT((C513+IF(D513&lt;&gt;"",D513,0)-DATE(1970,1,1))*86400),"")</f>
        <v/>
      </c>
    </row>
    <row r="514" customFormat="false" ht="19.5" hidden="false" customHeight="true" outlineLevel="0" collapsed="false">
      <c r="A514" s="37" t="n">
        <f aca="false">ROW()-4</f>
        <v>510</v>
      </c>
      <c r="B514" s="38"/>
      <c r="C514" s="39"/>
      <c r="D514" s="40"/>
      <c r="E514" s="39"/>
      <c r="F514" s="40"/>
      <c r="G514" s="41"/>
      <c r="H514" s="42"/>
      <c r="I514" s="43"/>
      <c r="J514" s="44"/>
      <c r="K514" s="39"/>
      <c r="L514" s="42"/>
      <c r="M514" s="44"/>
      <c r="N514" s="45"/>
      <c r="O514" s="44"/>
      <c r="P514" s="46"/>
      <c r="Q514" s="47" t="str">
        <f aca="false">IF(L514="","",IF(M514&lt;&gt;"",M514*L514*100,IF(AND(O514&lt;&gt;"",B514&lt;&gt;""),IFERROR(AVERAGEIF($B$5:$B$1004,B514,$M$5:$M$1004)*L514*100,""),"")))</f>
        <v/>
      </c>
      <c r="R514" s="47" t="str">
        <f aca="false">IF(AND(O514&lt;&gt;"",L514&lt;&gt;""),O514*L514*100,"")</f>
        <v/>
      </c>
      <c r="S514" s="48" t="str">
        <f aca="false">IF(AND(P514&lt;&gt;"",L514&lt;&gt;""),P514*L514*100,"")</f>
        <v/>
      </c>
      <c r="T514" s="49" t="str">
        <f aca="false">IF(AND(Q514&lt;&gt;"",R514&lt;&gt;""),R514-Q514,"")</f>
        <v/>
      </c>
      <c r="U514" s="50" t="str">
        <f aca="false">IF(AND(Q514&lt;&gt;"",Q514&lt;&gt;0,T514&lt;&gt;""),T514/Q514,"")</f>
        <v/>
      </c>
      <c r="V514" s="51" t="str">
        <f aca="false">IF(AND(S514&lt;&gt;"",Q514&lt;&gt;""),S514-Q514,"")</f>
        <v/>
      </c>
      <c r="W514" s="52" t="str">
        <f aca="false">IF(AND(Q514&lt;&gt;"",Q514&lt;&gt;0,V514&lt;&gt;""),V514/Q514,"")</f>
        <v/>
      </c>
      <c r="X514" s="53" t="s">
        <v>37</v>
      </c>
      <c r="Y514" s="54" t="str">
        <f aca="false">IF(AND(O514&lt;&gt;"",M514&lt;&gt;"",O514&gt;M514),CONCATENATE("1 : ",TEXT((O514-M514)/M514,"0.00")),IF(AND(O514&lt;&gt;"",M514&lt;&gt;"",O514&lt;M514),CONCATENATE("-1 : ",TEXT((M514-O514)/M514,"0.00")),"—"))</f>
        <v>—</v>
      </c>
      <c r="Z514" s="55" t="str">
        <f aca="false">IF(AND(P514&lt;&gt;"",M514&lt;&gt;"",P514&gt;M514),CONCATENATE("1 : ",TEXT((P514-M514)/M514,"0.00")),"—")</f>
        <v>—</v>
      </c>
      <c r="AA514" s="56" t="str">
        <f aca="false">IF(AND(C514&lt;&gt;"",E514&lt;&gt;""),E514-C514,"")</f>
        <v/>
      </c>
      <c r="AB514" s="42"/>
      <c r="AC514" s="57"/>
      <c r="AD514" s="58"/>
      <c r="AE514" s="59" t="str">
        <f aca="false">IF(G514&lt;&gt;"",HYPERLINK("https://www.tradingview.com/chart/?symbol="&amp;G514&amp;"&amp;interval=60&amp;from="&amp;(AG514-10*3600)&amp;"&amp;to="&amp;(AG514+50*3600),"📈 1H"),"")</f>
        <v/>
      </c>
      <c r="AF514" s="60" t="str">
        <f aca="false">IF(G514&lt;&gt;"",HYPERLINK("https://www.tradingview.com/chart/?symbol="&amp;G514&amp;"&amp;interval=240&amp;from="&amp;(AG514-10*14400)&amp;"&amp;to="&amp;(AG514+50*14400),"📈 4H"),"")</f>
        <v/>
      </c>
      <c r="AG514" s="36" t="str">
        <f aca="false">IF(C514&lt;&gt;"",INT((C514+IF(D514&lt;&gt;"",D514,0)-DATE(1970,1,1))*86400),"")</f>
        <v/>
      </c>
    </row>
    <row r="515" customFormat="false" ht="19.5" hidden="false" customHeight="true" outlineLevel="0" collapsed="false">
      <c r="A515" s="12" t="n">
        <f aca="false">ROW()-4</f>
        <v>511</v>
      </c>
      <c r="B515" s="13"/>
      <c r="C515" s="14"/>
      <c r="D515" s="15"/>
      <c r="E515" s="14"/>
      <c r="F515" s="15"/>
      <c r="G515" s="16"/>
      <c r="H515" s="17"/>
      <c r="I515" s="18"/>
      <c r="J515" s="19"/>
      <c r="K515" s="14"/>
      <c r="L515" s="17"/>
      <c r="M515" s="19"/>
      <c r="N515" s="20"/>
      <c r="O515" s="19"/>
      <c r="P515" s="21"/>
      <c r="Q515" s="22" t="str">
        <f aca="false">IF(L515="","",IF(M515&lt;&gt;"",M515*L515*100,IF(AND(O515&lt;&gt;"",B515&lt;&gt;""),IFERROR(AVERAGEIF($B$5:$B$1004,B515,$M$5:$M$1004)*L515*100,""),"")))</f>
        <v/>
      </c>
      <c r="R515" s="22" t="str">
        <f aca="false">IF(AND(O515&lt;&gt;"",L515&lt;&gt;""),O515*L515*100,"")</f>
        <v/>
      </c>
      <c r="S515" s="23" t="str">
        <f aca="false">IF(AND(P515&lt;&gt;"",L515&lt;&gt;""),P515*L515*100,"")</f>
        <v/>
      </c>
      <c r="T515" s="24" t="str">
        <f aca="false">IF(AND(Q515&lt;&gt;"",R515&lt;&gt;""),R515-Q515,"")</f>
        <v/>
      </c>
      <c r="U515" s="25" t="str">
        <f aca="false">IF(AND(Q515&lt;&gt;"",Q515&lt;&gt;0,T515&lt;&gt;""),T515/Q515,"")</f>
        <v/>
      </c>
      <c r="V515" s="26" t="str">
        <f aca="false">IF(AND(S515&lt;&gt;"",Q515&lt;&gt;""),S515-Q515,"")</f>
        <v/>
      </c>
      <c r="W515" s="27" t="str">
        <f aca="false">IF(AND(Q515&lt;&gt;"",Q515&lt;&gt;0,V515&lt;&gt;""),V515/Q515,"")</f>
        <v/>
      </c>
      <c r="X515" s="28" t="s">
        <v>37</v>
      </c>
      <c r="Y515" s="29" t="str">
        <f aca="false">IF(AND(O515&lt;&gt;"",M515&lt;&gt;"",O515&gt;M515),CONCATENATE("1 : ",TEXT((O515-M515)/M515,"0.00")),IF(AND(O515&lt;&gt;"",M515&lt;&gt;"",O515&lt;M515),CONCATENATE("-1 : ",TEXT((M515-O515)/M515,"0.00")),"—"))</f>
        <v>—</v>
      </c>
      <c r="Z515" s="30" t="str">
        <f aca="false">IF(AND(P515&lt;&gt;"",M515&lt;&gt;"",P515&gt;M515),CONCATENATE("1 : ",TEXT((P515-M515)/M515,"0.00")),"—")</f>
        <v>—</v>
      </c>
      <c r="AA515" s="31" t="str">
        <f aca="false">IF(AND(C515&lt;&gt;"",E515&lt;&gt;""),E515-C515,"")</f>
        <v/>
      </c>
      <c r="AB515" s="17"/>
      <c r="AC515" s="32"/>
      <c r="AD515" s="33"/>
      <c r="AE515" s="34" t="str">
        <f aca="false">IF(G515&lt;&gt;"",HYPERLINK("https://www.tradingview.com/chart/?symbol="&amp;G515&amp;"&amp;interval=60&amp;from="&amp;(AG515-10*3600)&amp;"&amp;to="&amp;(AG515+50*3600),"📈 1H"),"")</f>
        <v/>
      </c>
      <c r="AF515" s="35" t="str">
        <f aca="false">IF(G515&lt;&gt;"",HYPERLINK("https://www.tradingview.com/chart/?symbol="&amp;G515&amp;"&amp;interval=240&amp;from="&amp;(AG515-10*14400)&amp;"&amp;to="&amp;(AG515+50*14400),"📈 4H"),"")</f>
        <v/>
      </c>
      <c r="AG515" s="36" t="str">
        <f aca="false">IF(C515&lt;&gt;"",INT((C515+IF(D515&lt;&gt;"",D515,0)-DATE(1970,1,1))*86400),"")</f>
        <v/>
      </c>
    </row>
    <row r="516" customFormat="false" ht="19.5" hidden="false" customHeight="true" outlineLevel="0" collapsed="false">
      <c r="A516" s="37" t="n">
        <f aca="false">ROW()-4</f>
        <v>512</v>
      </c>
      <c r="B516" s="38"/>
      <c r="C516" s="39"/>
      <c r="D516" s="40"/>
      <c r="E516" s="39"/>
      <c r="F516" s="40"/>
      <c r="G516" s="41"/>
      <c r="H516" s="42"/>
      <c r="I516" s="43"/>
      <c r="J516" s="44"/>
      <c r="K516" s="39"/>
      <c r="L516" s="42"/>
      <c r="M516" s="44"/>
      <c r="N516" s="45"/>
      <c r="O516" s="44"/>
      <c r="P516" s="46"/>
      <c r="Q516" s="47" t="str">
        <f aca="false">IF(L516="","",IF(M516&lt;&gt;"",M516*L516*100,IF(AND(O516&lt;&gt;"",B516&lt;&gt;""),IFERROR(AVERAGEIF($B$5:$B$1004,B516,$M$5:$M$1004)*L516*100,""),"")))</f>
        <v/>
      </c>
      <c r="R516" s="47" t="str">
        <f aca="false">IF(AND(O516&lt;&gt;"",L516&lt;&gt;""),O516*L516*100,"")</f>
        <v/>
      </c>
      <c r="S516" s="48" t="str">
        <f aca="false">IF(AND(P516&lt;&gt;"",L516&lt;&gt;""),P516*L516*100,"")</f>
        <v/>
      </c>
      <c r="T516" s="49" t="str">
        <f aca="false">IF(AND(Q516&lt;&gt;"",R516&lt;&gt;""),R516-Q516,"")</f>
        <v/>
      </c>
      <c r="U516" s="50" t="str">
        <f aca="false">IF(AND(Q516&lt;&gt;"",Q516&lt;&gt;0,T516&lt;&gt;""),T516/Q516,"")</f>
        <v/>
      </c>
      <c r="V516" s="51" t="str">
        <f aca="false">IF(AND(S516&lt;&gt;"",Q516&lt;&gt;""),S516-Q516,"")</f>
        <v/>
      </c>
      <c r="W516" s="52" t="str">
        <f aca="false">IF(AND(Q516&lt;&gt;"",Q516&lt;&gt;0,V516&lt;&gt;""),V516/Q516,"")</f>
        <v/>
      </c>
      <c r="X516" s="53" t="s">
        <v>37</v>
      </c>
      <c r="Y516" s="54" t="str">
        <f aca="false">IF(AND(O516&lt;&gt;"",M516&lt;&gt;"",O516&gt;M516),CONCATENATE("1 : ",TEXT((O516-M516)/M516,"0.00")),IF(AND(O516&lt;&gt;"",M516&lt;&gt;"",O516&lt;M516),CONCATENATE("-1 : ",TEXT((M516-O516)/M516,"0.00")),"—"))</f>
        <v>—</v>
      </c>
      <c r="Z516" s="55" t="str">
        <f aca="false">IF(AND(P516&lt;&gt;"",M516&lt;&gt;"",P516&gt;M516),CONCATENATE("1 : ",TEXT((P516-M516)/M516,"0.00")),"—")</f>
        <v>—</v>
      </c>
      <c r="AA516" s="56" t="str">
        <f aca="false">IF(AND(C516&lt;&gt;"",E516&lt;&gt;""),E516-C516,"")</f>
        <v/>
      </c>
      <c r="AB516" s="42"/>
      <c r="AC516" s="57"/>
      <c r="AD516" s="58"/>
      <c r="AE516" s="59" t="str">
        <f aca="false">IF(G516&lt;&gt;"",HYPERLINK("https://www.tradingview.com/chart/?symbol="&amp;G516&amp;"&amp;interval=60&amp;from="&amp;(AG516-10*3600)&amp;"&amp;to="&amp;(AG516+50*3600),"📈 1H"),"")</f>
        <v/>
      </c>
      <c r="AF516" s="60" t="str">
        <f aca="false">IF(G516&lt;&gt;"",HYPERLINK("https://www.tradingview.com/chart/?symbol="&amp;G516&amp;"&amp;interval=240&amp;from="&amp;(AG516-10*14400)&amp;"&amp;to="&amp;(AG516+50*14400),"📈 4H"),"")</f>
        <v/>
      </c>
      <c r="AG516" s="36" t="str">
        <f aca="false">IF(C516&lt;&gt;"",INT((C516+IF(D516&lt;&gt;"",D516,0)-DATE(1970,1,1))*86400),"")</f>
        <v/>
      </c>
    </row>
    <row r="517" customFormat="false" ht="19.5" hidden="false" customHeight="true" outlineLevel="0" collapsed="false">
      <c r="A517" s="12" t="n">
        <f aca="false">ROW()-4</f>
        <v>513</v>
      </c>
      <c r="B517" s="13"/>
      <c r="C517" s="14"/>
      <c r="D517" s="15"/>
      <c r="E517" s="14"/>
      <c r="F517" s="15"/>
      <c r="G517" s="16"/>
      <c r="H517" s="17"/>
      <c r="I517" s="18"/>
      <c r="J517" s="19"/>
      <c r="K517" s="14"/>
      <c r="L517" s="17"/>
      <c r="M517" s="19"/>
      <c r="N517" s="20"/>
      <c r="O517" s="19"/>
      <c r="P517" s="21"/>
      <c r="Q517" s="22" t="str">
        <f aca="false">IF(L517="","",IF(M517&lt;&gt;"",M517*L517*100,IF(AND(O517&lt;&gt;"",B517&lt;&gt;""),IFERROR(AVERAGEIF($B$5:$B$1004,B517,$M$5:$M$1004)*L517*100,""),"")))</f>
        <v/>
      </c>
      <c r="R517" s="22" t="str">
        <f aca="false">IF(AND(O517&lt;&gt;"",L517&lt;&gt;""),O517*L517*100,"")</f>
        <v/>
      </c>
      <c r="S517" s="23" t="str">
        <f aca="false">IF(AND(P517&lt;&gt;"",L517&lt;&gt;""),P517*L517*100,"")</f>
        <v/>
      </c>
      <c r="T517" s="24" t="str">
        <f aca="false">IF(AND(Q517&lt;&gt;"",R517&lt;&gt;""),R517-Q517,"")</f>
        <v/>
      </c>
      <c r="U517" s="25" t="str">
        <f aca="false">IF(AND(Q517&lt;&gt;"",Q517&lt;&gt;0,T517&lt;&gt;""),T517/Q517,"")</f>
        <v/>
      </c>
      <c r="V517" s="26" t="str">
        <f aca="false">IF(AND(S517&lt;&gt;"",Q517&lt;&gt;""),S517-Q517,"")</f>
        <v/>
      </c>
      <c r="W517" s="27" t="str">
        <f aca="false">IF(AND(Q517&lt;&gt;"",Q517&lt;&gt;0,V517&lt;&gt;""),V517/Q517,"")</f>
        <v/>
      </c>
      <c r="X517" s="28" t="s">
        <v>37</v>
      </c>
      <c r="Y517" s="29" t="str">
        <f aca="false">IF(AND(O517&lt;&gt;"",M517&lt;&gt;"",O517&gt;M517),CONCATENATE("1 : ",TEXT((O517-M517)/M517,"0.00")),IF(AND(O517&lt;&gt;"",M517&lt;&gt;"",O517&lt;M517),CONCATENATE("-1 : ",TEXT((M517-O517)/M517,"0.00")),"—"))</f>
        <v>—</v>
      </c>
      <c r="Z517" s="30" t="str">
        <f aca="false">IF(AND(P517&lt;&gt;"",M517&lt;&gt;"",P517&gt;M517),CONCATENATE("1 : ",TEXT((P517-M517)/M517,"0.00")),"—")</f>
        <v>—</v>
      </c>
      <c r="AA517" s="31" t="str">
        <f aca="false">IF(AND(C517&lt;&gt;"",E517&lt;&gt;""),E517-C517,"")</f>
        <v/>
      </c>
      <c r="AB517" s="17"/>
      <c r="AC517" s="32"/>
      <c r="AD517" s="33"/>
      <c r="AE517" s="34" t="str">
        <f aca="false">IF(G517&lt;&gt;"",HYPERLINK("https://www.tradingview.com/chart/?symbol="&amp;G517&amp;"&amp;interval=60&amp;from="&amp;(AG517-10*3600)&amp;"&amp;to="&amp;(AG517+50*3600),"📈 1H"),"")</f>
        <v/>
      </c>
      <c r="AF517" s="35" t="str">
        <f aca="false">IF(G517&lt;&gt;"",HYPERLINK("https://www.tradingview.com/chart/?symbol="&amp;G517&amp;"&amp;interval=240&amp;from="&amp;(AG517-10*14400)&amp;"&amp;to="&amp;(AG517+50*14400),"📈 4H"),"")</f>
        <v/>
      </c>
      <c r="AG517" s="36" t="str">
        <f aca="false">IF(C517&lt;&gt;"",INT((C517+IF(D517&lt;&gt;"",D517,0)-DATE(1970,1,1))*86400),"")</f>
        <v/>
      </c>
    </row>
    <row r="518" customFormat="false" ht="19.5" hidden="false" customHeight="true" outlineLevel="0" collapsed="false">
      <c r="A518" s="37" t="n">
        <f aca="false">ROW()-4</f>
        <v>514</v>
      </c>
      <c r="B518" s="38"/>
      <c r="C518" s="39"/>
      <c r="D518" s="40"/>
      <c r="E518" s="39"/>
      <c r="F518" s="40"/>
      <c r="G518" s="41"/>
      <c r="H518" s="42"/>
      <c r="I518" s="43"/>
      <c r="J518" s="44"/>
      <c r="K518" s="39"/>
      <c r="L518" s="42"/>
      <c r="M518" s="44"/>
      <c r="N518" s="45"/>
      <c r="O518" s="44"/>
      <c r="P518" s="46"/>
      <c r="Q518" s="47" t="str">
        <f aca="false">IF(L518="","",IF(M518&lt;&gt;"",M518*L518*100,IF(AND(O518&lt;&gt;"",B518&lt;&gt;""),IFERROR(AVERAGEIF($B$5:$B$1004,B518,$M$5:$M$1004)*L518*100,""),"")))</f>
        <v/>
      </c>
      <c r="R518" s="47" t="str">
        <f aca="false">IF(AND(O518&lt;&gt;"",L518&lt;&gt;""),O518*L518*100,"")</f>
        <v/>
      </c>
      <c r="S518" s="48" t="str">
        <f aca="false">IF(AND(P518&lt;&gt;"",L518&lt;&gt;""),P518*L518*100,"")</f>
        <v/>
      </c>
      <c r="T518" s="49" t="str">
        <f aca="false">IF(AND(Q518&lt;&gt;"",R518&lt;&gt;""),R518-Q518,"")</f>
        <v/>
      </c>
      <c r="U518" s="50" t="str">
        <f aca="false">IF(AND(Q518&lt;&gt;"",Q518&lt;&gt;0,T518&lt;&gt;""),T518/Q518,"")</f>
        <v/>
      </c>
      <c r="V518" s="51" t="str">
        <f aca="false">IF(AND(S518&lt;&gt;"",Q518&lt;&gt;""),S518-Q518,"")</f>
        <v/>
      </c>
      <c r="W518" s="52" t="str">
        <f aca="false">IF(AND(Q518&lt;&gt;"",Q518&lt;&gt;0,V518&lt;&gt;""),V518/Q518,"")</f>
        <v/>
      </c>
      <c r="X518" s="53" t="s">
        <v>37</v>
      </c>
      <c r="Y518" s="54" t="str">
        <f aca="false">IF(AND(O518&lt;&gt;"",M518&lt;&gt;"",O518&gt;M518),CONCATENATE("1 : ",TEXT((O518-M518)/M518,"0.00")),IF(AND(O518&lt;&gt;"",M518&lt;&gt;"",O518&lt;M518),CONCATENATE("-1 : ",TEXT((M518-O518)/M518,"0.00")),"—"))</f>
        <v>—</v>
      </c>
      <c r="Z518" s="55" t="str">
        <f aca="false">IF(AND(P518&lt;&gt;"",M518&lt;&gt;"",P518&gt;M518),CONCATENATE("1 : ",TEXT((P518-M518)/M518,"0.00")),"—")</f>
        <v>—</v>
      </c>
      <c r="AA518" s="56" t="str">
        <f aca="false">IF(AND(C518&lt;&gt;"",E518&lt;&gt;""),E518-C518,"")</f>
        <v/>
      </c>
      <c r="AB518" s="42"/>
      <c r="AC518" s="57"/>
      <c r="AD518" s="58"/>
      <c r="AE518" s="59" t="str">
        <f aca="false">IF(G518&lt;&gt;"",HYPERLINK("https://www.tradingview.com/chart/?symbol="&amp;G518&amp;"&amp;interval=60&amp;from="&amp;(AG518-10*3600)&amp;"&amp;to="&amp;(AG518+50*3600),"📈 1H"),"")</f>
        <v/>
      </c>
      <c r="AF518" s="60" t="str">
        <f aca="false">IF(G518&lt;&gt;"",HYPERLINK("https://www.tradingview.com/chart/?symbol="&amp;G518&amp;"&amp;interval=240&amp;from="&amp;(AG518-10*14400)&amp;"&amp;to="&amp;(AG518+50*14400),"📈 4H"),"")</f>
        <v/>
      </c>
      <c r="AG518" s="36" t="str">
        <f aca="false">IF(C518&lt;&gt;"",INT((C518+IF(D518&lt;&gt;"",D518,0)-DATE(1970,1,1))*86400),"")</f>
        <v/>
      </c>
    </row>
    <row r="519" customFormat="false" ht="19.5" hidden="false" customHeight="true" outlineLevel="0" collapsed="false">
      <c r="A519" s="12" t="n">
        <f aca="false">ROW()-4</f>
        <v>515</v>
      </c>
      <c r="B519" s="13"/>
      <c r="C519" s="14"/>
      <c r="D519" s="15"/>
      <c r="E519" s="14"/>
      <c r="F519" s="15"/>
      <c r="G519" s="16"/>
      <c r="H519" s="17"/>
      <c r="I519" s="18"/>
      <c r="J519" s="19"/>
      <c r="K519" s="14"/>
      <c r="L519" s="17"/>
      <c r="M519" s="19"/>
      <c r="N519" s="20"/>
      <c r="O519" s="19"/>
      <c r="P519" s="21"/>
      <c r="Q519" s="22" t="str">
        <f aca="false">IF(L519="","",IF(M519&lt;&gt;"",M519*L519*100,IF(AND(O519&lt;&gt;"",B519&lt;&gt;""),IFERROR(AVERAGEIF($B$5:$B$1004,B519,$M$5:$M$1004)*L519*100,""),"")))</f>
        <v/>
      </c>
      <c r="R519" s="22" t="str">
        <f aca="false">IF(AND(O519&lt;&gt;"",L519&lt;&gt;""),O519*L519*100,"")</f>
        <v/>
      </c>
      <c r="S519" s="23" t="str">
        <f aca="false">IF(AND(P519&lt;&gt;"",L519&lt;&gt;""),P519*L519*100,"")</f>
        <v/>
      </c>
      <c r="T519" s="24" t="str">
        <f aca="false">IF(AND(Q519&lt;&gt;"",R519&lt;&gt;""),R519-Q519,"")</f>
        <v/>
      </c>
      <c r="U519" s="25" t="str">
        <f aca="false">IF(AND(Q519&lt;&gt;"",Q519&lt;&gt;0,T519&lt;&gt;""),T519/Q519,"")</f>
        <v/>
      </c>
      <c r="V519" s="26" t="str">
        <f aca="false">IF(AND(S519&lt;&gt;"",Q519&lt;&gt;""),S519-Q519,"")</f>
        <v/>
      </c>
      <c r="W519" s="27" t="str">
        <f aca="false">IF(AND(Q519&lt;&gt;"",Q519&lt;&gt;0,V519&lt;&gt;""),V519/Q519,"")</f>
        <v/>
      </c>
      <c r="X519" s="28" t="s">
        <v>37</v>
      </c>
      <c r="Y519" s="29" t="str">
        <f aca="false">IF(AND(O519&lt;&gt;"",M519&lt;&gt;"",O519&gt;M519),CONCATENATE("1 : ",TEXT((O519-M519)/M519,"0.00")),IF(AND(O519&lt;&gt;"",M519&lt;&gt;"",O519&lt;M519),CONCATENATE("-1 : ",TEXT((M519-O519)/M519,"0.00")),"—"))</f>
        <v>—</v>
      </c>
      <c r="Z519" s="30" t="str">
        <f aca="false">IF(AND(P519&lt;&gt;"",M519&lt;&gt;"",P519&gt;M519),CONCATENATE("1 : ",TEXT((P519-M519)/M519,"0.00")),"—")</f>
        <v>—</v>
      </c>
      <c r="AA519" s="31" t="str">
        <f aca="false">IF(AND(C519&lt;&gt;"",E519&lt;&gt;""),E519-C519,"")</f>
        <v/>
      </c>
      <c r="AB519" s="17"/>
      <c r="AC519" s="32"/>
      <c r="AD519" s="33"/>
      <c r="AE519" s="34" t="str">
        <f aca="false">IF(G519&lt;&gt;"",HYPERLINK("https://www.tradingview.com/chart/?symbol="&amp;G519&amp;"&amp;interval=60&amp;from="&amp;(AG519-10*3600)&amp;"&amp;to="&amp;(AG519+50*3600),"📈 1H"),"")</f>
        <v/>
      </c>
      <c r="AF519" s="35" t="str">
        <f aca="false">IF(G519&lt;&gt;"",HYPERLINK("https://www.tradingview.com/chart/?symbol="&amp;G519&amp;"&amp;interval=240&amp;from="&amp;(AG519-10*14400)&amp;"&amp;to="&amp;(AG519+50*14400),"📈 4H"),"")</f>
        <v/>
      </c>
      <c r="AG519" s="36" t="str">
        <f aca="false">IF(C519&lt;&gt;"",INT((C519+IF(D519&lt;&gt;"",D519,0)-DATE(1970,1,1))*86400),"")</f>
        <v/>
      </c>
    </row>
    <row r="520" customFormat="false" ht="19.5" hidden="false" customHeight="true" outlineLevel="0" collapsed="false">
      <c r="A520" s="37" t="n">
        <f aca="false">ROW()-4</f>
        <v>516</v>
      </c>
      <c r="B520" s="38"/>
      <c r="C520" s="39"/>
      <c r="D520" s="40"/>
      <c r="E520" s="39"/>
      <c r="F520" s="40"/>
      <c r="G520" s="41"/>
      <c r="H520" s="42"/>
      <c r="I520" s="43"/>
      <c r="J520" s="44"/>
      <c r="K520" s="39"/>
      <c r="L520" s="42"/>
      <c r="M520" s="44"/>
      <c r="N520" s="45"/>
      <c r="O520" s="44"/>
      <c r="P520" s="46"/>
      <c r="Q520" s="47" t="str">
        <f aca="false">IF(L520="","",IF(M520&lt;&gt;"",M520*L520*100,IF(AND(O520&lt;&gt;"",B520&lt;&gt;""),IFERROR(AVERAGEIF($B$5:$B$1004,B520,$M$5:$M$1004)*L520*100,""),"")))</f>
        <v/>
      </c>
      <c r="R520" s="47" t="str">
        <f aca="false">IF(AND(O520&lt;&gt;"",L520&lt;&gt;""),O520*L520*100,"")</f>
        <v/>
      </c>
      <c r="S520" s="48" t="str">
        <f aca="false">IF(AND(P520&lt;&gt;"",L520&lt;&gt;""),P520*L520*100,"")</f>
        <v/>
      </c>
      <c r="T520" s="49" t="str">
        <f aca="false">IF(AND(Q520&lt;&gt;"",R520&lt;&gt;""),R520-Q520,"")</f>
        <v/>
      </c>
      <c r="U520" s="50" t="str">
        <f aca="false">IF(AND(Q520&lt;&gt;"",Q520&lt;&gt;0,T520&lt;&gt;""),T520/Q520,"")</f>
        <v/>
      </c>
      <c r="V520" s="51" t="str">
        <f aca="false">IF(AND(S520&lt;&gt;"",Q520&lt;&gt;""),S520-Q520,"")</f>
        <v/>
      </c>
      <c r="W520" s="52" t="str">
        <f aca="false">IF(AND(Q520&lt;&gt;"",Q520&lt;&gt;0,V520&lt;&gt;""),V520/Q520,"")</f>
        <v/>
      </c>
      <c r="X520" s="53" t="s">
        <v>37</v>
      </c>
      <c r="Y520" s="54" t="str">
        <f aca="false">IF(AND(O520&lt;&gt;"",M520&lt;&gt;"",O520&gt;M520),CONCATENATE("1 : ",TEXT((O520-M520)/M520,"0.00")),IF(AND(O520&lt;&gt;"",M520&lt;&gt;"",O520&lt;M520),CONCATENATE("-1 : ",TEXT((M520-O520)/M520,"0.00")),"—"))</f>
        <v>—</v>
      </c>
      <c r="Z520" s="55" t="str">
        <f aca="false">IF(AND(P520&lt;&gt;"",M520&lt;&gt;"",P520&gt;M520),CONCATENATE("1 : ",TEXT((P520-M520)/M520,"0.00")),"—")</f>
        <v>—</v>
      </c>
      <c r="AA520" s="56" t="str">
        <f aca="false">IF(AND(C520&lt;&gt;"",E520&lt;&gt;""),E520-C520,"")</f>
        <v/>
      </c>
      <c r="AB520" s="42"/>
      <c r="AC520" s="57"/>
      <c r="AD520" s="58"/>
      <c r="AE520" s="59" t="str">
        <f aca="false">IF(G520&lt;&gt;"",HYPERLINK("https://www.tradingview.com/chart/?symbol="&amp;G520&amp;"&amp;interval=60&amp;from="&amp;(AG520-10*3600)&amp;"&amp;to="&amp;(AG520+50*3600),"📈 1H"),"")</f>
        <v/>
      </c>
      <c r="AF520" s="60" t="str">
        <f aca="false">IF(G520&lt;&gt;"",HYPERLINK("https://www.tradingview.com/chart/?symbol="&amp;G520&amp;"&amp;interval=240&amp;from="&amp;(AG520-10*14400)&amp;"&amp;to="&amp;(AG520+50*14400),"📈 4H"),"")</f>
        <v/>
      </c>
      <c r="AG520" s="36" t="str">
        <f aca="false">IF(C520&lt;&gt;"",INT((C520+IF(D520&lt;&gt;"",D520,0)-DATE(1970,1,1))*86400),"")</f>
        <v/>
      </c>
    </row>
    <row r="521" customFormat="false" ht="19.5" hidden="false" customHeight="true" outlineLevel="0" collapsed="false">
      <c r="A521" s="12" t="n">
        <f aca="false">ROW()-4</f>
        <v>517</v>
      </c>
      <c r="B521" s="13"/>
      <c r="C521" s="14"/>
      <c r="D521" s="15"/>
      <c r="E521" s="14"/>
      <c r="F521" s="15"/>
      <c r="G521" s="16"/>
      <c r="H521" s="17"/>
      <c r="I521" s="18"/>
      <c r="J521" s="19"/>
      <c r="K521" s="14"/>
      <c r="L521" s="17"/>
      <c r="M521" s="19"/>
      <c r="N521" s="20"/>
      <c r="O521" s="19"/>
      <c r="P521" s="21"/>
      <c r="Q521" s="22" t="str">
        <f aca="false">IF(L521="","",IF(M521&lt;&gt;"",M521*L521*100,IF(AND(O521&lt;&gt;"",B521&lt;&gt;""),IFERROR(AVERAGEIF($B$5:$B$1004,B521,$M$5:$M$1004)*L521*100,""),"")))</f>
        <v/>
      </c>
      <c r="R521" s="22" t="str">
        <f aca="false">IF(AND(O521&lt;&gt;"",L521&lt;&gt;""),O521*L521*100,"")</f>
        <v/>
      </c>
      <c r="S521" s="23" t="str">
        <f aca="false">IF(AND(P521&lt;&gt;"",L521&lt;&gt;""),P521*L521*100,"")</f>
        <v/>
      </c>
      <c r="T521" s="24" t="str">
        <f aca="false">IF(AND(Q521&lt;&gt;"",R521&lt;&gt;""),R521-Q521,"")</f>
        <v/>
      </c>
      <c r="U521" s="25" t="str">
        <f aca="false">IF(AND(Q521&lt;&gt;"",Q521&lt;&gt;0,T521&lt;&gt;""),T521/Q521,"")</f>
        <v/>
      </c>
      <c r="V521" s="26" t="str">
        <f aca="false">IF(AND(S521&lt;&gt;"",Q521&lt;&gt;""),S521-Q521,"")</f>
        <v/>
      </c>
      <c r="W521" s="27" t="str">
        <f aca="false">IF(AND(Q521&lt;&gt;"",Q521&lt;&gt;0,V521&lt;&gt;""),V521/Q521,"")</f>
        <v/>
      </c>
      <c r="X521" s="28" t="s">
        <v>37</v>
      </c>
      <c r="Y521" s="29" t="str">
        <f aca="false">IF(AND(O521&lt;&gt;"",M521&lt;&gt;"",O521&gt;M521),CONCATENATE("1 : ",TEXT((O521-M521)/M521,"0.00")),IF(AND(O521&lt;&gt;"",M521&lt;&gt;"",O521&lt;M521),CONCATENATE("-1 : ",TEXT((M521-O521)/M521,"0.00")),"—"))</f>
        <v>—</v>
      </c>
      <c r="Z521" s="30" t="str">
        <f aca="false">IF(AND(P521&lt;&gt;"",M521&lt;&gt;"",P521&gt;M521),CONCATENATE("1 : ",TEXT((P521-M521)/M521,"0.00")),"—")</f>
        <v>—</v>
      </c>
      <c r="AA521" s="31" t="str">
        <f aca="false">IF(AND(C521&lt;&gt;"",E521&lt;&gt;""),E521-C521,"")</f>
        <v/>
      </c>
      <c r="AB521" s="17"/>
      <c r="AC521" s="32"/>
      <c r="AD521" s="33"/>
      <c r="AE521" s="34" t="str">
        <f aca="false">IF(G521&lt;&gt;"",HYPERLINK("https://www.tradingview.com/chart/?symbol="&amp;G521&amp;"&amp;interval=60&amp;from="&amp;(AG521-10*3600)&amp;"&amp;to="&amp;(AG521+50*3600),"📈 1H"),"")</f>
        <v/>
      </c>
      <c r="AF521" s="35" t="str">
        <f aca="false">IF(G521&lt;&gt;"",HYPERLINK("https://www.tradingview.com/chart/?symbol="&amp;G521&amp;"&amp;interval=240&amp;from="&amp;(AG521-10*14400)&amp;"&amp;to="&amp;(AG521+50*14400),"📈 4H"),"")</f>
        <v/>
      </c>
      <c r="AG521" s="36" t="str">
        <f aca="false">IF(C521&lt;&gt;"",INT((C521+IF(D521&lt;&gt;"",D521,0)-DATE(1970,1,1))*86400),"")</f>
        <v/>
      </c>
    </row>
    <row r="522" customFormat="false" ht="19.5" hidden="false" customHeight="true" outlineLevel="0" collapsed="false">
      <c r="A522" s="37" t="n">
        <f aca="false">ROW()-4</f>
        <v>518</v>
      </c>
      <c r="B522" s="38"/>
      <c r="C522" s="39"/>
      <c r="D522" s="40"/>
      <c r="E522" s="39"/>
      <c r="F522" s="40"/>
      <c r="G522" s="41"/>
      <c r="H522" s="42"/>
      <c r="I522" s="43"/>
      <c r="J522" s="44"/>
      <c r="K522" s="39"/>
      <c r="L522" s="42"/>
      <c r="M522" s="44"/>
      <c r="N522" s="45"/>
      <c r="O522" s="44"/>
      <c r="P522" s="46"/>
      <c r="Q522" s="47" t="str">
        <f aca="false">IF(L522="","",IF(M522&lt;&gt;"",M522*L522*100,IF(AND(O522&lt;&gt;"",B522&lt;&gt;""),IFERROR(AVERAGEIF($B$5:$B$1004,B522,$M$5:$M$1004)*L522*100,""),"")))</f>
        <v/>
      </c>
      <c r="R522" s="47" t="str">
        <f aca="false">IF(AND(O522&lt;&gt;"",L522&lt;&gt;""),O522*L522*100,"")</f>
        <v/>
      </c>
      <c r="S522" s="48" t="str">
        <f aca="false">IF(AND(P522&lt;&gt;"",L522&lt;&gt;""),P522*L522*100,"")</f>
        <v/>
      </c>
      <c r="T522" s="49" t="str">
        <f aca="false">IF(AND(Q522&lt;&gt;"",R522&lt;&gt;""),R522-Q522,"")</f>
        <v/>
      </c>
      <c r="U522" s="50" t="str">
        <f aca="false">IF(AND(Q522&lt;&gt;"",Q522&lt;&gt;0,T522&lt;&gt;""),T522/Q522,"")</f>
        <v/>
      </c>
      <c r="V522" s="51" t="str">
        <f aca="false">IF(AND(S522&lt;&gt;"",Q522&lt;&gt;""),S522-Q522,"")</f>
        <v/>
      </c>
      <c r="W522" s="52" t="str">
        <f aca="false">IF(AND(Q522&lt;&gt;"",Q522&lt;&gt;0,V522&lt;&gt;""),V522/Q522,"")</f>
        <v/>
      </c>
      <c r="X522" s="53" t="s">
        <v>37</v>
      </c>
      <c r="Y522" s="54" t="str">
        <f aca="false">IF(AND(O522&lt;&gt;"",M522&lt;&gt;"",O522&gt;M522),CONCATENATE("1 : ",TEXT((O522-M522)/M522,"0.00")),IF(AND(O522&lt;&gt;"",M522&lt;&gt;"",O522&lt;M522),CONCATENATE("-1 : ",TEXT((M522-O522)/M522,"0.00")),"—"))</f>
        <v>—</v>
      </c>
      <c r="Z522" s="55" t="str">
        <f aca="false">IF(AND(P522&lt;&gt;"",M522&lt;&gt;"",P522&gt;M522),CONCATENATE("1 : ",TEXT((P522-M522)/M522,"0.00")),"—")</f>
        <v>—</v>
      </c>
      <c r="AA522" s="56" t="str">
        <f aca="false">IF(AND(C522&lt;&gt;"",E522&lt;&gt;""),E522-C522,"")</f>
        <v/>
      </c>
      <c r="AB522" s="42"/>
      <c r="AC522" s="57"/>
      <c r="AD522" s="58"/>
      <c r="AE522" s="59" t="str">
        <f aca="false">IF(G522&lt;&gt;"",HYPERLINK("https://www.tradingview.com/chart/?symbol="&amp;G522&amp;"&amp;interval=60&amp;from="&amp;(AG522-10*3600)&amp;"&amp;to="&amp;(AG522+50*3600),"📈 1H"),"")</f>
        <v/>
      </c>
      <c r="AF522" s="60" t="str">
        <f aca="false">IF(G522&lt;&gt;"",HYPERLINK("https://www.tradingview.com/chart/?symbol="&amp;G522&amp;"&amp;interval=240&amp;from="&amp;(AG522-10*14400)&amp;"&amp;to="&amp;(AG522+50*14400),"📈 4H"),"")</f>
        <v/>
      </c>
      <c r="AG522" s="36" t="str">
        <f aca="false">IF(C522&lt;&gt;"",INT((C522+IF(D522&lt;&gt;"",D522,0)-DATE(1970,1,1))*86400),"")</f>
        <v/>
      </c>
    </row>
    <row r="523" customFormat="false" ht="19.5" hidden="false" customHeight="true" outlineLevel="0" collapsed="false">
      <c r="A523" s="12" t="n">
        <f aca="false">ROW()-4</f>
        <v>519</v>
      </c>
      <c r="B523" s="13"/>
      <c r="C523" s="14"/>
      <c r="D523" s="15"/>
      <c r="E523" s="14"/>
      <c r="F523" s="15"/>
      <c r="G523" s="16"/>
      <c r="H523" s="17"/>
      <c r="I523" s="18"/>
      <c r="J523" s="19"/>
      <c r="K523" s="14"/>
      <c r="L523" s="17"/>
      <c r="M523" s="19"/>
      <c r="N523" s="20"/>
      <c r="O523" s="19"/>
      <c r="P523" s="21"/>
      <c r="Q523" s="22" t="str">
        <f aca="false">IF(L523="","",IF(M523&lt;&gt;"",M523*L523*100,IF(AND(O523&lt;&gt;"",B523&lt;&gt;""),IFERROR(AVERAGEIF($B$5:$B$1004,B523,$M$5:$M$1004)*L523*100,""),"")))</f>
        <v/>
      </c>
      <c r="R523" s="22" t="str">
        <f aca="false">IF(AND(O523&lt;&gt;"",L523&lt;&gt;""),O523*L523*100,"")</f>
        <v/>
      </c>
      <c r="S523" s="23" t="str">
        <f aca="false">IF(AND(P523&lt;&gt;"",L523&lt;&gt;""),P523*L523*100,"")</f>
        <v/>
      </c>
      <c r="T523" s="24" t="str">
        <f aca="false">IF(AND(Q523&lt;&gt;"",R523&lt;&gt;""),R523-Q523,"")</f>
        <v/>
      </c>
      <c r="U523" s="25" t="str">
        <f aca="false">IF(AND(Q523&lt;&gt;"",Q523&lt;&gt;0,T523&lt;&gt;""),T523/Q523,"")</f>
        <v/>
      </c>
      <c r="V523" s="26" t="str">
        <f aca="false">IF(AND(S523&lt;&gt;"",Q523&lt;&gt;""),S523-Q523,"")</f>
        <v/>
      </c>
      <c r="W523" s="27" t="str">
        <f aca="false">IF(AND(Q523&lt;&gt;"",Q523&lt;&gt;0,V523&lt;&gt;""),V523/Q523,"")</f>
        <v/>
      </c>
      <c r="X523" s="28" t="s">
        <v>37</v>
      </c>
      <c r="Y523" s="29" t="str">
        <f aca="false">IF(AND(O523&lt;&gt;"",M523&lt;&gt;"",O523&gt;M523),CONCATENATE("1 : ",TEXT((O523-M523)/M523,"0.00")),IF(AND(O523&lt;&gt;"",M523&lt;&gt;"",O523&lt;M523),CONCATENATE("-1 : ",TEXT((M523-O523)/M523,"0.00")),"—"))</f>
        <v>—</v>
      </c>
      <c r="Z523" s="30" t="str">
        <f aca="false">IF(AND(P523&lt;&gt;"",M523&lt;&gt;"",P523&gt;M523),CONCATENATE("1 : ",TEXT((P523-M523)/M523,"0.00")),"—")</f>
        <v>—</v>
      </c>
      <c r="AA523" s="31" t="str">
        <f aca="false">IF(AND(C523&lt;&gt;"",E523&lt;&gt;""),E523-C523,"")</f>
        <v/>
      </c>
      <c r="AB523" s="17"/>
      <c r="AC523" s="32"/>
      <c r="AD523" s="33"/>
      <c r="AE523" s="34" t="str">
        <f aca="false">IF(G523&lt;&gt;"",HYPERLINK("https://www.tradingview.com/chart/?symbol="&amp;G523&amp;"&amp;interval=60&amp;from="&amp;(AG523-10*3600)&amp;"&amp;to="&amp;(AG523+50*3600),"📈 1H"),"")</f>
        <v/>
      </c>
      <c r="AF523" s="35" t="str">
        <f aca="false">IF(G523&lt;&gt;"",HYPERLINK("https://www.tradingview.com/chart/?symbol="&amp;G523&amp;"&amp;interval=240&amp;from="&amp;(AG523-10*14400)&amp;"&amp;to="&amp;(AG523+50*14400),"📈 4H"),"")</f>
        <v/>
      </c>
      <c r="AG523" s="36" t="str">
        <f aca="false">IF(C523&lt;&gt;"",INT((C523+IF(D523&lt;&gt;"",D523,0)-DATE(1970,1,1))*86400),"")</f>
        <v/>
      </c>
    </row>
    <row r="524" customFormat="false" ht="19.5" hidden="false" customHeight="true" outlineLevel="0" collapsed="false">
      <c r="A524" s="37" t="n">
        <f aca="false">ROW()-4</f>
        <v>520</v>
      </c>
      <c r="B524" s="38"/>
      <c r="C524" s="39"/>
      <c r="D524" s="40"/>
      <c r="E524" s="39"/>
      <c r="F524" s="40"/>
      <c r="G524" s="41"/>
      <c r="H524" s="42"/>
      <c r="I524" s="43"/>
      <c r="J524" s="44"/>
      <c r="K524" s="39"/>
      <c r="L524" s="42"/>
      <c r="M524" s="44"/>
      <c r="N524" s="45"/>
      <c r="O524" s="44"/>
      <c r="P524" s="46"/>
      <c r="Q524" s="47" t="str">
        <f aca="false">IF(L524="","",IF(M524&lt;&gt;"",M524*L524*100,IF(AND(O524&lt;&gt;"",B524&lt;&gt;""),IFERROR(AVERAGEIF($B$5:$B$1004,B524,$M$5:$M$1004)*L524*100,""),"")))</f>
        <v/>
      </c>
      <c r="R524" s="47" t="str">
        <f aca="false">IF(AND(O524&lt;&gt;"",L524&lt;&gt;""),O524*L524*100,"")</f>
        <v/>
      </c>
      <c r="S524" s="48" t="str">
        <f aca="false">IF(AND(P524&lt;&gt;"",L524&lt;&gt;""),P524*L524*100,"")</f>
        <v/>
      </c>
      <c r="T524" s="49" t="str">
        <f aca="false">IF(AND(Q524&lt;&gt;"",R524&lt;&gt;""),R524-Q524,"")</f>
        <v/>
      </c>
      <c r="U524" s="50" t="str">
        <f aca="false">IF(AND(Q524&lt;&gt;"",Q524&lt;&gt;0,T524&lt;&gt;""),T524/Q524,"")</f>
        <v/>
      </c>
      <c r="V524" s="51" t="str">
        <f aca="false">IF(AND(S524&lt;&gt;"",Q524&lt;&gt;""),S524-Q524,"")</f>
        <v/>
      </c>
      <c r="W524" s="52" t="str">
        <f aca="false">IF(AND(Q524&lt;&gt;"",Q524&lt;&gt;0,V524&lt;&gt;""),V524/Q524,"")</f>
        <v/>
      </c>
      <c r="X524" s="53" t="s">
        <v>37</v>
      </c>
      <c r="Y524" s="54" t="str">
        <f aca="false">IF(AND(O524&lt;&gt;"",M524&lt;&gt;"",O524&gt;M524),CONCATENATE("1 : ",TEXT((O524-M524)/M524,"0.00")),IF(AND(O524&lt;&gt;"",M524&lt;&gt;"",O524&lt;M524),CONCATENATE("-1 : ",TEXT((M524-O524)/M524,"0.00")),"—"))</f>
        <v>—</v>
      </c>
      <c r="Z524" s="55" t="str">
        <f aca="false">IF(AND(P524&lt;&gt;"",M524&lt;&gt;"",P524&gt;M524),CONCATENATE("1 : ",TEXT((P524-M524)/M524,"0.00")),"—")</f>
        <v>—</v>
      </c>
      <c r="AA524" s="56" t="str">
        <f aca="false">IF(AND(C524&lt;&gt;"",E524&lt;&gt;""),E524-C524,"")</f>
        <v/>
      </c>
      <c r="AB524" s="42"/>
      <c r="AC524" s="57"/>
      <c r="AD524" s="58"/>
      <c r="AE524" s="59" t="str">
        <f aca="false">IF(G524&lt;&gt;"",HYPERLINK("https://www.tradingview.com/chart/?symbol="&amp;G524&amp;"&amp;interval=60&amp;from="&amp;(AG524-10*3600)&amp;"&amp;to="&amp;(AG524+50*3600),"📈 1H"),"")</f>
        <v/>
      </c>
      <c r="AF524" s="60" t="str">
        <f aca="false">IF(G524&lt;&gt;"",HYPERLINK("https://www.tradingview.com/chart/?symbol="&amp;G524&amp;"&amp;interval=240&amp;from="&amp;(AG524-10*14400)&amp;"&amp;to="&amp;(AG524+50*14400),"📈 4H"),"")</f>
        <v/>
      </c>
      <c r="AG524" s="36" t="str">
        <f aca="false">IF(C524&lt;&gt;"",INT((C524+IF(D524&lt;&gt;"",D524,0)-DATE(1970,1,1))*86400),"")</f>
        <v/>
      </c>
    </row>
    <row r="525" customFormat="false" ht="19.5" hidden="false" customHeight="true" outlineLevel="0" collapsed="false">
      <c r="A525" s="12" t="n">
        <f aca="false">ROW()-4</f>
        <v>521</v>
      </c>
      <c r="B525" s="13"/>
      <c r="C525" s="14"/>
      <c r="D525" s="15"/>
      <c r="E525" s="14"/>
      <c r="F525" s="15"/>
      <c r="G525" s="16"/>
      <c r="H525" s="17"/>
      <c r="I525" s="18"/>
      <c r="J525" s="19"/>
      <c r="K525" s="14"/>
      <c r="L525" s="17"/>
      <c r="M525" s="19"/>
      <c r="N525" s="20"/>
      <c r="O525" s="19"/>
      <c r="P525" s="21"/>
      <c r="Q525" s="22" t="str">
        <f aca="false">IF(L525="","",IF(M525&lt;&gt;"",M525*L525*100,IF(AND(O525&lt;&gt;"",B525&lt;&gt;""),IFERROR(AVERAGEIF($B$5:$B$1004,B525,$M$5:$M$1004)*L525*100,""),"")))</f>
        <v/>
      </c>
      <c r="R525" s="22" t="str">
        <f aca="false">IF(AND(O525&lt;&gt;"",L525&lt;&gt;""),O525*L525*100,"")</f>
        <v/>
      </c>
      <c r="S525" s="23" t="str">
        <f aca="false">IF(AND(P525&lt;&gt;"",L525&lt;&gt;""),P525*L525*100,"")</f>
        <v/>
      </c>
      <c r="T525" s="24" t="str">
        <f aca="false">IF(AND(Q525&lt;&gt;"",R525&lt;&gt;""),R525-Q525,"")</f>
        <v/>
      </c>
      <c r="U525" s="25" t="str">
        <f aca="false">IF(AND(Q525&lt;&gt;"",Q525&lt;&gt;0,T525&lt;&gt;""),T525/Q525,"")</f>
        <v/>
      </c>
      <c r="V525" s="26" t="str">
        <f aca="false">IF(AND(S525&lt;&gt;"",Q525&lt;&gt;""),S525-Q525,"")</f>
        <v/>
      </c>
      <c r="W525" s="27" t="str">
        <f aca="false">IF(AND(Q525&lt;&gt;"",Q525&lt;&gt;0,V525&lt;&gt;""),V525/Q525,"")</f>
        <v/>
      </c>
      <c r="X525" s="28" t="s">
        <v>37</v>
      </c>
      <c r="Y525" s="29" t="str">
        <f aca="false">IF(AND(O525&lt;&gt;"",M525&lt;&gt;"",O525&gt;M525),CONCATENATE("1 : ",TEXT((O525-M525)/M525,"0.00")),IF(AND(O525&lt;&gt;"",M525&lt;&gt;"",O525&lt;M525),CONCATENATE("-1 : ",TEXT((M525-O525)/M525,"0.00")),"—"))</f>
        <v>—</v>
      </c>
      <c r="Z525" s="30" t="str">
        <f aca="false">IF(AND(P525&lt;&gt;"",M525&lt;&gt;"",P525&gt;M525),CONCATENATE("1 : ",TEXT((P525-M525)/M525,"0.00")),"—")</f>
        <v>—</v>
      </c>
      <c r="AA525" s="31" t="str">
        <f aca="false">IF(AND(C525&lt;&gt;"",E525&lt;&gt;""),E525-C525,"")</f>
        <v/>
      </c>
      <c r="AB525" s="17"/>
      <c r="AC525" s="32"/>
      <c r="AD525" s="33"/>
      <c r="AE525" s="34" t="str">
        <f aca="false">IF(G525&lt;&gt;"",HYPERLINK("https://www.tradingview.com/chart/?symbol="&amp;G525&amp;"&amp;interval=60&amp;from="&amp;(AG525-10*3600)&amp;"&amp;to="&amp;(AG525+50*3600),"📈 1H"),"")</f>
        <v/>
      </c>
      <c r="AF525" s="35" t="str">
        <f aca="false">IF(G525&lt;&gt;"",HYPERLINK("https://www.tradingview.com/chart/?symbol="&amp;G525&amp;"&amp;interval=240&amp;from="&amp;(AG525-10*14400)&amp;"&amp;to="&amp;(AG525+50*14400),"📈 4H"),"")</f>
        <v/>
      </c>
      <c r="AG525" s="36" t="str">
        <f aca="false">IF(C525&lt;&gt;"",INT((C525+IF(D525&lt;&gt;"",D525,0)-DATE(1970,1,1))*86400),"")</f>
        <v/>
      </c>
    </row>
    <row r="526" customFormat="false" ht="19.5" hidden="false" customHeight="true" outlineLevel="0" collapsed="false">
      <c r="A526" s="37" t="n">
        <f aca="false">ROW()-4</f>
        <v>522</v>
      </c>
      <c r="B526" s="38"/>
      <c r="C526" s="39"/>
      <c r="D526" s="40"/>
      <c r="E526" s="39"/>
      <c r="F526" s="40"/>
      <c r="G526" s="41"/>
      <c r="H526" s="42"/>
      <c r="I526" s="43"/>
      <c r="J526" s="44"/>
      <c r="K526" s="39"/>
      <c r="L526" s="42"/>
      <c r="M526" s="44"/>
      <c r="N526" s="45"/>
      <c r="O526" s="44"/>
      <c r="P526" s="46"/>
      <c r="Q526" s="47" t="str">
        <f aca="false">IF(L526="","",IF(M526&lt;&gt;"",M526*L526*100,IF(AND(O526&lt;&gt;"",B526&lt;&gt;""),IFERROR(AVERAGEIF($B$5:$B$1004,B526,$M$5:$M$1004)*L526*100,""),"")))</f>
        <v/>
      </c>
      <c r="R526" s="47" t="str">
        <f aca="false">IF(AND(O526&lt;&gt;"",L526&lt;&gt;""),O526*L526*100,"")</f>
        <v/>
      </c>
      <c r="S526" s="48" t="str">
        <f aca="false">IF(AND(P526&lt;&gt;"",L526&lt;&gt;""),P526*L526*100,"")</f>
        <v/>
      </c>
      <c r="T526" s="49" t="str">
        <f aca="false">IF(AND(Q526&lt;&gt;"",R526&lt;&gt;""),R526-Q526,"")</f>
        <v/>
      </c>
      <c r="U526" s="50" t="str">
        <f aca="false">IF(AND(Q526&lt;&gt;"",Q526&lt;&gt;0,T526&lt;&gt;""),T526/Q526,"")</f>
        <v/>
      </c>
      <c r="V526" s="51" t="str">
        <f aca="false">IF(AND(S526&lt;&gt;"",Q526&lt;&gt;""),S526-Q526,"")</f>
        <v/>
      </c>
      <c r="W526" s="52" t="str">
        <f aca="false">IF(AND(Q526&lt;&gt;"",Q526&lt;&gt;0,V526&lt;&gt;""),V526/Q526,"")</f>
        <v/>
      </c>
      <c r="X526" s="53" t="s">
        <v>37</v>
      </c>
      <c r="Y526" s="54" t="str">
        <f aca="false">IF(AND(O526&lt;&gt;"",M526&lt;&gt;"",O526&gt;M526),CONCATENATE("1 : ",TEXT((O526-M526)/M526,"0.00")),IF(AND(O526&lt;&gt;"",M526&lt;&gt;"",O526&lt;M526),CONCATENATE("-1 : ",TEXT((M526-O526)/M526,"0.00")),"—"))</f>
        <v>—</v>
      </c>
      <c r="Z526" s="55" t="str">
        <f aca="false">IF(AND(P526&lt;&gt;"",M526&lt;&gt;"",P526&gt;M526),CONCATENATE("1 : ",TEXT((P526-M526)/M526,"0.00")),"—")</f>
        <v>—</v>
      </c>
      <c r="AA526" s="56" t="str">
        <f aca="false">IF(AND(C526&lt;&gt;"",E526&lt;&gt;""),E526-C526,"")</f>
        <v/>
      </c>
      <c r="AB526" s="42"/>
      <c r="AC526" s="57"/>
      <c r="AD526" s="58"/>
      <c r="AE526" s="59" t="str">
        <f aca="false">IF(G526&lt;&gt;"",HYPERLINK("https://www.tradingview.com/chart/?symbol="&amp;G526&amp;"&amp;interval=60&amp;from="&amp;(AG526-10*3600)&amp;"&amp;to="&amp;(AG526+50*3600),"📈 1H"),"")</f>
        <v/>
      </c>
      <c r="AF526" s="60" t="str">
        <f aca="false">IF(G526&lt;&gt;"",HYPERLINK("https://www.tradingview.com/chart/?symbol="&amp;G526&amp;"&amp;interval=240&amp;from="&amp;(AG526-10*14400)&amp;"&amp;to="&amp;(AG526+50*14400),"📈 4H"),"")</f>
        <v/>
      </c>
      <c r="AG526" s="36" t="str">
        <f aca="false">IF(C526&lt;&gt;"",INT((C526+IF(D526&lt;&gt;"",D526,0)-DATE(1970,1,1))*86400),"")</f>
        <v/>
      </c>
    </row>
    <row r="527" customFormat="false" ht="19.5" hidden="false" customHeight="true" outlineLevel="0" collapsed="false">
      <c r="A527" s="12" t="n">
        <f aca="false">ROW()-4</f>
        <v>523</v>
      </c>
      <c r="B527" s="13"/>
      <c r="C527" s="14"/>
      <c r="D527" s="15"/>
      <c r="E527" s="14"/>
      <c r="F527" s="15"/>
      <c r="G527" s="16"/>
      <c r="H527" s="17"/>
      <c r="I527" s="18"/>
      <c r="J527" s="19"/>
      <c r="K527" s="14"/>
      <c r="L527" s="17"/>
      <c r="M527" s="19"/>
      <c r="N527" s="20"/>
      <c r="O527" s="19"/>
      <c r="P527" s="21"/>
      <c r="Q527" s="22" t="str">
        <f aca="false">IF(L527="","",IF(M527&lt;&gt;"",M527*L527*100,IF(AND(O527&lt;&gt;"",B527&lt;&gt;""),IFERROR(AVERAGEIF($B$5:$B$1004,B527,$M$5:$M$1004)*L527*100,""),"")))</f>
        <v/>
      </c>
      <c r="R527" s="22" t="str">
        <f aca="false">IF(AND(O527&lt;&gt;"",L527&lt;&gt;""),O527*L527*100,"")</f>
        <v/>
      </c>
      <c r="S527" s="23" t="str">
        <f aca="false">IF(AND(P527&lt;&gt;"",L527&lt;&gt;""),P527*L527*100,"")</f>
        <v/>
      </c>
      <c r="T527" s="24" t="str">
        <f aca="false">IF(AND(Q527&lt;&gt;"",R527&lt;&gt;""),R527-Q527,"")</f>
        <v/>
      </c>
      <c r="U527" s="25" t="str">
        <f aca="false">IF(AND(Q527&lt;&gt;"",Q527&lt;&gt;0,T527&lt;&gt;""),T527/Q527,"")</f>
        <v/>
      </c>
      <c r="V527" s="26" t="str">
        <f aca="false">IF(AND(S527&lt;&gt;"",Q527&lt;&gt;""),S527-Q527,"")</f>
        <v/>
      </c>
      <c r="W527" s="27" t="str">
        <f aca="false">IF(AND(Q527&lt;&gt;"",Q527&lt;&gt;0,V527&lt;&gt;""),V527/Q527,"")</f>
        <v/>
      </c>
      <c r="X527" s="28" t="s">
        <v>37</v>
      </c>
      <c r="Y527" s="29" t="str">
        <f aca="false">IF(AND(O527&lt;&gt;"",M527&lt;&gt;"",O527&gt;M527),CONCATENATE("1 : ",TEXT((O527-M527)/M527,"0.00")),IF(AND(O527&lt;&gt;"",M527&lt;&gt;"",O527&lt;M527),CONCATENATE("-1 : ",TEXT((M527-O527)/M527,"0.00")),"—"))</f>
        <v>—</v>
      </c>
      <c r="Z527" s="30" t="str">
        <f aca="false">IF(AND(P527&lt;&gt;"",M527&lt;&gt;"",P527&gt;M527),CONCATENATE("1 : ",TEXT((P527-M527)/M527,"0.00")),"—")</f>
        <v>—</v>
      </c>
      <c r="AA527" s="31" t="str">
        <f aca="false">IF(AND(C527&lt;&gt;"",E527&lt;&gt;""),E527-C527,"")</f>
        <v/>
      </c>
      <c r="AB527" s="17"/>
      <c r="AC527" s="32"/>
      <c r="AD527" s="33"/>
      <c r="AE527" s="34" t="str">
        <f aca="false">IF(G527&lt;&gt;"",HYPERLINK("https://www.tradingview.com/chart/?symbol="&amp;G527&amp;"&amp;interval=60&amp;from="&amp;(AG527-10*3600)&amp;"&amp;to="&amp;(AG527+50*3600),"📈 1H"),"")</f>
        <v/>
      </c>
      <c r="AF527" s="35" t="str">
        <f aca="false">IF(G527&lt;&gt;"",HYPERLINK("https://www.tradingview.com/chart/?symbol="&amp;G527&amp;"&amp;interval=240&amp;from="&amp;(AG527-10*14400)&amp;"&amp;to="&amp;(AG527+50*14400),"📈 4H"),"")</f>
        <v/>
      </c>
      <c r="AG527" s="36" t="str">
        <f aca="false">IF(C527&lt;&gt;"",INT((C527+IF(D527&lt;&gt;"",D527,0)-DATE(1970,1,1))*86400),"")</f>
        <v/>
      </c>
    </row>
    <row r="528" customFormat="false" ht="19.5" hidden="false" customHeight="true" outlineLevel="0" collapsed="false">
      <c r="A528" s="37" t="n">
        <f aca="false">ROW()-4</f>
        <v>524</v>
      </c>
      <c r="B528" s="38"/>
      <c r="C528" s="39"/>
      <c r="D528" s="40"/>
      <c r="E528" s="39"/>
      <c r="F528" s="40"/>
      <c r="G528" s="41"/>
      <c r="H528" s="42"/>
      <c r="I528" s="43"/>
      <c r="J528" s="44"/>
      <c r="K528" s="39"/>
      <c r="L528" s="42"/>
      <c r="M528" s="44"/>
      <c r="N528" s="45"/>
      <c r="O528" s="44"/>
      <c r="P528" s="46"/>
      <c r="Q528" s="47" t="str">
        <f aca="false">IF(L528="","",IF(M528&lt;&gt;"",M528*L528*100,IF(AND(O528&lt;&gt;"",B528&lt;&gt;""),IFERROR(AVERAGEIF($B$5:$B$1004,B528,$M$5:$M$1004)*L528*100,""),"")))</f>
        <v/>
      </c>
      <c r="R528" s="47" t="str">
        <f aca="false">IF(AND(O528&lt;&gt;"",L528&lt;&gt;""),O528*L528*100,"")</f>
        <v/>
      </c>
      <c r="S528" s="48" t="str">
        <f aca="false">IF(AND(P528&lt;&gt;"",L528&lt;&gt;""),P528*L528*100,"")</f>
        <v/>
      </c>
      <c r="T528" s="49" t="str">
        <f aca="false">IF(AND(Q528&lt;&gt;"",R528&lt;&gt;""),R528-Q528,"")</f>
        <v/>
      </c>
      <c r="U528" s="50" t="str">
        <f aca="false">IF(AND(Q528&lt;&gt;"",Q528&lt;&gt;0,T528&lt;&gt;""),T528/Q528,"")</f>
        <v/>
      </c>
      <c r="V528" s="51" t="str">
        <f aca="false">IF(AND(S528&lt;&gt;"",Q528&lt;&gt;""),S528-Q528,"")</f>
        <v/>
      </c>
      <c r="W528" s="52" t="str">
        <f aca="false">IF(AND(Q528&lt;&gt;"",Q528&lt;&gt;0,V528&lt;&gt;""),V528/Q528,"")</f>
        <v/>
      </c>
      <c r="X528" s="53" t="s">
        <v>37</v>
      </c>
      <c r="Y528" s="54" t="str">
        <f aca="false">IF(AND(O528&lt;&gt;"",M528&lt;&gt;"",O528&gt;M528),CONCATENATE("1 : ",TEXT((O528-M528)/M528,"0.00")),IF(AND(O528&lt;&gt;"",M528&lt;&gt;"",O528&lt;M528),CONCATENATE("-1 : ",TEXT((M528-O528)/M528,"0.00")),"—"))</f>
        <v>—</v>
      </c>
      <c r="Z528" s="55" t="str">
        <f aca="false">IF(AND(P528&lt;&gt;"",M528&lt;&gt;"",P528&gt;M528),CONCATENATE("1 : ",TEXT((P528-M528)/M528,"0.00")),"—")</f>
        <v>—</v>
      </c>
      <c r="AA528" s="56" t="str">
        <f aca="false">IF(AND(C528&lt;&gt;"",E528&lt;&gt;""),E528-C528,"")</f>
        <v/>
      </c>
      <c r="AB528" s="42"/>
      <c r="AC528" s="57"/>
      <c r="AD528" s="58"/>
      <c r="AE528" s="59" t="str">
        <f aca="false">IF(G528&lt;&gt;"",HYPERLINK("https://www.tradingview.com/chart/?symbol="&amp;G528&amp;"&amp;interval=60&amp;from="&amp;(AG528-10*3600)&amp;"&amp;to="&amp;(AG528+50*3600),"📈 1H"),"")</f>
        <v/>
      </c>
      <c r="AF528" s="60" t="str">
        <f aca="false">IF(G528&lt;&gt;"",HYPERLINK("https://www.tradingview.com/chart/?symbol="&amp;G528&amp;"&amp;interval=240&amp;from="&amp;(AG528-10*14400)&amp;"&amp;to="&amp;(AG528+50*14400),"📈 4H"),"")</f>
        <v/>
      </c>
      <c r="AG528" s="36" t="str">
        <f aca="false">IF(C528&lt;&gt;"",INT((C528+IF(D528&lt;&gt;"",D528,0)-DATE(1970,1,1))*86400),"")</f>
        <v/>
      </c>
    </row>
    <row r="529" customFormat="false" ht="19.5" hidden="false" customHeight="true" outlineLevel="0" collapsed="false">
      <c r="A529" s="12" t="n">
        <f aca="false">ROW()-4</f>
        <v>525</v>
      </c>
      <c r="B529" s="13"/>
      <c r="C529" s="14"/>
      <c r="D529" s="15"/>
      <c r="E529" s="14"/>
      <c r="F529" s="15"/>
      <c r="G529" s="16"/>
      <c r="H529" s="17"/>
      <c r="I529" s="18"/>
      <c r="J529" s="19"/>
      <c r="K529" s="14"/>
      <c r="L529" s="17"/>
      <c r="M529" s="19"/>
      <c r="N529" s="20"/>
      <c r="O529" s="19"/>
      <c r="P529" s="21"/>
      <c r="Q529" s="22" t="str">
        <f aca="false">IF(L529="","",IF(M529&lt;&gt;"",M529*L529*100,IF(AND(O529&lt;&gt;"",B529&lt;&gt;""),IFERROR(AVERAGEIF($B$5:$B$1004,B529,$M$5:$M$1004)*L529*100,""),"")))</f>
        <v/>
      </c>
      <c r="R529" s="22" t="str">
        <f aca="false">IF(AND(O529&lt;&gt;"",L529&lt;&gt;""),O529*L529*100,"")</f>
        <v/>
      </c>
      <c r="S529" s="23" t="str">
        <f aca="false">IF(AND(P529&lt;&gt;"",L529&lt;&gt;""),P529*L529*100,"")</f>
        <v/>
      </c>
      <c r="T529" s="24" t="str">
        <f aca="false">IF(AND(Q529&lt;&gt;"",R529&lt;&gt;""),R529-Q529,"")</f>
        <v/>
      </c>
      <c r="U529" s="25" t="str">
        <f aca="false">IF(AND(Q529&lt;&gt;"",Q529&lt;&gt;0,T529&lt;&gt;""),T529/Q529,"")</f>
        <v/>
      </c>
      <c r="V529" s="26" t="str">
        <f aca="false">IF(AND(S529&lt;&gt;"",Q529&lt;&gt;""),S529-Q529,"")</f>
        <v/>
      </c>
      <c r="W529" s="27" t="str">
        <f aca="false">IF(AND(Q529&lt;&gt;"",Q529&lt;&gt;0,V529&lt;&gt;""),V529/Q529,"")</f>
        <v/>
      </c>
      <c r="X529" s="28" t="s">
        <v>37</v>
      </c>
      <c r="Y529" s="29" t="str">
        <f aca="false">IF(AND(O529&lt;&gt;"",M529&lt;&gt;"",O529&gt;M529),CONCATENATE("1 : ",TEXT((O529-M529)/M529,"0.00")),IF(AND(O529&lt;&gt;"",M529&lt;&gt;"",O529&lt;M529),CONCATENATE("-1 : ",TEXT((M529-O529)/M529,"0.00")),"—"))</f>
        <v>—</v>
      </c>
      <c r="Z529" s="30" t="str">
        <f aca="false">IF(AND(P529&lt;&gt;"",M529&lt;&gt;"",P529&gt;M529),CONCATENATE("1 : ",TEXT((P529-M529)/M529,"0.00")),"—")</f>
        <v>—</v>
      </c>
      <c r="AA529" s="31" t="str">
        <f aca="false">IF(AND(C529&lt;&gt;"",E529&lt;&gt;""),E529-C529,"")</f>
        <v/>
      </c>
      <c r="AB529" s="17"/>
      <c r="AC529" s="32"/>
      <c r="AD529" s="33"/>
      <c r="AE529" s="34" t="str">
        <f aca="false">IF(G529&lt;&gt;"",HYPERLINK("https://www.tradingview.com/chart/?symbol="&amp;G529&amp;"&amp;interval=60&amp;from="&amp;(AG529-10*3600)&amp;"&amp;to="&amp;(AG529+50*3600),"📈 1H"),"")</f>
        <v/>
      </c>
      <c r="AF529" s="35" t="str">
        <f aca="false">IF(G529&lt;&gt;"",HYPERLINK("https://www.tradingview.com/chart/?symbol="&amp;G529&amp;"&amp;interval=240&amp;from="&amp;(AG529-10*14400)&amp;"&amp;to="&amp;(AG529+50*14400),"📈 4H"),"")</f>
        <v/>
      </c>
      <c r="AG529" s="36" t="str">
        <f aca="false">IF(C529&lt;&gt;"",INT((C529+IF(D529&lt;&gt;"",D529,0)-DATE(1970,1,1))*86400),"")</f>
        <v/>
      </c>
    </row>
    <row r="530" customFormat="false" ht="19.5" hidden="false" customHeight="true" outlineLevel="0" collapsed="false">
      <c r="A530" s="37" t="n">
        <f aca="false">ROW()-4</f>
        <v>526</v>
      </c>
      <c r="B530" s="38"/>
      <c r="C530" s="39"/>
      <c r="D530" s="40"/>
      <c r="E530" s="39"/>
      <c r="F530" s="40"/>
      <c r="G530" s="41"/>
      <c r="H530" s="42"/>
      <c r="I530" s="43"/>
      <c r="J530" s="44"/>
      <c r="K530" s="39"/>
      <c r="L530" s="42"/>
      <c r="M530" s="44"/>
      <c r="N530" s="45"/>
      <c r="O530" s="44"/>
      <c r="P530" s="46"/>
      <c r="Q530" s="47" t="str">
        <f aca="false">IF(L530="","",IF(M530&lt;&gt;"",M530*L530*100,IF(AND(O530&lt;&gt;"",B530&lt;&gt;""),IFERROR(AVERAGEIF($B$5:$B$1004,B530,$M$5:$M$1004)*L530*100,""),"")))</f>
        <v/>
      </c>
      <c r="R530" s="47" t="str">
        <f aca="false">IF(AND(O530&lt;&gt;"",L530&lt;&gt;""),O530*L530*100,"")</f>
        <v/>
      </c>
      <c r="S530" s="48" t="str">
        <f aca="false">IF(AND(P530&lt;&gt;"",L530&lt;&gt;""),P530*L530*100,"")</f>
        <v/>
      </c>
      <c r="T530" s="49" t="str">
        <f aca="false">IF(AND(Q530&lt;&gt;"",R530&lt;&gt;""),R530-Q530,"")</f>
        <v/>
      </c>
      <c r="U530" s="50" t="str">
        <f aca="false">IF(AND(Q530&lt;&gt;"",Q530&lt;&gt;0,T530&lt;&gt;""),T530/Q530,"")</f>
        <v/>
      </c>
      <c r="V530" s="51" t="str">
        <f aca="false">IF(AND(S530&lt;&gt;"",Q530&lt;&gt;""),S530-Q530,"")</f>
        <v/>
      </c>
      <c r="W530" s="52" t="str">
        <f aca="false">IF(AND(Q530&lt;&gt;"",Q530&lt;&gt;0,V530&lt;&gt;""),V530/Q530,"")</f>
        <v/>
      </c>
      <c r="X530" s="53" t="s">
        <v>37</v>
      </c>
      <c r="Y530" s="54" t="str">
        <f aca="false">IF(AND(O530&lt;&gt;"",M530&lt;&gt;"",O530&gt;M530),CONCATENATE("1 : ",TEXT((O530-M530)/M530,"0.00")),IF(AND(O530&lt;&gt;"",M530&lt;&gt;"",O530&lt;M530),CONCATENATE("-1 : ",TEXT((M530-O530)/M530,"0.00")),"—"))</f>
        <v>—</v>
      </c>
      <c r="Z530" s="55" t="str">
        <f aca="false">IF(AND(P530&lt;&gt;"",M530&lt;&gt;"",P530&gt;M530),CONCATENATE("1 : ",TEXT((P530-M530)/M530,"0.00")),"—")</f>
        <v>—</v>
      </c>
      <c r="AA530" s="56" t="str">
        <f aca="false">IF(AND(C530&lt;&gt;"",E530&lt;&gt;""),E530-C530,"")</f>
        <v/>
      </c>
      <c r="AB530" s="42"/>
      <c r="AC530" s="57"/>
      <c r="AD530" s="58"/>
      <c r="AE530" s="59" t="str">
        <f aca="false">IF(G530&lt;&gt;"",HYPERLINK("https://www.tradingview.com/chart/?symbol="&amp;G530&amp;"&amp;interval=60&amp;from="&amp;(AG530-10*3600)&amp;"&amp;to="&amp;(AG530+50*3600),"📈 1H"),"")</f>
        <v/>
      </c>
      <c r="AF530" s="60" t="str">
        <f aca="false">IF(G530&lt;&gt;"",HYPERLINK("https://www.tradingview.com/chart/?symbol="&amp;G530&amp;"&amp;interval=240&amp;from="&amp;(AG530-10*14400)&amp;"&amp;to="&amp;(AG530+50*14400),"📈 4H"),"")</f>
        <v/>
      </c>
      <c r="AG530" s="36" t="str">
        <f aca="false">IF(C530&lt;&gt;"",INT((C530+IF(D530&lt;&gt;"",D530,0)-DATE(1970,1,1))*86400),"")</f>
        <v/>
      </c>
    </row>
    <row r="531" customFormat="false" ht="19.5" hidden="false" customHeight="true" outlineLevel="0" collapsed="false">
      <c r="A531" s="12" t="n">
        <f aca="false">ROW()-4</f>
        <v>527</v>
      </c>
      <c r="B531" s="13"/>
      <c r="C531" s="14"/>
      <c r="D531" s="15"/>
      <c r="E531" s="14"/>
      <c r="F531" s="15"/>
      <c r="G531" s="16"/>
      <c r="H531" s="17"/>
      <c r="I531" s="18"/>
      <c r="J531" s="19"/>
      <c r="K531" s="14"/>
      <c r="L531" s="17"/>
      <c r="M531" s="19"/>
      <c r="N531" s="20"/>
      <c r="O531" s="19"/>
      <c r="P531" s="21"/>
      <c r="Q531" s="22" t="str">
        <f aca="false">IF(L531="","",IF(M531&lt;&gt;"",M531*L531*100,IF(AND(O531&lt;&gt;"",B531&lt;&gt;""),IFERROR(AVERAGEIF($B$5:$B$1004,B531,$M$5:$M$1004)*L531*100,""),"")))</f>
        <v/>
      </c>
      <c r="R531" s="22" t="str">
        <f aca="false">IF(AND(O531&lt;&gt;"",L531&lt;&gt;""),O531*L531*100,"")</f>
        <v/>
      </c>
      <c r="S531" s="23" t="str">
        <f aca="false">IF(AND(P531&lt;&gt;"",L531&lt;&gt;""),P531*L531*100,"")</f>
        <v/>
      </c>
      <c r="T531" s="24" t="str">
        <f aca="false">IF(AND(Q531&lt;&gt;"",R531&lt;&gt;""),R531-Q531,"")</f>
        <v/>
      </c>
      <c r="U531" s="25" t="str">
        <f aca="false">IF(AND(Q531&lt;&gt;"",Q531&lt;&gt;0,T531&lt;&gt;""),T531/Q531,"")</f>
        <v/>
      </c>
      <c r="V531" s="26" t="str">
        <f aca="false">IF(AND(S531&lt;&gt;"",Q531&lt;&gt;""),S531-Q531,"")</f>
        <v/>
      </c>
      <c r="W531" s="27" t="str">
        <f aca="false">IF(AND(Q531&lt;&gt;"",Q531&lt;&gt;0,V531&lt;&gt;""),V531/Q531,"")</f>
        <v/>
      </c>
      <c r="X531" s="28" t="s">
        <v>37</v>
      </c>
      <c r="Y531" s="29" t="str">
        <f aca="false">IF(AND(O531&lt;&gt;"",M531&lt;&gt;"",O531&gt;M531),CONCATENATE("1 : ",TEXT((O531-M531)/M531,"0.00")),IF(AND(O531&lt;&gt;"",M531&lt;&gt;"",O531&lt;M531),CONCATENATE("-1 : ",TEXT((M531-O531)/M531,"0.00")),"—"))</f>
        <v>—</v>
      </c>
      <c r="Z531" s="30" t="str">
        <f aca="false">IF(AND(P531&lt;&gt;"",M531&lt;&gt;"",P531&gt;M531),CONCATENATE("1 : ",TEXT((P531-M531)/M531,"0.00")),"—")</f>
        <v>—</v>
      </c>
      <c r="AA531" s="31" t="str">
        <f aca="false">IF(AND(C531&lt;&gt;"",E531&lt;&gt;""),E531-C531,"")</f>
        <v/>
      </c>
      <c r="AB531" s="17"/>
      <c r="AC531" s="32"/>
      <c r="AD531" s="33"/>
      <c r="AE531" s="34" t="str">
        <f aca="false">IF(G531&lt;&gt;"",HYPERLINK("https://www.tradingview.com/chart/?symbol="&amp;G531&amp;"&amp;interval=60&amp;from="&amp;(AG531-10*3600)&amp;"&amp;to="&amp;(AG531+50*3600),"📈 1H"),"")</f>
        <v/>
      </c>
      <c r="AF531" s="35" t="str">
        <f aca="false">IF(G531&lt;&gt;"",HYPERLINK("https://www.tradingview.com/chart/?symbol="&amp;G531&amp;"&amp;interval=240&amp;from="&amp;(AG531-10*14400)&amp;"&amp;to="&amp;(AG531+50*14400),"📈 4H"),"")</f>
        <v/>
      </c>
      <c r="AG531" s="36" t="str">
        <f aca="false">IF(C531&lt;&gt;"",INT((C531+IF(D531&lt;&gt;"",D531,0)-DATE(1970,1,1))*86400),"")</f>
        <v/>
      </c>
    </row>
    <row r="532" customFormat="false" ht="19.5" hidden="false" customHeight="true" outlineLevel="0" collapsed="false">
      <c r="A532" s="37" t="n">
        <f aca="false">ROW()-4</f>
        <v>528</v>
      </c>
      <c r="B532" s="38"/>
      <c r="C532" s="39"/>
      <c r="D532" s="40"/>
      <c r="E532" s="39"/>
      <c r="F532" s="40"/>
      <c r="G532" s="41"/>
      <c r="H532" s="42"/>
      <c r="I532" s="43"/>
      <c r="J532" s="44"/>
      <c r="K532" s="39"/>
      <c r="L532" s="42"/>
      <c r="M532" s="44"/>
      <c r="N532" s="45"/>
      <c r="O532" s="44"/>
      <c r="P532" s="46"/>
      <c r="Q532" s="47" t="str">
        <f aca="false">IF(L532="","",IF(M532&lt;&gt;"",M532*L532*100,IF(AND(O532&lt;&gt;"",B532&lt;&gt;""),IFERROR(AVERAGEIF($B$5:$B$1004,B532,$M$5:$M$1004)*L532*100,""),"")))</f>
        <v/>
      </c>
      <c r="R532" s="47" t="str">
        <f aca="false">IF(AND(O532&lt;&gt;"",L532&lt;&gt;""),O532*L532*100,"")</f>
        <v/>
      </c>
      <c r="S532" s="48" t="str">
        <f aca="false">IF(AND(P532&lt;&gt;"",L532&lt;&gt;""),P532*L532*100,"")</f>
        <v/>
      </c>
      <c r="T532" s="49" t="str">
        <f aca="false">IF(AND(Q532&lt;&gt;"",R532&lt;&gt;""),R532-Q532,"")</f>
        <v/>
      </c>
      <c r="U532" s="50" t="str">
        <f aca="false">IF(AND(Q532&lt;&gt;"",Q532&lt;&gt;0,T532&lt;&gt;""),T532/Q532,"")</f>
        <v/>
      </c>
      <c r="V532" s="51" t="str">
        <f aca="false">IF(AND(S532&lt;&gt;"",Q532&lt;&gt;""),S532-Q532,"")</f>
        <v/>
      </c>
      <c r="W532" s="52" t="str">
        <f aca="false">IF(AND(Q532&lt;&gt;"",Q532&lt;&gt;0,V532&lt;&gt;""),V532/Q532,"")</f>
        <v/>
      </c>
      <c r="X532" s="53" t="s">
        <v>37</v>
      </c>
      <c r="Y532" s="54" t="str">
        <f aca="false">IF(AND(O532&lt;&gt;"",M532&lt;&gt;"",O532&gt;M532),CONCATENATE("1 : ",TEXT((O532-M532)/M532,"0.00")),IF(AND(O532&lt;&gt;"",M532&lt;&gt;"",O532&lt;M532),CONCATENATE("-1 : ",TEXT((M532-O532)/M532,"0.00")),"—"))</f>
        <v>—</v>
      </c>
      <c r="Z532" s="55" t="str">
        <f aca="false">IF(AND(P532&lt;&gt;"",M532&lt;&gt;"",P532&gt;M532),CONCATENATE("1 : ",TEXT((P532-M532)/M532,"0.00")),"—")</f>
        <v>—</v>
      </c>
      <c r="AA532" s="56" t="str">
        <f aca="false">IF(AND(C532&lt;&gt;"",E532&lt;&gt;""),E532-C532,"")</f>
        <v/>
      </c>
      <c r="AB532" s="42"/>
      <c r="AC532" s="57"/>
      <c r="AD532" s="58"/>
      <c r="AE532" s="59" t="str">
        <f aca="false">IF(G532&lt;&gt;"",HYPERLINK("https://www.tradingview.com/chart/?symbol="&amp;G532&amp;"&amp;interval=60&amp;from="&amp;(AG532-10*3600)&amp;"&amp;to="&amp;(AG532+50*3600),"📈 1H"),"")</f>
        <v/>
      </c>
      <c r="AF532" s="60" t="str">
        <f aca="false">IF(G532&lt;&gt;"",HYPERLINK("https://www.tradingview.com/chart/?symbol="&amp;G532&amp;"&amp;interval=240&amp;from="&amp;(AG532-10*14400)&amp;"&amp;to="&amp;(AG532+50*14400),"📈 4H"),"")</f>
        <v/>
      </c>
      <c r="AG532" s="36" t="str">
        <f aca="false">IF(C532&lt;&gt;"",INT((C532+IF(D532&lt;&gt;"",D532,0)-DATE(1970,1,1))*86400),"")</f>
        <v/>
      </c>
    </row>
    <row r="533" customFormat="false" ht="19.5" hidden="false" customHeight="true" outlineLevel="0" collapsed="false">
      <c r="A533" s="12" t="n">
        <f aca="false">ROW()-4</f>
        <v>529</v>
      </c>
      <c r="B533" s="13"/>
      <c r="C533" s="14"/>
      <c r="D533" s="15"/>
      <c r="E533" s="14"/>
      <c r="F533" s="15"/>
      <c r="G533" s="16"/>
      <c r="H533" s="17"/>
      <c r="I533" s="18"/>
      <c r="J533" s="19"/>
      <c r="K533" s="14"/>
      <c r="L533" s="17"/>
      <c r="M533" s="19"/>
      <c r="N533" s="20"/>
      <c r="O533" s="19"/>
      <c r="P533" s="21"/>
      <c r="Q533" s="22" t="str">
        <f aca="false">IF(L533="","",IF(M533&lt;&gt;"",M533*L533*100,IF(AND(O533&lt;&gt;"",B533&lt;&gt;""),IFERROR(AVERAGEIF($B$5:$B$1004,B533,$M$5:$M$1004)*L533*100,""),"")))</f>
        <v/>
      </c>
      <c r="R533" s="22" t="str">
        <f aca="false">IF(AND(O533&lt;&gt;"",L533&lt;&gt;""),O533*L533*100,"")</f>
        <v/>
      </c>
      <c r="S533" s="23" t="str">
        <f aca="false">IF(AND(P533&lt;&gt;"",L533&lt;&gt;""),P533*L533*100,"")</f>
        <v/>
      </c>
      <c r="T533" s="24" t="str">
        <f aca="false">IF(AND(Q533&lt;&gt;"",R533&lt;&gt;""),R533-Q533,"")</f>
        <v/>
      </c>
      <c r="U533" s="25" t="str">
        <f aca="false">IF(AND(Q533&lt;&gt;"",Q533&lt;&gt;0,T533&lt;&gt;""),T533/Q533,"")</f>
        <v/>
      </c>
      <c r="V533" s="26" t="str">
        <f aca="false">IF(AND(S533&lt;&gt;"",Q533&lt;&gt;""),S533-Q533,"")</f>
        <v/>
      </c>
      <c r="W533" s="27" t="str">
        <f aca="false">IF(AND(Q533&lt;&gt;"",Q533&lt;&gt;0,V533&lt;&gt;""),V533/Q533,"")</f>
        <v/>
      </c>
      <c r="X533" s="28" t="s">
        <v>37</v>
      </c>
      <c r="Y533" s="29" t="str">
        <f aca="false">IF(AND(O533&lt;&gt;"",M533&lt;&gt;"",O533&gt;M533),CONCATENATE("1 : ",TEXT((O533-M533)/M533,"0.00")),IF(AND(O533&lt;&gt;"",M533&lt;&gt;"",O533&lt;M533),CONCATENATE("-1 : ",TEXT((M533-O533)/M533,"0.00")),"—"))</f>
        <v>—</v>
      </c>
      <c r="Z533" s="30" t="str">
        <f aca="false">IF(AND(P533&lt;&gt;"",M533&lt;&gt;"",P533&gt;M533),CONCATENATE("1 : ",TEXT((P533-M533)/M533,"0.00")),"—")</f>
        <v>—</v>
      </c>
      <c r="AA533" s="31" t="str">
        <f aca="false">IF(AND(C533&lt;&gt;"",E533&lt;&gt;""),E533-C533,"")</f>
        <v/>
      </c>
      <c r="AB533" s="17"/>
      <c r="AC533" s="32"/>
      <c r="AD533" s="33"/>
      <c r="AE533" s="34" t="str">
        <f aca="false">IF(G533&lt;&gt;"",HYPERLINK("https://www.tradingview.com/chart/?symbol="&amp;G533&amp;"&amp;interval=60&amp;from="&amp;(AG533-10*3600)&amp;"&amp;to="&amp;(AG533+50*3600),"📈 1H"),"")</f>
        <v/>
      </c>
      <c r="AF533" s="35" t="str">
        <f aca="false">IF(G533&lt;&gt;"",HYPERLINK("https://www.tradingview.com/chart/?symbol="&amp;G533&amp;"&amp;interval=240&amp;from="&amp;(AG533-10*14400)&amp;"&amp;to="&amp;(AG533+50*14400),"📈 4H"),"")</f>
        <v/>
      </c>
      <c r="AG533" s="36" t="str">
        <f aca="false">IF(C533&lt;&gt;"",INT((C533+IF(D533&lt;&gt;"",D533,0)-DATE(1970,1,1))*86400),"")</f>
        <v/>
      </c>
    </row>
    <row r="534" customFormat="false" ht="19.5" hidden="false" customHeight="true" outlineLevel="0" collapsed="false">
      <c r="A534" s="37" t="n">
        <f aca="false">ROW()-4</f>
        <v>530</v>
      </c>
      <c r="B534" s="38"/>
      <c r="C534" s="39"/>
      <c r="D534" s="40"/>
      <c r="E534" s="39"/>
      <c r="F534" s="40"/>
      <c r="G534" s="41"/>
      <c r="H534" s="42"/>
      <c r="I534" s="43"/>
      <c r="J534" s="44"/>
      <c r="K534" s="39"/>
      <c r="L534" s="42"/>
      <c r="M534" s="44"/>
      <c r="N534" s="45"/>
      <c r="O534" s="44"/>
      <c r="P534" s="46"/>
      <c r="Q534" s="47" t="str">
        <f aca="false">IF(L534="","",IF(M534&lt;&gt;"",M534*L534*100,IF(AND(O534&lt;&gt;"",B534&lt;&gt;""),IFERROR(AVERAGEIF($B$5:$B$1004,B534,$M$5:$M$1004)*L534*100,""),"")))</f>
        <v/>
      </c>
      <c r="R534" s="47" t="str">
        <f aca="false">IF(AND(O534&lt;&gt;"",L534&lt;&gt;""),O534*L534*100,"")</f>
        <v/>
      </c>
      <c r="S534" s="48" t="str">
        <f aca="false">IF(AND(P534&lt;&gt;"",L534&lt;&gt;""),P534*L534*100,"")</f>
        <v/>
      </c>
      <c r="T534" s="49" t="str">
        <f aca="false">IF(AND(Q534&lt;&gt;"",R534&lt;&gt;""),R534-Q534,"")</f>
        <v/>
      </c>
      <c r="U534" s="50" t="str">
        <f aca="false">IF(AND(Q534&lt;&gt;"",Q534&lt;&gt;0,T534&lt;&gt;""),T534/Q534,"")</f>
        <v/>
      </c>
      <c r="V534" s="51" t="str">
        <f aca="false">IF(AND(S534&lt;&gt;"",Q534&lt;&gt;""),S534-Q534,"")</f>
        <v/>
      </c>
      <c r="W534" s="52" t="str">
        <f aca="false">IF(AND(Q534&lt;&gt;"",Q534&lt;&gt;0,V534&lt;&gt;""),V534/Q534,"")</f>
        <v/>
      </c>
      <c r="X534" s="53" t="s">
        <v>37</v>
      </c>
      <c r="Y534" s="54" t="str">
        <f aca="false">IF(AND(O534&lt;&gt;"",M534&lt;&gt;"",O534&gt;M534),CONCATENATE("1 : ",TEXT((O534-M534)/M534,"0.00")),IF(AND(O534&lt;&gt;"",M534&lt;&gt;"",O534&lt;M534),CONCATENATE("-1 : ",TEXT((M534-O534)/M534,"0.00")),"—"))</f>
        <v>—</v>
      </c>
      <c r="Z534" s="55" t="str">
        <f aca="false">IF(AND(P534&lt;&gt;"",M534&lt;&gt;"",P534&gt;M534),CONCATENATE("1 : ",TEXT((P534-M534)/M534,"0.00")),"—")</f>
        <v>—</v>
      </c>
      <c r="AA534" s="56" t="str">
        <f aca="false">IF(AND(C534&lt;&gt;"",E534&lt;&gt;""),E534-C534,"")</f>
        <v/>
      </c>
      <c r="AB534" s="42"/>
      <c r="AC534" s="57"/>
      <c r="AD534" s="58"/>
      <c r="AE534" s="59" t="str">
        <f aca="false">IF(G534&lt;&gt;"",HYPERLINK("https://www.tradingview.com/chart/?symbol="&amp;G534&amp;"&amp;interval=60&amp;from="&amp;(AG534-10*3600)&amp;"&amp;to="&amp;(AG534+50*3600),"📈 1H"),"")</f>
        <v/>
      </c>
      <c r="AF534" s="60" t="str">
        <f aca="false">IF(G534&lt;&gt;"",HYPERLINK("https://www.tradingview.com/chart/?symbol="&amp;G534&amp;"&amp;interval=240&amp;from="&amp;(AG534-10*14400)&amp;"&amp;to="&amp;(AG534+50*14400),"📈 4H"),"")</f>
        <v/>
      </c>
      <c r="AG534" s="36" t="str">
        <f aca="false">IF(C534&lt;&gt;"",INT((C534+IF(D534&lt;&gt;"",D534,0)-DATE(1970,1,1))*86400),"")</f>
        <v/>
      </c>
    </row>
    <row r="535" customFormat="false" ht="19.5" hidden="false" customHeight="true" outlineLevel="0" collapsed="false">
      <c r="A535" s="12" t="n">
        <f aca="false">ROW()-4</f>
        <v>531</v>
      </c>
      <c r="B535" s="13"/>
      <c r="C535" s="14"/>
      <c r="D535" s="15"/>
      <c r="E535" s="14"/>
      <c r="F535" s="15"/>
      <c r="G535" s="16"/>
      <c r="H535" s="17"/>
      <c r="I535" s="18"/>
      <c r="J535" s="19"/>
      <c r="K535" s="14"/>
      <c r="L535" s="17"/>
      <c r="M535" s="19"/>
      <c r="N535" s="20"/>
      <c r="O535" s="19"/>
      <c r="P535" s="21"/>
      <c r="Q535" s="22" t="str">
        <f aca="false">IF(L535="","",IF(M535&lt;&gt;"",M535*L535*100,IF(AND(O535&lt;&gt;"",B535&lt;&gt;""),IFERROR(AVERAGEIF($B$5:$B$1004,B535,$M$5:$M$1004)*L535*100,""),"")))</f>
        <v/>
      </c>
      <c r="R535" s="22" t="str">
        <f aca="false">IF(AND(O535&lt;&gt;"",L535&lt;&gt;""),O535*L535*100,"")</f>
        <v/>
      </c>
      <c r="S535" s="23" t="str">
        <f aca="false">IF(AND(P535&lt;&gt;"",L535&lt;&gt;""),P535*L535*100,"")</f>
        <v/>
      </c>
      <c r="T535" s="24" t="str">
        <f aca="false">IF(AND(Q535&lt;&gt;"",R535&lt;&gt;""),R535-Q535,"")</f>
        <v/>
      </c>
      <c r="U535" s="25" t="str">
        <f aca="false">IF(AND(Q535&lt;&gt;"",Q535&lt;&gt;0,T535&lt;&gt;""),T535/Q535,"")</f>
        <v/>
      </c>
      <c r="V535" s="26" t="str">
        <f aca="false">IF(AND(S535&lt;&gt;"",Q535&lt;&gt;""),S535-Q535,"")</f>
        <v/>
      </c>
      <c r="W535" s="27" t="str">
        <f aca="false">IF(AND(Q535&lt;&gt;"",Q535&lt;&gt;0,V535&lt;&gt;""),V535/Q535,"")</f>
        <v/>
      </c>
      <c r="X535" s="28" t="s">
        <v>37</v>
      </c>
      <c r="Y535" s="29" t="str">
        <f aca="false">IF(AND(O535&lt;&gt;"",M535&lt;&gt;"",O535&gt;M535),CONCATENATE("1 : ",TEXT((O535-M535)/M535,"0.00")),IF(AND(O535&lt;&gt;"",M535&lt;&gt;"",O535&lt;M535),CONCATENATE("-1 : ",TEXT((M535-O535)/M535,"0.00")),"—"))</f>
        <v>—</v>
      </c>
      <c r="Z535" s="30" t="str">
        <f aca="false">IF(AND(P535&lt;&gt;"",M535&lt;&gt;"",P535&gt;M535),CONCATENATE("1 : ",TEXT((P535-M535)/M535,"0.00")),"—")</f>
        <v>—</v>
      </c>
      <c r="AA535" s="31" t="str">
        <f aca="false">IF(AND(C535&lt;&gt;"",E535&lt;&gt;""),E535-C535,"")</f>
        <v/>
      </c>
      <c r="AB535" s="17"/>
      <c r="AC535" s="32"/>
      <c r="AD535" s="33"/>
      <c r="AE535" s="34" t="str">
        <f aca="false">IF(G535&lt;&gt;"",HYPERLINK("https://www.tradingview.com/chart/?symbol="&amp;G535&amp;"&amp;interval=60&amp;from="&amp;(AG535-10*3600)&amp;"&amp;to="&amp;(AG535+50*3600),"📈 1H"),"")</f>
        <v/>
      </c>
      <c r="AF535" s="35" t="str">
        <f aca="false">IF(G535&lt;&gt;"",HYPERLINK("https://www.tradingview.com/chart/?symbol="&amp;G535&amp;"&amp;interval=240&amp;from="&amp;(AG535-10*14400)&amp;"&amp;to="&amp;(AG535+50*14400),"📈 4H"),"")</f>
        <v/>
      </c>
      <c r="AG535" s="36" t="str">
        <f aca="false">IF(C535&lt;&gt;"",INT((C535+IF(D535&lt;&gt;"",D535,0)-DATE(1970,1,1))*86400),"")</f>
        <v/>
      </c>
    </row>
    <row r="536" customFormat="false" ht="19.5" hidden="false" customHeight="true" outlineLevel="0" collapsed="false">
      <c r="A536" s="37" t="n">
        <f aca="false">ROW()-4</f>
        <v>532</v>
      </c>
      <c r="B536" s="38"/>
      <c r="C536" s="39"/>
      <c r="D536" s="40"/>
      <c r="E536" s="39"/>
      <c r="F536" s="40"/>
      <c r="G536" s="41"/>
      <c r="H536" s="42"/>
      <c r="I536" s="43"/>
      <c r="J536" s="44"/>
      <c r="K536" s="39"/>
      <c r="L536" s="42"/>
      <c r="M536" s="44"/>
      <c r="N536" s="45"/>
      <c r="O536" s="44"/>
      <c r="P536" s="46"/>
      <c r="Q536" s="47" t="str">
        <f aca="false">IF(L536="","",IF(M536&lt;&gt;"",M536*L536*100,IF(AND(O536&lt;&gt;"",B536&lt;&gt;""),IFERROR(AVERAGEIF($B$5:$B$1004,B536,$M$5:$M$1004)*L536*100,""),"")))</f>
        <v/>
      </c>
      <c r="R536" s="47" t="str">
        <f aca="false">IF(AND(O536&lt;&gt;"",L536&lt;&gt;""),O536*L536*100,"")</f>
        <v/>
      </c>
      <c r="S536" s="48" t="str">
        <f aca="false">IF(AND(P536&lt;&gt;"",L536&lt;&gt;""),P536*L536*100,"")</f>
        <v/>
      </c>
      <c r="T536" s="49" t="str">
        <f aca="false">IF(AND(Q536&lt;&gt;"",R536&lt;&gt;""),R536-Q536,"")</f>
        <v/>
      </c>
      <c r="U536" s="50" t="str">
        <f aca="false">IF(AND(Q536&lt;&gt;"",Q536&lt;&gt;0,T536&lt;&gt;""),T536/Q536,"")</f>
        <v/>
      </c>
      <c r="V536" s="51" t="str">
        <f aca="false">IF(AND(S536&lt;&gt;"",Q536&lt;&gt;""),S536-Q536,"")</f>
        <v/>
      </c>
      <c r="W536" s="52" t="str">
        <f aca="false">IF(AND(Q536&lt;&gt;"",Q536&lt;&gt;0,V536&lt;&gt;""),V536/Q536,"")</f>
        <v/>
      </c>
      <c r="X536" s="53" t="s">
        <v>37</v>
      </c>
      <c r="Y536" s="54" t="str">
        <f aca="false">IF(AND(O536&lt;&gt;"",M536&lt;&gt;"",O536&gt;M536),CONCATENATE("1 : ",TEXT((O536-M536)/M536,"0.00")),IF(AND(O536&lt;&gt;"",M536&lt;&gt;"",O536&lt;M536),CONCATENATE("-1 : ",TEXT((M536-O536)/M536,"0.00")),"—"))</f>
        <v>—</v>
      </c>
      <c r="Z536" s="55" t="str">
        <f aca="false">IF(AND(P536&lt;&gt;"",M536&lt;&gt;"",P536&gt;M536),CONCATENATE("1 : ",TEXT((P536-M536)/M536,"0.00")),"—")</f>
        <v>—</v>
      </c>
      <c r="AA536" s="56" t="str">
        <f aca="false">IF(AND(C536&lt;&gt;"",E536&lt;&gt;""),E536-C536,"")</f>
        <v/>
      </c>
      <c r="AB536" s="42"/>
      <c r="AC536" s="57"/>
      <c r="AD536" s="58"/>
      <c r="AE536" s="59" t="str">
        <f aca="false">IF(G536&lt;&gt;"",HYPERLINK("https://www.tradingview.com/chart/?symbol="&amp;G536&amp;"&amp;interval=60&amp;from="&amp;(AG536-10*3600)&amp;"&amp;to="&amp;(AG536+50*3600),"📈 1H"),"")</f>
        <v/>
      </c>
      <c r="AF536" s="60" t="str">
        <f aca="false">IF(G536&lt;&gt;"",HYPERLINK("https://www.tradingview.com/chart/?symbol="&amp;G536&amp;"&amp;interval=240&amp;from="&amp;(AG536-10*14400)&amp;"&amp;to="&amp;(AG536+50*14400),"📈 4H"),"")</f>
        <v/>
      </c>
      <c r="AG536" s="36" t="str">
        <f aca="false">IF(C536&lt;&gt;"",INT((C536+IF(D536&lt;&gt;"",D536,0)-DATE(1970,1,1))*86400),"")</f>
        <v/>
      </c>
    </row>
    <row r="537" customFormat="false" ht="19.5" hidden="false" customHeight="true" outlineLevel="0" collapsed="false">
      <c r="A537" s="12" t="n">
        <f aca="false">ROW()-4</f>
        <v>533</v>
      </c>
      <c r="B537" s="13"/>
      <c r="C537" s="14"/>
      <c r="D537" s="15"/>
      <c r="E537" s="14"/>
      <c r="F537" s="15"/>
      <c r="G537" s="16"/>
      <c r="H537" s="17"/>
      <c r="I537" s="18"/>
      <c r="J537" s="19"/>
      <c r="K537" s="14"/>
      <c r="L537" s="17"/>
      <c r="M537" s="19"/>
      <c r="N537" s="20"/>
      <c r="O537" s="19"/>
      <c r="P537" s="21"/>
      <c r="Q537" s="22" t="str">
        <f aca="false">IF(L537="","",IF(M537&lt;&gt;"",M537*L537*100,IF(AND(O537&lt;&gt;"",B537&lt;&gt;""),IFERROR(AVERAGEIF($B$5:$B$1004,B537,$M$5:$M$1004)*L537*100,""),"")))</f>
        <v/>
      </c>
      <c r="R537" s="22" t="str">
        <f aca="false">IF(AND(O537&lt;&gt;"",L537&lt;&gt;""),O537*L537*100,"")</f>
        <v/>
      </c>
      <c r="S537" s="23" t="str">
        <f aca="false">IF(AND(P537&lt;&gt;"",L537&lt;&gt;""),P537*L537*100,"")</f>
        <v/>
      </c>
      <c r="T537" s="24" t="str">
        <f aca="false">IF(AND(Q537&lt;&gt;"",R537&lt;&gt;""),R537-Q537,"")</f>
        <v/>
      </c>
      <c r="U537" s="25" t="str">
        <f aca="false">IF(AND(Q537&lt;&gt;"",Q537&lt;&gt;0,T537&lt;&gt;""),T537/Q537,"")</f>
        <v/>
      </c>
      <c r="V537" s="26" t="str">
        <f aca="false">IF(AND(S537&lt;&gt;"",Q537&lt;&gt;""),S537-Q537,"")</f>
        <v/>
      </c>
      <c r="W537" s="27" t="str">
        <f aca="false">IF(AND(Q537&lt;&gt;"",Q537&lt;&gt;0,V537&lt;&gt;""),V537/Q537,"")</f>
        <v/>
      </c>
      <c r="X537" s="28" t="s">
        <v>37</v>
      </c>
      <c r="Y537" s="29" t="str">
        <f aca="false">IF(AND(O537&lt;&gt;"",M537&lt;&gt;"",O537&gt;M537),CONCATENATE("1 : ",TEXT((O537-M537)/M537,"0.00")),IF(AND(O537&lt;&gt;"",M537&lt;&gt;"",O537&lt;M537),CONCATENATE("-1 : ",TEXT((M537-O537)/M537,"0.00")),"—"))</f>
        <v>—</v>
      </c>
      <c r="Z537" s="30" t="str">
        <f aca="false">IF(AND(P537&lt;&gt;"",M537&lt;&gt;"",P537&gt;M537),CONCATENATE("1 : ",TEXT((P537-M537)/M537,"0.00")),"—")</f>
        <v>—</v>
      </c>
      <c r="AA537" s="31" t="str">
        <f aca="false">IF(AND(C537&lt;&gt;"",E537&lt;&gt;""),E537-C537,"")</f>
        <v/>
      </c>
      <c r="AB537" s="17"/>
      <c r="AC537" s="32"/>
      <c r="AD537" s="33"/>
      <c r="AE537" s="34" t="str">
        <f aca="false">IF(G537&lt;&gt;"",HYPERLINK("https://www.tradingview.com/chart/?symbol="&amp;G537&amp;"&amp;interval=60&amp;from="&amp;(AG537-10*3600)&amp;"&amp;to="&amp;(AG537+50*3600),"📈 1H"),"")</f>
        <v/>
      </c>
      <c r="AF537" s="35" t="str">
        <f aca="false">IF(G537&lt;&gt;"",HYPERLINK("https://www.tradingview.com/chart/?symbol="&amp;G537&amp;"&amp;interval=240&amp;from="&amp;(AG537-10*14400)&amp;"&amp;to="&amp;(AG537+50*14400),"📈 4H"),"")</f>
        <v/>
      </c>
      <c r="AG537" s="36" t="str">
        <f aca="false">IF(C537&lt;&gt;"",INT((C537+IF(D537&lt;&gt;"",D537,0)-DATE(1970,1,1))*86400),"")</f>
        <v/>
      </c>
    </row>
    <row r="538" customFormat="false" ht="19.5" hidden="false" customHeight="true" outlineLevel="0" collapsed="false">
      <c r="A538" s="37" t="n">
        <f aca="false">ROW()-4</f>
        <v>534</v>
      </c>
      <c r="B538" s="38"/>
      <c r="C538" s="39"/>
      <c r="D538" s="40"/>
      <c r="E538" s="39"/>
      <c r="F538" s="40"/>
      <c r="G538" s="41"/>
      <c r="H538" s="42"/>
      <c r="I538" s="43"/>
      <c r="J538" s="44"/>
      <c r="K538" s="39"/>
      <c r="L538" s="42"/>
      <c r="M538" s="44"/>
      <c r="N538" s="45"/>
      <c r="O538" s="44"/>
      <c r="P538" s="46"/>
      <c r="Q538" s="47" t="str">
        <f aca="false">IF(L538="","",IF(M538&lt;&gt;"",M538*L538*100,IF(AND(O538&lt;&gt;"",B538&lt;&gt;""),IFERROR(AVERAGEIF($B$5:$B$1004,B538,$M$5:$M$1004)*L538*100,""),"")))</f>
        <v/>
      </c>
      <c r="R538" s="47" t="str">
        <f aca="false">IF(AND(O538&lt;&gt;"",L538&lt;&gt;""),O538*L538*100,"")</f>
        <v/>
      </c>
      <c r="S538" s="48" t="str">
        <f aca="false">IF(AND(P538&lt;&gt;"",L538&lt;&gt;""),P538*L538*100,"")</f>
        <v/>
      </c>
      <c r="T538" s="49" t="str">
        <f aca="false">IF(AND(Q538&lt;&gt;"",R538&lt;&gt;""),R538-Q538,"")</f>
        <v/>
      </c>
      <c r="U538" s="50" t="str">
        <f aca="false">IF(AND(Q538&lt;&gt;"",Q538&lt;&gt;0,T538&lt;&gt;""),T538/Q538,"")</f>
        <v/>
      </c>
      <c r="V538" s="51" t="str">
        <f aca="false">IF(AND(S538&lt;&gt;"",Q538&lt;&gt;""),S538-Q538,"")</f>
        <v/>
      </c>
      <c r="W538" s="52" t="str">
        <f aca="false">IF(AND(Q538&lt;&gt;"",Q538&lt;&gt;0,V538&lt;&gt;""),V538/Q538,"")</f>
        <v/>
      </c>
      <c r="X538" s="53" t="s">
        <v>37</v>
      </c>
      <c r="Y538" s="54" t="str">
        <f aca="false">IF(AND(O538&lt;&gt;"",M538&lt;&gt;"",O538&gt;M538),CONCATENATE("1 : ",TEXT((O538-M538)/M538,"0.00")),IF(AND(O538&lt;&gt;"",M538&lt;&gt;"",O538&lt;M538),CONCATENATE("-1 : ",TEXT((M538-O538)/M538,"0.00")),"—"))</f>
        <v>—</v>
      </c>
      <c r="Z538" s="55" t="str">
        <f aca="false">IF(AND(P538&lt;&gt;"",M538&lt;&gt;"",P538&gt;M538),CONCATENATE("1 : ",TEXT((P538-M538)/M538,"0.00")),"—")</f>
        <v>—</v>
      </c>
      <c r="AA538" s="56" t="str">
        <f aca="false">IF(AND(C538&lt;&gt;"",E538&lt;&gt;""),E538-C538,"")</f>
        <v/>
      </c>
      <c r="AB538" s="42"/>
      <c r="AC538" s="57"/>
      <c r="AD538" s="58"/>
      <c r="AE538" s="59" t="str">
        <f aca="false">IF(G538&lt;&gt;"",HYPERLINK("https://www.tradingview.com/chart/?symbol="&amp;G538&amp;"&amp;interval=60&amp;from="&amp;(AG538-10*3600)&amp;"&amp;to="&amp;(AG538+50*3600),"📈 1H"),"")</f>
        <v/>
      </c>
      <c r="AF538" s="60" t="str">
        <f aca="false">IF(G538&lt;&gt;"",HYPERLINK("https://www.tradingview.com/chart/?symbol="&amp;G538&amp;"&amp;interval=240&amp;from="&amp;(AG538-10*14400)&amp;"&amp;to="&amp;(AG538+50*14400),"📈 4H"),"")</f>
        <v/>
      </c>
      <c r="AG538" s="36" t="str">
        <f aca="false">IF(C538&lt;&gt;"",INT((C538+IF(D538&lt;&gt;"",D538,0)-DATE(1970,1,1))*86400),"")</f>
        <v/>
      </c>
    </row>
    <row r="539" customFormat="false" ht="19.5" hidden="false" customHeight="true" outlineLevel="0" collapsed="false">
      <c r="A539" s="12" t="n">
        <f aca="false">ROW()-4</f>
        <v>535</v>
      </c>
      <c r="B539" s="13"/>
      <c r="C539" s="14"/>
      <c r="D539" s="15"/>
      <c r="E539" s="14"/>
      <c r="F539" s="15"/>
      <c r="G539" s="16"/>
      <c r="H539" s="17"/>
      <c r="I539" s="18"/>
      <c r="J539" s="19"/>
      <c r="K539" s="14"/>
      <c r="L539" s="17"/>
      <c r="M539" s="19"/>
      <c r="N539" s="20"/>
      <c r="O539" s="19"/>
      <c r="P539" s="21"/>
      <c r="Q539" s="22" t="str">
        <f aca="false">IF(L539="","",IF(M539&lt;&gt;"",M539*L539*100,IF(AND(O539&lt;&gt;"",B539&lt;&gt;""),IFERROR(AVERAGEIF($B$5:$B$1004,B539,$M$5:$M$1004)*L539*100,""),"")))</f>
        <v/>
      </c>
      <c r="R539" s="22" t="str">
        <f aca="false">IF(AND(O539&lt;&gt;"",L539&lt;&gt;""),O539*L539*100,"")</f>
        <v/>
      </c>
      <c r="S539" s="23" t="str">
        <f aca="false">IF(AND(P539&lt;&gt;"",L539&lt;&gt;""),P539*L539*100,"")</f>
        <v/>
      </c>
      <c r="T539" s="24" t="str">
        <f aca="false">IF(AND(Q539&lt;&gt;"",R539&lt;&gt;""),R539-Q539,"")</f>
        <v/>
      </c>
      <c r="U539" s="25" t="str">
        <f aca="false">IF(AND(Q539&lt;&gt;"",Q539&lt;&gt;0,T539&lt;&gt;""),T539/Q539,"")</f>
        <v/>
      </c>
      <c r="V539" s="26" t="str">
        <f aca="false">IF(AND(S539&lt;&gt;"",Q539&lt;&gt;""),S539-Q539,"")</f>
        <v/>
      </c>
      <c r="W539" s="27" t="str">
        <f aca="false">IF(AND(Q539&lt;&gt;"",Q539&lt;&gt;0,V539&lt;&gt;""),V539/Q539,"")</f>
        <v/>
      </c>
      <c r="X539" s="28" t="s">
        <v>37</v>
      </c>
      <c r="Y539" s="29" t="str">
        <f aca="false">IF(AND(O539&lt;&gt;"",M539&lt;&gt;"",O539&gt;M539),CONCATENATE("1 : ",TEXT((O539-M539)/M539,"0.00")),IF(AND(O539&lt;&gt;"",M539&lt;&gt;"",O539&lt;M539),CONCATENATE("-1 : ",TEXT((M539-O539)/M539,"0.00")),"—"))</f>
        <v>—</v>
      </c>
      <c r="Z539" s="30" t="str">
        <f aca="false">IF(AND(P539&lt;&gt;"",M539&lt;&gt;"",P539&gt;M539),CONCATENATE("1 : ",TEXT((P539-M539)/M539,"0.00")),"—")</f>
        <v>—</v>
      </c>
      <c r="AA539" s="31" t="str">
        <f aca="false">IF(AND(C539&lt;&gt;"",E539&lt;&gt;""),E539-C539,"")</f>
        <v/>
      </c>
      <c r="AB539" s="17"/>
      <c r="AC539" s="32"/>
      <c r="AD539" s="33"/>
      <c r="AE539" s="34" t="str">
        <f aca="false">IF(G539&lt;&gt;"",HYPERLINK("https://www.tradingview.com/chart/?symbol="&amp;G539&amp;"&amp;interval=60&amp;from="&amp;(AG539-10*3600)&amp;"&amp;to="&amp;(AG539+50*3600),"📈 1H"),"")</f>
        <v/>
      </c>
      <c r="AF539" s="35" t="str">
        <f aca="false">IF(G539&lt;&gt;"",HYPERLINK("https://www.tradingview.com/chart/?symbol="&amp;G539&amp;"&amp;interval=240&amp;from="&amp;(AG539-10*14400)&amp;"&amp;to="&amp;(AG539+50*14400),"📈 4H"),"")</f>
        <v/>
      </c>
      <c r="AG539" s="36" t="str">
        <f aca="false">IF(C539&lt;&gt;"",INT((C539+IF(D539&lt;&gt;"",D539,0)-DATE(1970,1,1))*86400),"")</f>
        <v/>
      </c>
    </row>
    <row r="540" customFormat="false" ht="19.5" hidden="false" customHeight="true" outlineLevel="0" collapsed="false">
      <c r="A540" s="37" t="n">
        <f aca="false">ROW()-4</f>
        <v>536</v>
      </c>
      <c r="B540" s="38"/>
      <c r="C540" s="39"/>
      <c r="D540" s="40"/>
      <c r="E540" s="39"/>
      <c r="F540" s="40"/>
      <c r="G540" s="41"/>
      <c r="H540" s="42"/>
      <c r="I540" s="43"/>
      <c r="J540" s="44"/>
      <c r="K540" s="39"/>
      <c r="L540" s="42"/>
      <c r="M540" s="44"/>
      <c r="N540" s="45"/>
      <c r="O540" s="44"/>
      <c r="P540" s="46"/>
      <c r="Q540" s="47" t="str">
        <f aca="false">IF(L540="","",IF(M540&lt;&gt;"",M540*L540*100,IF(AND(O540&lt;&gt;"",B540&lt;&gt;""),IFERROR(AVERAGEIF($B$5:$B$1004,B540,$M$5:$M$1004)*L540*100,""),"")))</f>
        <v/>
      </c>
      <c r="R540" s="47" t="str">
        <f aca="false">IF(AND(O540&lt;&gt;"",L540&lt;&gt;""),O540*L540*100,"")</f>
        <v/>
      </c>
      <c r="S540" s="48" t="str">
        <f aca="false">IF(AND(P540&lt;&gt;"",L540&lt;&gt;""),P540*L540*100,"")</f>
        <v/>
      </c>
      <c r="T540" s="49" t="str">
        <f aca="false">IF(AND(Q540&lt;&gt;"",R540&lt;&gt;""),R540-Q540,"")</f>
        <v/>
      </c>
      <c r="U540" s="50" t="str">
        <f aca="false">IF(AND(Q540&lt;&gt;"",Q540&lt;&gt;0,T540&lt;&gt;""),T540/Q540,"")</f>
        <v/>
      </c>
      <c r="V540" s="51" t="str">
        <f aca="false">IF(AND(S540&lt;&gt;"",Q540&lt;&gt;""),S540-Q540,"")</f>
        <v/>
      </c>
      <c r="W540" s="52" t="str">
        <f aca="false">IF(AND(Q540&lt;&gt;"",Q540&lt;&gt;0,V540&lt;&gt;""),V540/Q540,"")</f>
        <v/>
      </c>
      <c r="X540" s="53" t="s">
        <v>37</v>
      </c>
      <c r="Y540" s="54" t="str">
        <f aca="false">IF(AND(O540&lt;&gt;"",M540&lt;&gt;"",O540&gt;M540),CONCATENATE("1 : ",TEXT((O540-M540)/M540,"0.00")),IF(AND(O540&lt;&gt;"",M540&lt;&gt;"",O540&lt;M540),CONCATENATE("-1 : ",TEXT((M540-O540)/M540,"0.00")),"—"))</f>
        <v>—</v>
      </c>
      <c r="Z540" s="55" t="str">
        <f aca="false">IF(AND(P540&lt;&gt;"",M540&lt;&gt;"",P540&gt;M540),CONCATENATE("1 : ",TEXT((P540-M540)/M540,"0.00")),"—")</f>
        <v>—</v>
      </c>
      <c r="AA540" s="56" t="str">
        <f aca="false">IF(AND(C540&lt;&gt;"",E540&lt;&gt;""),E540-C540,"")</f>
        <v/>
      </c>
      <c r="AB540" s="42"/>
      <c r="AC540" s="57"/>
      <c r="AD540" s="58"/>
      <c r="AE540" s="59" t="str">
        <f aca="false">IF(G540&lt;&gt;"",HYPERLINK("https://www.tradingview.com/chart/?symbol="&amp;G540&amp;"&amp;interval=60&amp;from="&amp;(AG540-10*3600)&amp;"&amp;to="&amp;(AG540+50*3600),"📈 1H"),"")</f>
        <v/>
      </c>
      <c r="AF540" s="60" t="str">
        <f aca="false">IF(G540&lt;&gt;"",HYPERLINK("https://www.tradingview.com/chart/?symbol="&amp;G540&amp;"&amp;interval=240&amp;from="&amp;(AG540-10*14400)&amp;"&amp;to="&amp;(AG540+50*14400),"📈 4H"),"")</f>
        <v/>
      </c>
      <c r="AG540" s="36" t="str">
        <f aca="false">IF(C540&lt;&gt;"",INT((C540+IF(D540&lt;&gt;"",D540,0)-DATE(1970,1,1))*86400),"")</f>
        <v/>
      </c>
    </row>
    <row r="541" customFormat="false" ht="19.5" hidden="false" customHeight="true" outlineLevel="0" collapsed="false">
      <c r="A541" s="12" t="n">
        <f aca="false">ROW()-4</f>
        <v>537</v>
      </c>
      <c r="B541" s="13"/>
      <c r="C541" s="14"/>
      <c r="D541" s="15"/>
      <c r="E541" s="14"/>
      <c r="F541" s="15"/>
      <c r="G541" s="16"/>
      <c r="H541" s="17"/>
      <c r="I541" s="18"/>
      <c r="J541" s="19"/>
      <c r="K541" s="14"/>
      <c r="L541" s="17"/>
      <c r="M541" s="19"/>
      <c r="N541" s="20"/>
      <c r="O541" s="19"/>
      <c r="P541" s="21"/>
      <c r="Q541" s="22" t="str">
        <f aca="false">IF(L541="","",IF(M541&lt;&gt;"",M541*L541*100,IF(AND(O541&lt;&gt;"",B541&lt;&gt;""),IFERROR(AVERAGEIF($B$5:$B$1004,B541,$M$5:$M$1004)*L541*100,""),"")))</f>
        <v/>
      </c>
      <c r="R541" s="22" t="str">
        <f aca="false">IF(AND(O541&lt;&gt;"",L541&lt;&gt;""),O541*L541*100,"")</f>
        <v/>
      </c>
      <c r="S541" s="23" t="str">
        <f aca="false">IF(AND(P541&lt;&gt;"",L541&lt;&gt;""),P541*L541*100,"")</f>
        <v/>
      </c>
      <c r="T541" s="24" t="str">
        <f aca="false">IF(AND(Q541&lt;&gt;"",R541&lt;&gt;""),R541-Q541,"")</f>
        <v/>
      </c>
      <c r="U541" s="25" t="str">
        <f aca="false">IF(AND(Q541&lt;&gt;"",Q541&lt;&gt;0,T541&lt;&gt;""),T541/Q541,"")</f>
        <v/>
      </c>
      <c r="V541" s="26" t="str">
        <f aca="false">IF(AND(S541&lt;&gt;"",Q541&lt;&gt;""),S541-Q541,"")</f>
        <v/>
      </c>
      <c r="W541" s="27" t="str">
        <f aca="false">IF(AND(Q541&lt;&gt;"",Q541&lt;&gt;0,V541&lt;&gt;""),V541/Q541,"")</f>
        <v/>
      </c>
      <c r="X541" s="28" t="s">
        <v>37</v>
      </c>
      <c r="Y541" s="29" t="str">
        <f aca="false">IF(AND(O541&lt;&gt;"",M541&lt;&gt;"",O541&gt;M541),CONCATENATE("1 : ",TEXT((O541-M541)/M541,"0.00")),IF(AND(O541&lt;&gt;"",M541&lt;&gt;"",O541&lt;M541),CONCATENATE("-1 : ",TEXT((M541-O541)/M541,"0.00")),"—"))</f>
        <v>—</v>
      </c>
      <c r="Z541" s="30" t="str">
        <f aca="false">IF(AND(P541&lt;&gt;"",M541&lt;&gt;"",P541&gt;M541),CONCATENATE("1 : ",TEXT((P541-M541)/M541,"0.00")),"—")</f>
        <v>—</v>
      </c>
      <c r="AA541" s="31" t="str">
        <f aca="false">IF(AND(C541&lt;&gt;"",E541&lt;&gt;""),E541-C541,"")</f>
        <v/>
      </c>
      <c r="AB541" s="17"/>
      <c r="AC541" s="32"/>
      <c r="AD541" s="33"/>
      <c r="AE541" s="34" t="str">
        <f aca="false">IF(G541&lt;&gt;"",HYPERLINK("https://www.tradingview.com/chart/?symbol="&amp;G541&amp;"&amp;interval=60&amp;from="&amp;(AG541-10*3600)&amp;"&amp;to="&amp;(AG541+50*3600),"📈 1H"),"")</f>
        <v/>
      </c>
      <c r="AF541" s="35" t="str">
        <f aca="false">IF(G541&lt;&gt;"",HYPERLINK("https://www.tradingview.com/chart/?symbol="&amp;G541&amp;"&amp;interval=240&amp;from="&amp;(AG541-10*14400)&amp;"&amp;to="&amp;(AG541+50*14400),"📈 4H"),"")</f>
        <v/>
      </c>
      <c r="AG541" s="36" t="str">
        <f aca="false">IF(C541&lt;&gt;"",INT((C541+IF(D541&lt;&gt;"",D541,0)-DATE(1970,1,1))*86400),"")</f>
        <v/>
      </c>
    </row>
    <row r="542" customFormat="false" ht="19.5" hidden="false" customHeight="true" outlineLevel="0" collapsed="false">
      <c r="A542" s="37" t="n">
        <f aca="false">ROW()-4</f>
        <v>538</v>
      </c>
      <c r="B542" s="38"/>
      <c r="C542" s="39"/>
      <c r="D542" s="40"/>
      <c r="E542" s="39"/>
      <c r="F542" s="40"/>
      <c r="G542" s="41"/>
      <c r="H542" s="42"/>
      <c r="I542" s="43"/>
      <c r="J542" s="44"/>
      <c r="K542" s="39"/>
      <c r="L542" s="42"/>
      <c r="M542" s="44"/>
      <c r="N542" s="45"/>
      <c r="O542" s="44"/>
      <c r="P542" s="46"/>
      <c r="Q542" s="47" t="str">
        <f aca="false">IF(L542="","",IF(M542&lt;&gt;"",M542*L542*100,IF(AND(O542&lt;&gt;"",B542&lt;&gt;""),IFERROR(AVERAGEIF($B$5:$B$1004,B542,$M$5:$M$1004)*L542*100,""),"")))</f>
        <v/>
      </c>
      <c r="R542" s="47" t="str">
        <f aca="false">IF(AND(O542&lt;&gt;"",L542&lt;&gt;""),O542*L542*100,"")</f>
        <v/>
      </c>
      <c r="S542" s="48" t="str">
        <f aca="false">IF(AND(P542&lt;&gt;"",L542&lt;&gt;""),P542*L542*100,"")</f>
        <v/>
      </c>
      <c r="T542" s="49" t="str">
        <f aca="false">IF(AND(Q542&lt;&gt;"",R542&lt;&gt;""),R542-Q542,"")</f>
        <v/>
      </c>
      <c r="U542" s="50" t="str">
        <f aca="false">IF(AND(Q542&lt;&gt;"",Q542&lt;&gt;0,T542&lt;&gt;""),T542/Q542,"")</f>
        <v/>
      </c>
      <c r="V542" s="51" t="str">
        <f aca="false">IF(AND(S542&lt;&gt;"",Q542&lt;&gt;""),S542-Q542,"")</f>
        <v/>
      </c>
      <c r="W542" s="52" t="str">
        <f aca="false">IF(AND(Q542&lt;&gt;"",Q542&lt;&gt;0,V542&lt;&gt;""),V542/Q542,"")</f>
        <v/>
      </c>
      <c r="X542" s="53" t="s">
        <v>37</v>
      </c>
      <c r="Y542" s="54" t="str">
        <f aca="false">IF(AND(O542&lt;&gt;"",M542&lt;&gt;"",O542&gt;M542),CONCATENATE("1 : ",TEXT((O542-M542)/M542,"0.00")),IF(AND(O542&lt;&gt;"",M542&lt;&gt;"",O542&lt;M542),CONCATENATE("-1 : ",TEXT((M542-O542)/M542,"0.00")),"—"))</f>
        <v>—</v>
      </c>
      <c r="Z542" s="55" t="str">
        <f aca="false">IF(AND(P542&lt;&gt;"",M542&lt;&gt;"",P542&gt;M542),CONCATENATE("1 : ",TEXT((P542-M542)/M542,"0.00")),"—")</f>
        <v>—</v>
      </c>
      <c r="AA542" s="56" t="str">
        <f aca="false">IF(AND(C542&lt;&gt;"",E542&lt;&gt;""),E542-C542,"")</f>
        <v/>
      </c>
      <c r="AB542" s="42"/>
      <c r="AC542" s="57"/>
      <c r="AD542" s="58"/>
      <c r="AE542" s="59" t="str">
        <f aca="false">IF(G542&lt;&gt;"",HYPERLINK("https://www.tradingview.com/chart/?symbol="&amp;G542&amp;"&amp;interval=60&amp;from="&amp;(AG542-10*3600)&amp;"&amp;to="&amp;(AG542+50*3600),"📈 1H"),"")</f>
        <v/>
      </c>
      <c r="AF542" s="60" t="str">
        <f aca="false">IF(G542&lt;&gt;"",HYPERLINK("https://www.tradingview.com/chart/?symbol="&amp;G542&amp;"&amp;interval=240&amp;from="&amp;(AG542-10*14400)&amp;"&amp;to="&amp;(AG542+50*14400),"📈 4H"),"")</f>
        <v/>
      </c>
      <c r="AG542" s="36" t="str">
        <f aca="false">IF(C542&lt;&gt;"",INT((C542+IF(D542&lt;&gt;"",D542,0)-DATE(1970,1,1))*86400),"")</f>
        <v/>
      </c>
    </row>
    <row r="543" customFormat="false" ht="19.5" hidden="false" customHeight="true" outlineLevel="0" collapsed="false">
      <c r="A543" s="12" t="n">
        <f aca="false">ROW()-4</f>
        <v>539</v>
      </c>
      <c r="B543" s="13"/>
      <c r="C543" s="14"/>
      <c r="D543" s="15"/>
      <c r="E543" s="14"/>
      <c r="F543" s="15"/>
      <c r="G543" s="16"/>
      <c r="H543" s="17"/>
      <c r="I543" s="18"/>
      <c r="J543" s="19"/>
      <c r="K543" s="14"/>
      <c r="L543" s="17"/>
      <c r="M543" s="19"/>
      <c r="N543" s="20"/>
      <c r="O543" s="19"/>
      <c r="P543" s="21"/>
      <c r="Q543" s="22" t="str">
        <f aca="false">IF(L543="","",IF(M543&lt;&gt;"",M543*L543*100,IF(AND(O543&lt;&gt;"",B543&lt;&gt;""),IFERROR(AVERAGEIF($B$5:$B$1004,B543,$M$5:$M$1004)*L543*100,""),"")))</f>
        <v/>
      </c>
      <c r="R543" s="22" t="str">
        <f aca="false">IF(AND(O543&lt;&gt;"",L543&lt;&gt;""),O543*L543*100,"")</f>
        <v/>
      </c>
      <c r="S543" s="23" t="str">
        <f aca="false">IF(AND(P543&lt;&gt;"",L543&lt;&gt;""),P543*L543*100,"")</f>
        <v/>
      </c>
      <c r="T543" s="24" t="str">
        <f aca="false">IF(AND(Q543&lt;&gt;"",R543&lt;&gt;""),R543-Q543,"")</f>
        <v/>
      </c>
      <c r="U543" s="25" t="str">
        <f aca="false">IF(AND(Q543&lt;&gt;"",Q543&lt;&gt;0,T543&lt;&gt;""),T543/Q543,"")</f>
        <v/>
      </c>
      <c r="V543" s="26" t="str">
        <f aca="false">IF(AND(S543&lt;&gt;"",Q543&lt;&gt;""),S543-Q543,"")</f>
        <v/>
      </c>
      <c r="W543" s="27" t="str">
        <f aca="false">IF(AND(Q543&lt;&gt;"",Q543&lt;&gt;0,V543&lt;&gt;""),V543/Q543,"")</f>
        <v/>
      </c>
      <c r="X543" s="28" t="s">
        <v>37</v>
      </c>
      <c r="Y543" s="29" t="str">
        <f aca="false">IF(AND(O543&lt;&gt;"",M543&lt;&gt;"",O543&gt;M543),CONCATENATE("1 : ",TEXT((O543-M543)/M543,"0.00")),IF(AND(O543&lt;&gt;"",M543&lt;&gt;"",O543&lt;M543),CONCATENATE("-1 : ",TEXT((M543-O543)/M543,"0.00")),"—"))</f>
        <v>—</v>
      </c>
      <c r="Z543" s="30" t="str">
        <f aca="false">IF(AND(P543&lt;&gt;"",M543&lt;&gt;"",P543&gt;M543),CONCATENATE("1 : ",TEXT((P543-M543)/M543,"0.00")),"—")</f>
        <v>—</v>
      </c>
      <c r="AA543" s="31" t="str">
        <f aca="false">IF(AND(C543&lt;&gt;"",E543&lt;&gt;""),E543-C543,"")</f>
        <v/>
      </c>
      <c r="AB543" s="17"/>
      <c r="AC543" s="32"/>
      <c r="AD543" s="33"/>
      <c r="AE543" s="34" t="str">
        <f aca="false">IF(G543&lt;&gt;"",HYPERLINK("https://www.tradingview.com/chart/?symbol="&amp;G543&amp;"&amp;interval=60&amp;from="&amp;(AG543-10*3600)&amp;"&amp;to="&amp;(AG543+50*3600),"📈 1H"),"")</f>
        <v/>
      </c>
      <c r="AF543" s="35" t="str">
        <f aca="false">IF(G543&lt;&gt;"",HYPERLINK("https://www.tradingview.com/chart/?symbol="&amp;G543&amp;"&amp;interval=240&amp;from="&amp;(AG543-10*14400)&amp;"&amp;to="&amp;(AG543+50*14400),"📈 4H"),"")</f>
        <v/>
      </c>
      <c r="AG543" s="36" t="str">
        <f aca="false">IF(C543&lt;&gt;"",INT((C543+IF(D543&lt;&gt;"",D543,0)-DATE(1970,1,1))*86400),"")</f>
        <v/>
      </c>
    </row>
    <row r="544" customFormat="false" ht="19.5" hidden="false" customHeight="true" outlineLevel="0" collapsed="false">
      <c r="A544" s="37" t="n">
        <f aca="false">ROW()-4</f>
        <v>540</v>
      </c>
      <c r="B544" s="38"/>
      <c r="C544" s="39"/>
      <c r="D544" s="40"/>
      <c r="E544" s="39"/>
      <c r="F544" s="40"/>
      <c r="G544" s="41"/>
      <c r="H544" s="42"/>
      <c r="I544" s="43"/>
      <c r="J544" s="44"/>
      <c r="K544" s="39"/>
      <c r="L544" s="42"/>
      <c r="M544" s="44"/>
      <c r="N544" s="45"/>
      <c r="O544" s="44"/>
      <c r="P544" s="46"/>
      <c r="Q544" s="47" t="str">
        <f aca="false">IF(L544="","",IF(M544&lt;&gt;"",M544*L544*100,IF(AND(O544&lt;&gt;"",B544&lt;&gt;""),IFERROR(AVERAGEIF($B$5:$B$1004,B544,$M$5:$M$1004)*L544*100,""),"")))</f>
        <v/>
      </c>
      <c r="R544" s="47" t="str">
        <f aca="false">IF(AND(O544&lt;&gt;"",L544&lt;&gt;""),O544*L544*100,"")</f>
        <v/>
      </c>
      <c r="S544" s="48" t="str">
        <f aca="false">IF(AND(P544&lt;&gt;"",L544&lt;&gt;""),P544*L544*100,"")</f>
        <v/>
      </c>
      <c r="T544" s="49" t="str">
        <f aca="false">IF(AND(Q544&lt;&gt;"",R544&lt;&gt;""),R544-Q544,"")</f>
        <v/>
      </c>
      <c r="U544" s="50" t="str">
        <f aca="false">IF(AND(Q544&lt;&gt;"",Q544&lt;&gt;0,T544&lt;&gt;""),T544/Q544,"")</f>
        <v/>
      </c>
      <c r="V544" s="51" t="str">
        <f aca="false">IF(AND(S544&lt;&gt;"",Q544&lt;&gt;""),S544-Q544,"")</f>
        <v/>
      </c>
      <c r="W544" s="52" t="str">
        <f aca="false">IF(AND(Q544&lt;&gt;"",Q544&lt;&gt;0,V544&lt;&gt;""),V544/Q544,"")</f>
        <v/>
      </c>
      <c r="X544" s="53" t="s">
        <v>37</v>
      </c>
      <c r="Y544" s="54" t="str">
        <f aca="false">IF(AND(O544&lt;&gt;"",M544&lt;&gt;"",O544&gt;M544),CONCATENATE("1 : ",TEXT((O544-M544)/M544,"0.00")),IF(AND(O544&lt;&gt;"",M544&lt;&gt;"",O544&lt;M544),CONCATENATE("-1 : ",TEXT((M544-O544)/M544,"0.00")),"—"))</f>
        <v>—</v>
      </c>
      <c r="Z544" s="55" t="str">
        <f aca="false">IF(AND(P544&lt;&gt;"",M544&lt;&gt;"",P544&gt;M544),CONCATENATE("1 : ",TEXT((P544-M544)/M544,"0.00")),"—")</f>
        <v>—</v>
      </c>
      <c r="AA544" s="56" t="str">
        <f aca="false">IF(AND(C544&lt;&gt;"",E544&lt;&gt;""),E544-C544,"")</f>
        <v/>
      </c>
      <c r="AB544" s="42"/>
      <c r="AC544" s="57"/>
      <c r="AD544" s="58"/>
      <c r="AE544" s="59" t="str">
        <f aca="false">IF(G544&lt;&gt;"",HYPERLINK("https://www.tradingview.com/chart/?symbol="&amp;G544&amp;"&amp;interval=60&amp;from="&amp;(AG544-10*3600)&amp;"&amp;to="&amp;(AG544+50*3600),"📈 1H"),"")</f>
        <v/>
      </c>
      <c r="AF544" s="60" t="str">
        <f aca="false">IF(G544&lt;&gt;"",HYPERLINK("https://www.tradingview.com/chart/?symbol="&amp;G544&amp;"&amp;interval=240&amp;from="&amp;(AG544-10*14400)&amp;"&amp;to="&amp;(AG544+50*14400),"📈 4H"),"")</f>
        <v/>
      </c>
      <c r="AG544" s="36" t="str">
        <f aca="false">IF(C544&lt;&gt;"",INT((C544+IF(D544&lt;&gt;"",D544,0)-DATE(1970,1,1))*86400),"")</f>
        <v/>
      </c>
    </row>
    <row r="545" customFormat="false" ht="19.5" hidden="false" customHeight="true" outlineLevel="0" collapsed="false">
      <c r="A545" s="12" t="n">
        <f aca="false">ROW()-4</f>
        <v>541</v>
      </c>
      <c r="B545" s="13"/>
      <c r="C545" s="14"/>
      <c r="D545" s="15"/>
      <c r="E545" s="14"/>
      <c r="F545" s="15"/>
      <c r="G545" s="16"/>
      <c r="H545" s="17"/>
      <c r="I545" s="18"/>
      <c r="J545" s="19"/>
      <c r="K545" s="14"/>
      <c r="L545" s="17"/>
      <c r="M545" s="19"/>
      <c r="N545" s="20"/>
      <c r="O545" s="19"/>
      <c r="P545" s="21"/>
      <c r="Q545" s="22" t="str">
        <f aca="false">IF(L545="","",IF(M545&lt;&gt;"",M545*L545*100,IF(AND(O545&lt;&gt;"",B545&lt;&gt;""),IFERROR(AVERAGEIF($B$5:$B$1004,B545,$M$5:$M$1004)*L545*100,""),"")))</f>
        <v/>
      </c>
      <c r="R545" s="22" t="str">
        <f aca="false">IF(AND(O545&lt;&gt;"",L545&lt;&gt;""),O545*L545*100,"")</f>
        <v/>
      </c>
      <c r="S545" s="23" t="str">
        <f aca="false">IF(AND(P545&lt;&gt;"",L545&lt;&gt;""),P545*L545*100,"")</f>
        <v/>
      </c>
      <c r="T545" s="24" t="str">
        <f aca="false">IF(AND(Q545&lt;&gt;"",R545&lt;&gt;""),R545-Q545,"")</f>
        <v/>
      </c>
      <c r="U545" s="25" t="str">
        <f aca="false">IF(AND(Q545&lt;&gt;"",Q545&lt;&gt;0,T545&lt;&gt;""),T545/Q545,"")</f>
        <v/>
      </c>
      <c r="V545" s="26" t="str">
        <f aca="false">IF(AND(S545&lt;&gt;"",Q545&lt;&gt;""),S545-Q545,"")</f>
        <v/>
      </c>
      <c r="W545" s="27" t="str">
        <f aca="false">IF(AND(Q545&lt;&gt;"",Q545&lt;&gt;0,V545&lt;&gt;""),V545/Q545,"")</f>
        <v/>
      </c>
      <c r="X545" s="28" t="s">
        <v>37</v>
      </c>
      <c r="Y545" s="29" t="str">
        <f aca="false">IF(AND(O545&lt;&gt;"",M545&lt;&gt;"",O545&gt;M545),CONCATENATE("1 : ",TEXT((O545-M545)/M545,"0.00")),IF(AND(O545&lt;&gt;"",M545&lt;&gt;"",O545&lt;M545),CONCATENATE("-1 : ",TEXT((M545-O545)/M545,"0.00")),"—"))</f>
        <v>—</v>
      </c>
      <c r="Z545" s="30" t="str">
        <f aca="false">IF(AND(P545&lt;&gt;"",M545&lt;&gt;"",P545&gt;M545),CONCATENATE("1 : ",TEXT((P545-M545)/M545,"0.00")),"—")</f>
        <v>—</v>
      </c>
      <c r="AA545" s="31" t="str">
        <f aca="false">IF(AND(C545&lt;&gt;"",E545&lt;&gt;""),E545-C545,"")</f>
        <v/>
      </c>
      <c r="AB545" s="17"/>
      <c r="AC545" s="32"/>
      <c r="AD545" s="33"/>
      <c r="AE545" s="34" t="str">
        <f aca="false">IF(G545&lt;&gt;"",HYPERLINK("https://www.tradingview.com/chart/?symbol="&amp;G545&amp;"&amp;interval=60&amp;from="&amp;(AG545-10*3600)&amp;"&amp;to="&amp;(AG545+50*3600),"📈 1H"),"")</f>
        <v/>
      </c>
      <c r="AF545" s="35" t="str">
        <f aca="false">IF(G545&lt;&gt;"",HYPERLINK("https://www.tradingview.com/chart/?symbol="&amp;G545&amp;"&amp;interval=240&amp;from="&amp;(AG545-10*14400)&amp;"&amp;to="&amp;(AG545+50*14400),"📈 4H"),"")</f>
        <v/>
      </c>
      <c r="AG545" s="36" t="str">
        <f aca="false">IF(C545&lt;&gt;"",INT((C545+IF(D545&lt;&gt;"",D545,0)-DATE(1970,1,1))*86400),"")</f>
        <v/>
      </c>
    </row>
    <row r="546" customFormat="false" ht="19.5" hidden="false" customHeight="true" outlineLevel="0" collapsed="false">
      <c r="A546" s="37" t="n">
        <f aca="false">ROW()-4</f>
        <v>542</v>
      </c>
      <c r="B546" s="38"/>
      <c r="C546" s="39"/>
      <c r="D546" s="40"/>
      <c r="E546" s="39"/>
      <c r="F546" s="40"/>
      <c r="G546" s="41"/>
      <c r="H546" s="42"/>
      <c r="I546" s="43"/>
      <c r="J546" s="44"/>
      <c r="K546" s="39"/>
      <c r="L546" s="42"/>
      <c r="M546" s="44"/>
      <c r="N546" s="45"/>
      <c r="O546" s="44"/>
      <c r="P546" s="46"/>
      <c r="Q546" s="47" t="str">
        <f aca="false">IF(L546="","",IF(M546&lt;&gt;"",M546*L546*100,IF(AND(O546&lt;&gt;"",B546&lt;&gt;""),IFERROR(AVERAGEIF($B$5:$B$1004,B546,$M$5:$M$1004)*L546*100,""),"")))</f>
        <v/>
      </c>
      <c r="R546" s="47" t="str">
        <f aca="false">IF(AND(O546&lt;&gt;"",L546&lt;&gt;""),O546*L546*100,"")</f>
        <v/>
      </c>
      <c r="S546" s="48" t="str">
        <f aca="false">IF(AND(P546&lt;&gt;"",L546&lt;&gt;""),P546*L546*100,"")</f>
        <v/>
      </c>
      <c r="T546" s="49" t="str">
        <f aca="false">IF(AND(Q546&lt;&gt;"",R546&lt;&gt;""),R546-Q546,"")</f>
        <v/>
      </c>
      <c r="U546" s="50" t="str">
        <f aca="false">IF(AND(Q546&lt;&gt;"",Q546&lt;&gt;0,T546&lt;&gt;""),T546/Q546,"")</f>
        <v/>
      </c>
      <c r="V546" s="51" t="str">
        <f aca="false">IF(AND(S546&lt;&gt;"",Q546&lt;&gt;""),S546-Q546,"")</f>
        <v/>
      </c>
      <c r="W546" s="52" t="str">
        <f aca="false">IF(AND(Q546&lt;&gt;"",Q546&lt;&gt;0,V546&lt;&gt;""),V546/Q546,"")</f>
        <v/>
      </c>
      <c r="X546" s="53" t="s">
        <v>37</v>
      </c>
      <c r="Y546" s="54" t="str">
        <f aca="false">IF(AND(O546&lt;&gt;"",M546&lt;&gt;"",O546&gt;M546),CONCATENATE("1 : ",TEXT((O546-M546)/M546,"0.00")),IF(AND(O546&lt;&gt;"",M546&lt;&gt;"",O546&lt;M546),CONCATENATE("-1 : ",TEXT((M546-O546)/M546,"0.00")),"—"))</f>
        <v>—</v>
      </c>
      <c r="Z546" s="55" t="str">
        <f aca="false">IF(AND(P546&lt;&gt;"",M546&lt;&gt;"",P546&gt;M546),CONCATENATE("1 : ",TEXT((P546-M546)/M546,"0.00")),"—")</f>
        <v>—</v>
      </c>
      <c r="AA546" s="56" t="str">
        <f aca="false">IF(AND(C546&lt;&gt;"",E546&lt;&gt;""),E546-C546,"")</f>
        <v/>
      </c>
      <c r="AB546" s="42"/>
      <c r="AC546" s="57"/>
      <c r="AD546" s="58"/>
      <c r="AE546" s="59" t="str">
        <f aca="false">IF(G546&lt;&gt;"",HYPERLINK("https://www.tradingview.com/chart/?symbol="&amp;G546&amp;"&amp;interval=60&amp;from="&amp;(AG546-10*3600)&amp;"&amp;to="&amp;(AG546+50*3600),"📈 1H"),"")</f>
        <v/>
      </c>
      <c r="AF546" s="60" t="str">
        <f aca="false">IF(G546&lt;&gt;"",HYPERLINK("https://www.tradingview.com/chart/?symbol="&amp;G546&amp;"&amp;interval=240&amp;from="&amp;(AG546-10*14400)&amp;"&amp;to="&amp;(AG546+50*14400),"📈 4H"),"")</f>
        <v/>
      </c>
      <c r="AG546" s="36" t="str">
        <f aca="false">IF(C546&lt;&gt;"",INT((C546+IF(D546&lt;&gt;"",D546,0)-DATE(1970,1,1))*86400),"")</f>
        <v/>
      </c>
    </row>
    <row r="547" customFormat="false" ht="19.5" hidden="false" customHeight="true" outlineLevel="0" collapsed="false">
      <c r="A547" s="12" t="n">
        <f aca="false">ROW()-4</f>
        <v>543</v>
      </c>
      <c r="B547" s="13"/>
      <c r="C547" s="14"/>
      <c r="D547" s="15"/>
      <c r="E547" s="14"/>
      <c r="F547" s="15"/>
      <c r="G547" s="16"/>
      <c r="H547" s="17"/>
      <c r="I547" s="18"/>
      <c r="J547" s="19"/>
      <c r="K547" s="14"/>
      <c r="L547" s="17"/>
      <c r="M547" s="19"/>
      <c r="N547" s="20"/>
      <c r="O547" s="19"/>
      <c r="P547" s="21"/>
      <c r="Q547" s="22" t="str">
        <f aca="false">IF(L547="","",IF(M547&lt;&gt;"",M547*L547*100,IF(AND(O547&lt;&gt;"",B547&lt;&gt;""),IFERROR(AVERAGEIF($B$5:$B$1004,B547,$M$5:$M$1004)*L547*100,""),"")))</f>
        <v/>
      </c>
      <c r="R547" s="22" t="str">
        <f aca="false">IF(AND(O547&lt;&gt;"",L547&lt;&gt;""),O547*L547*100,"")</f>
        <v/>
      </c>
      <c r="S547" s="23" t="str">
        <f aca="false">IF(AND(P547&lt;&gt;"",L547&lt;&gt;""),P547*L547*100,"")</f>
        <v/>
      </c>
      <c r="T547" s="24" t="str">
        <f aca="false">IF(AND(Q547&lt;&gt;"",R547&lt;&gt;""),R547-Q547,"")</f>
        <v/>
      </c>
      <c r="U547" s="25" t="str">
        <f aca="false">IF(AND(Q547&lt;&gt;"",Q547&lt;&gt;0,T547&lt;&gt;""),T547/Q547,"")</f>
        <v/>
      </c>
      <c r="V547" s="26" t="str">
        <f aca="false">IF(AND(S547&lt;&gt;"",Q547&lt;&gt;""),S547-Q547,"")</f>
        <v/>
      </c>
      <c r="W547" s="27" t="str">
        <f aca="false">IF(AND(Q547&lt;&gt;"",Q547&lt;&gt;0,V547&lt;&gt;""),V547/Q547,"")</f>
        <v/>
      </c>
      <c r="X547" s="28" t="s">
        <v>37</v>
      </c>
      <c r="Y547" s="29" t="str">
        <f aca="false">IF(AND(O547&lt;&gt;"",M547&lt;&gt;"",O547&gt;M547),CONCATENATE("1 : ",TEXT((O547-M547)/M547,"0.00")),IF(AND(O547&lt;&gt;"",M547&lt;&gt;"",O547&lt;M547),CONCATENATE("-1 : ",TEXT((M547-O547)/M547,"0.00")),"—"))</f>
        <v>—</v>
      </c>
      <c r="Z547" s="30" t="str">
        <f aca="false">IF(AND(P547&lt;&gt;"",M547&lt;&gt;"",P547&gt;M547),CONCATENATE("1 : ",TEXT((P547-M547)/M547,"0.00")),"—")</f>
        <v>—</v>
      </c>
      <c r="AA547" s="31" t="str">
        <f aca="false">IF(AND(C547&lt;&gt;"",E547&lt;&gt;""),E547-C547,"")</f>
        <v/>
      </c>
      <c r="AB547" s="17"/>
      <c r="AC547" s="32"/>
      <c r="AD547" s="33"/>
      <c r="AE547" s="34" t="str">
        <f aca="false">IF(G547&lt;&gt;"",HYPERLINK("https://www.tradingview.com/chart/?symbol="&amp;G547&amp;"&amp;interval=60&amp;from="&amp;(AG547-10*3600)&amp;"&amp;to="&amp;(AG547+50*3600),"📈 1H"),"")</f>
        <v/>
      </c>
      <c r="AF547" s="35" t="str">
        <f aca="false">IF(G547&lt;&gt;"",HYPERLINK("https://www.tradingview.com/chart/?symbol="&amp;G547&amp;"&amp;interval=240&amp;from="&amp;(AG547-10*14400)&amp;"&amp;to="&amp;(AG547+50*14400),"📈 4H"),"")</f>
        <v/>
      </c>
      <c r="AG547" s="36" t="str">
        <f aca="false">IF(C547&lt;&gt;"",INT((C547+IF(D547&lt;&gt;"",D547,0)-DATE(1970,1,1))*86400),"")</f>
        <v/>
      </c>
    </row>
    <row r="548" customFormat="false" ht="19.5" hidden="false" customHeight="true" outlineLevel="0" collapsed="false">
      <c r="A548" s="37" t="n">
        <f aca="false">ROW()-4</f>
        <v>544</v>
      </c>
      <c r="B548" s="38"/>
      <c r="C548" s="39"/>
      <c r="D548" s="40"/>
      <c r="E548" s="39"/>
      <c r="F548" s="40"/>
      <c r="G548" s="41"/>
      <c r="H548" s="42"/>
      <c r="I548" s="43"/>
      <c r="J548" s="44"/>
      <c r="K548" s="39"/>
      <c r="L548" s="42"/>
      <c r="M548" s="44"/>
      <c r="N548" s="45"/>
      <c r="O548" s="44"/>
      <c r="P548" s="46"/>
      <c r="Q548" s="47" t="str">
        <f aca="false">IF(L548="","",IF(M548&lt;&gt;"",M548*L548*100,IF(AND(O548&lt;&gt;"",B548&lt;&gt;""),IFERROR(AVERAGEIF($B$5:$B$1004,B548,$M$5:$M$1004)*L548*100,""),"")))</f>
        <v/>
      </c>
      <c r="R548" s="47" t="str">
        <f aca="false">IF(AND(O548&lt;&gt;"",L548&lt;&gt;""),O548*L548*100,"")</f>
        <v/>
      </c>
      <c r="S548" s="48" t="str">
        <f aca="false">IF(AND(P548&lt;&gt;"",L548&lt;&gt;""),P548*L548*100,"")</f>
        <v/>
      </c>
      <c r="T548" s="49" t="str">
        <f aca="false">IF(AND(Q548&lt;&gt;"",R548&lt;&gt;""),R548-Q548,"")</f>
        <v/>
      </c>
      <c r="U548" s="50" t="str">
        <f aca="false">IF(AND(Q548&lt;&gt;"",Q548&lt;&gt;0,T548&lt;&gt;""),T548/Q548,"")</f>
        <v/>
      </c>
      <c r="V548" s="51" t="str">
        <f aca="false">IF(AND(S548&lt;&gt;"",Q548&lt;&gt;""),S548-Q548,"")</f>
        <v/>
      </c>
      <c r="W548" s="52" t="str">
        <f aca="false">IF(AND(Q548&lt;&gt;"",Q548&lt;&gt;0,V548&lt;&gt;""),V548/Q548,"")</f>
        <v/>
      </c>
      <c r="X548" s="53" t="s">
        <v>37</v>
      </c>
      <c r="Y548" s="54" t="str">
        <f aca="false">IF(AND(O548&lt;&gt;"",M548&lt;&gt;"",O548&gt;M548),CONCATENATE("1 : ",TEXT((O548-M548)/M548,"0.00")),IF(AND(O548&lt;&gt;"",M548&lt;&gt;"",O548&lt;M548),CONCATENATE("-1 : ",TEXT((M548-O548)/M548,"0.00")),"—"))</f>
        <v>—</v>
      </c>
      <c r="Z548" s="55" t="str">
        <f aca="false">IF(AND(P548&lt;&gt;"",M548&lt;&gt;"",P548&gt;M548),CONCATENATE("1 : ",TEXT((P548-M548)/M548,"0.00")),"—")</f>
        <v>—</v>
      </c>
      <c r="AA548" s="56" t="str">
        <f aca="false">IF(AND(C548&lt;&gt;"",E548&lt;&gt;""),E548-C548,"")</f>
        <v/>
      </c>
      <c r="AB548" s="42"/>
      <c r="AC548" s="57"/>
      <c r="AD548" s="58"/>
      <c r="AE548" s="59" t="str">
        <f aca="false">IF(G548&lt;&gt;"",HYPERLINK("https://www.tradingview.com/chart/?symbol="&amp;G548&amp;"&amp;interval=60&amp;from="&amp;(AG548-10*3600)&amp;"&amp;to="&amp;(AG548+50*3600),"📈 1H"),"")</f>
        <v/>
      </c>
      <c r="AF548" s="60" t="str">
        <f aca="false">IF(G548&lt;&gt;"",HYPERLINK("https://www.tradingview.com/chart/?symbol="&amp;G548&amp;"&amp;interval=240&amp;from="&amp;(AG548-10*14400)&amp;"&amp;to="&amp;(AG548+50*14400),"📈 4H"),"")</f>
        <v/>
      </c>
      <c r="AG548" s="36" t="str">
        <f aca="false">IF(C548&lt;&gt;"",INT((C548+IF(D548&lt;&gt;"",D548,0)-DATE(1970,1,1))*86400),"")</f>
        <v/>
      </c>
    </row>
    <row r="549" customFormat="false" ht="19.5" hidden="false" customHeight="true" outlineLevel="0" collapsed="false">
      <c r="A549" s="12" t="n">
        <f aca="false">ROW()-4</f>
        <v>545</v>
      </c>
      <c r="B549" s="13"/>
      <c r="C549" s="14"/>
      <c r="D549" s="15"/>
      <c r="E549" s="14"/>
      <c r="F549" s="15"/>
      <c r="G549" s="16"/>
      <c r="H549" s="17"/>
      <c r="I549" s="18"/>
      <c r="J549" s="19"/>
      <c r="K549" s="14"/>
      <c r="L549" s="17"/>
      <c r="M549" s="19"/>
      <c r="N549" s="20"/>
      <c r="O549" s="19"/>
      <c r="P549" s="21"/>
      <c r="Q549" s="22" t="str">
        <f aca="false">IF(L549="","",IF(M549&lt;&gt;"",M549*L549*100,IF(AND(O549&lt;&gt;"",B549&lt;&gt;""),IFERROR(AVERAGEIF($B$5:$B$1004,B549,$M$5:$M$1004)*L549*100,""),"")))</f>
        <v/>
      </c>
      <c r="R549" s="22" t="str">
        <f aca="false">IF(AND(O549&lt;&gt;"",L549&lt;&gt;""),O549*L549*100,"")</f>
        <v/>
      </c>
      <c r="S549" s="23" t="str">
        <f aca="false">IF(AND(P549&lt;&gt;"",L549&lt;&gt;""),P549*L549*100,"")</f>
        <v/>
      </c>
      <c r="T549" s="24" t="str">
        <f aca="false">IF(AND(Q549&lt;&gt;"",R549&lt;&gt;""),R549-Q549,"")</f>
        <v/>
      </c>
      <c r="U549" s="25" t="str">
        <f aca="false">IF(AND(Q549&lt;&gt;"",Q549&lt;&gt;0,T549&lt;&gt;""),T549/Q549,"")</f>
        <v/>
      </c>
      <c r="V549" s="26" t="str">
        <f aca="false">IF(AND(S549&lt;&gt;"",Q549&lt;&gt;""),S549-Q549,"")</f>
        <v/>
      </c>
      <c r="W549" s="27" t="str">
        <f aca="false">IF(AND(Q549&lt;&gt;"",Q549&lt;&gt;0,V549&lt;&gt;""),V549/Q549,"")</f>
        <v/>
      </c>
      <c r="X549" s="28" t="s">
        <v>37</v>
      </c>
      <c r="Y549" s="29" t="str">
        <f aca="false">IF(AND(O549&lt;&gt;"",M549&lt;&gt;"",O549&gt;M549),CONCATENATE("1 : ",TEXT((O549-M549)/M549,"0.00")),IF(AND(O549&lt;&gt;"",M549&lt;&gt;"",O549&lt;M549),CONCATENATE("-1 : ",TEXT((M549-O549)/M549,"0.00")),"—"))</f>
        <v>—</v>
      </c>
      <c r="Z549" s="30" t="str">
        <f aca="false">IF(AND(P549&lt;&gt;"",M549&lt;&gt;"",P549&gt;M549),CONCATENATE("1 : ",TEXT((P549-M549)/M549,"0.00")),"—")</f>
        <v>—</v>
      </c>
      <c r="AA549" s="31" t="str">
        <f aca="false">IF(AND(C549&lt;&gt;"",E549&lt;&gt;""),E549-C549,"")</f>
        <v/>
      </c>
      <c r="AB549" s="17"/>
      <c r="AC549" s="32"/>
      <c r="AD549" s="33"/>
      <c r="AE549" s="34" t="str">
        <f aca="false">IF(G549&lt;&gt;"",HYPERLINK("https://www.tradingview.com/chart/?symbol="&amp;G549&amp;"&amp;interval=60&amp;from="&amp;(AG549-10*3600)&amp;"&amp;to="&amp;(AG549+50*3600),"📈 1H"),"")</f>
        <v/>
      </c>
      <c r="AF549" s="35" t="str">
        <f aca="false">IF(G549&lt;&gt;"",HYPERLINK("https://www.tradingview.com/chart/?symbol="&amp;G549&amp;"&amp;interval=240&amp;from="&amp;(AG549-10*14400)&amp;"&amp;to="&amp;(AG549+50*14400),"📈 4H"),"")</f>
        <v/>
      </c>
      <c r="AG549" s="36" t="str">
        <f aca="false">IF(C549&lt;&gt;"",INT((C549+IF(D549&lt;&gt;"",D549,0)-DATE(1970,1,1))*86400),"")</f>
        <v/>
      </c>
    </row>
    <row r="550" customFormat="false" ht="19.5" hidden="false" customHeight="true" outlineLevel="0" collapsed="false">
      <c r="A550" s="37" t="n">
        <f aca="false">ROW()-4</f>
        <v>546</v>
      </c>
      <c r="B550" s="38"/>
      <c r="C550" s="39"/>
      <c r="D550" s="40"/>
      <c r="E550" s="39"/>
      <c r="F550" s="40"/>
      <c r="G550" s="41"/>
      <c r="H550" s="42"/>
      <c r="I550" s="43"/>
      <c r="J550" s="44"/>
      <c r="K550" s="39"/>
      <c r="L550" s="42"/>
      <c r="M550" s="44"/>
      <c r="N550" s="45"/>
      <c r="O550" s="44"/>
      <c r="P550" s="46"/>
      <c r="Q550" s="47" t="str">
        <f aca="false">IF(L550="","",IF(M550&lt;&gt;"",M550*L550*100,IF(AND(O550&lt;&gt;"",B550&lt;&gt;""),IFERROR(AVERAGEIF($B$5:$B$1004,B550,$M$5:$M$1004)*L550*100,""),"")))</f>
        <v/>
      </c>
      <c r="R550" s="47" t="str">
        <f aca="false">IF(AND(O550&lt;&gt;"",L550&lt;&gt;""),O550*L550*100,"")</f>
        <v/>
      </c>
      <c r="S550" s="48" t="str">
        <f aca="false">IF(AND(P550&lt;&gt;"",L550&lt;&gt;""),P550*L550*100,"")</f>
        <v/>
      </c>
      <c r="T550" s="49" t="str">
        <f aca="false">IF(AND(Q550&lt;&gt;"",R550&lt;&gt;""),R550-Q550,"")</f>
        <v/>
      </c>
      <c r="U550" s="50" t="str">
        <f aca="false">IF(AND(Q550&lt;&gt;"",Q550&lt;&gt;0,T550&lt;&gt;""),T550/Q550,"")</f>
        <v/>
      </c>
      <c r="V550" s="51" t="str">
        <f aca="false">IF(AND(S550&lt;&gt;"",Q550&lt;&gt;""),S550-Q550,"")</f>
        <v/>
      </c>
      <c r="W550" s="52" t="str">
        <f aca="false">IF(AND(Q550&lt;&gt;"",Q550&lt;&gt;0,V550&lt;&gt;""),V550/Q550,"")</f>
        <v/>
      </c>
      <c r="X550" s="53" t="s">
        <v>37</v>
      </c>
      <c r="Y550" s="54" t="str">
        <f aca="false">IF(AND(O550&lt;&gt;"",M550&lt;&gt;"",O550&gt;M550),CONCATENATE("1 : ",TEXT((O550-M550)/M550,"0.00")),IF(AND(O550&lt;&gt;"",M550&lt;&gt;"",O550&lt;M550),CONCATENATE("-1 : ",TEXT((M550-O550)/M550,"0.00")),"—"))</f>
        <v>—</v>
      </c>
      <c r="Z550" s="55" t="str">
        <f aca="false">IF(AND(P550&lt;&gt;"",M550&lt;&gt;"",P550&gt;M550),CONCATENATE("1 : ",TEXT((P550-M550)/M550,"0.00")),"—")</f>
        <v>—</v>
      </c>
      <c r="AA550" s="56" t="str">
        <f aca="false">IF(AND(C550&lt;&gt;"",E550&lt;&gt;""),E550-C550,"")</f>
        <v/>
      </c>
      <c r="AB550" s="42"/>
      <c r="AC550" s="57"/>
      <c r="AD550" s="58"/>
      <c r="AE550" s="59" t="str">
        <f aca="false">IF(G550&lt;&gt;"",HYPERLINK("https://www.tradingview.com/chart/?symbol="&amp;G550&amp;"&amp;interval=60&amp;from="&amp;(AG550-10*3600)&amp;"&amp;to="&amp;(AG550+50*3600),"📈 1H"),"")</f>
        <v/>
      </c>
      <c r="AF550" s="60" t="str">
        <f aca="false">IF(G550&lt;&gt;"",HYPERLINK("https://www.tradingview.com/chart/?symbol="&amp;G550&amp;"&amp;interval=240&amp;from="&amp;(AG550-10*14400)&amp;"&amp;to="&amp;(AG550+50*14400),"📈 4H"),"")</f>
        <v/>
      </c>
      <c r="AG550" s="36" t="str">
        <f aca="false">IF(C550&lt;&gt;"",INT((C550+IF(D550&lt;&gt;"",D550,0)-DATE(1970,1,1))*86400),"")</f>
        <v/>
      </c>
    </row>
    <row r="551" customFormat="false" ht="19.5" hidden="false" customHeight="true" outlineLevel="0" collapsed="false">
      <c r="A551" s="12" t="n">
        <f aca="false">ROW()-4</f>
        <v>547</v>
      </c>
      <c r="B551" s="13"/>
      <c r="C551" s="14"/>
      <c r="D551" s="15"/>
      <c r="E551" s="14"/>
      <c r="F551" s="15"/>
      <c r="G551" s="16"/>
      <c r="H551" s="17"/>
      <c r="I551" s="18"/>
      <c r="J551" s="19"/>
      <c r="K551" s="14"/>
      <c r="L551" s="17"/>
      <c r="M551" s="19"/>
      <c r="N551" s="20"/>
      <c r="O551" s="19"/>
      <c r="P551" s="21"/>
      <c r="Q551" s="22" t="str">
        <f aca="false">IF(L551="","",IF(M551&lt;&gt;"",M551*L551*100,IF(AND(O551&lt;&gt;"",B551&lt;&gt;""),IFERROR(AVERAGEIF($B$5:$B$1004,B551,$M$5:$M$1004)*L551*100,""),"")))</f>
        <v/>
      </c>
      <c r="R551" s="22" t="str">
        <f aca="false">IF(AND(O551&lt;&gt;"",L551&lt;&gt;""),O551*L551*100,"")</f>
        <v/>
      </c>
      <c r="S551" s="23" t="str">
        <f aca="false">IF(AND(P551&lt;&gt;"",L551&lt;&gt;""),P551*L551*100,"")</f>
        <v/>
      </c>
      <c r="T551" s="24" t="str">
        <f aca="false">IF(AND(Q551&lt;&gt;"",R551&lt;&gt;""),R551-Q551,"")</f>
        <v/>
      </c>
      <c r="U551" s="25" t="str">
        <f aca="false">IF(AND(Q551&lt;&gt;"",Q551&lt;&gt;0,T551&lt;&gt;""),T551/Q551,"")</f>
        <v/>
      </c>
      <c r="V551" s="26" t="str">
        <f aca="false">IF(AND(S551&lt;&gt;"",Q551&lt;&gt;""),S551-Q551,"")</f>
        <v/>
      </c>
      <c r="W551" s="27" t="str">
        <f aca="false">IF(AND(Q551&lt;&gt;"",Q551&lt;&gt;0,V551&lt;&gt;""),V551/Q551,"")</f>
        <v/>
      </c>
      <c r="X551" s="28" t="s">
        <v>37</v>
      </c>
      <c r="Y551" s="29" t="str">
        <f aca="false">IF(AND(O551&lt;&gt;"",M551&lt;&gt;"",O551&gt;M551),CONCATENATE("1 : ",TEXT((O551-M551)/M551,"0.00")),IF(AND(O551&lt;&gt;"",M551&lt;&gt;"",O551&lt;M551),CONCATENATE("-1 : ",TEXT((M551-O551)/M551,"0.00")),"—"))</f>
        <v>—</v>
      </c>
      <c r="Z551" s="30" t="str">
        <f aca="false">IF(AND(P551&lt;&gt;"",M551&lt;&gt;"",P551&gt;M551),CONCATENATE("1 : ",TEXT((P551-M551)/M551,"0.00")),"—")</f>
        <v>—</v>
      </c>
      <c r="AA551" s="31" t="str">
        <f aca="false">IF(AND(C551&lt;&gt;"",E551&lt;&gt;""),E551-C551,"")</f>
        <v/>
      </c>
      <c r="AB551" s="17"/>
      <c r="AC551" s="32"/>
      <c r="AD551" s="33"/>
      <c r="AE551" s="34" t="str">
        <f aca="false">IF(G551&lt;&gt;"",HYPERLINK("https://www.tradingview.com/chart/?symbol="&amp;G551&amp;"&amp;interval=60&amp;from="&amp;(AG551-10*3600)&amp;"&amp;to="&amp;(AG551+50*3600),"📈 1H"),"")</f>
        <v/>
      </c>
      <c r="AF551" s="35" t="str">
        <f aca="false">IF(G551&lt;&gt;"",HYPERLINK("https://www.tradingview.com/chart/?symbol="&amp;G551&amp;"&amp;interval=240&amp;from="&amp;(AG551-10*14400)&amp;"&amp;to="&amp;(AG551+50*14400),"📈 4H"),"")</f>
        <v/>
      </c>
      <c r="AG551" s="36" t="str">
        <f aca="false">IF(C551&lt;&gt;"",INT((C551+IF(D551&lt;&gt;"",D551,0)-DATE(1970,1,1))*86400),"")</f>
        <v/>
      </c>
    </row>
    <row r="552" customFormat="false" ht="19.5" hidden="false" customHeight="true" outlineLevel="0" collapsed="false">
      <c r="A552" s="37" t="n">
        <f aca="false">ROW()-4</f>
        <v>548</v>
      </c>
      <c r="B552" s="38"/>
      <c r="C552" s="39"/>
      <c r="D552" s="40"/>
      <c r="E552" s="39"/>
      <c r="F552" s="40"/>
      <c r="G552" s="41"/>
      <c r="H552" s="42"/>
      <c r="I552" s="43"/>
      <c r="J552" s="44"/>
      <c r="K552" s="39"/>
      <c r="L552" s="42"/>
      <c r="M552" s="44"/>
      <c r="N552" s="45"/>
      <c r="O552" s="44"/>
      <c r="P552" s="46"/>
      <c r="Q552" s="47" t="str">
        <f aca="false">IF(L552="","",IF(M552&lt;&gt;"",M552*L552*100,IF(AND(O552&lt;&gt;"",B552&lt;&gt;""),IFERROR(AVERAGEIF($B$5:$B$1004,B552,$M$5:$M$1004)*L552*100,""),"")))</f>
        <v/>
      </c>
      <c r="R552" s="47" t="str">
        <f aca="false">IF(AND(O552&lt;&gt;"",L552&lt;&gt;""),O552*L552*100,"")</f>
        <v/>
      </c>
      <c r="S552" s="48" t="str">
        <f aca="false">IF(AND(P552&lt;&gt;"",L552&lt;&gt;""),P552*L552*100,"")</f>
        <v/>
      </c>
      <c r="T552" s="49" t="str">
        <f aca="false">IF(AND(Q552&lt;&gt;"",R552&lt;&gt;""),R552-Q552,"")</f>
        <v/>
      </c>
      <c r="U552" s="50" t="str">
        <f aca="false">IF(AND(Q552&lt;&gt;"",Q552&lt;&gt;0,T552&lt;&gt;""),T552/Q552,"")</f>
        <v/>
      </c>
      <c r="V552" s="51" t="str">
        <f aca="false">IF(AND(S552&lt;&gt;"",Q552&lt;&gt;""),S552-Q552,"")</f>
        <v/>
      </c>
      <c r="W552" s="52" t="str">
        <f aca="false">IF(AND(Q552&lt;&gt;"",Q552&lt;&gt;0,V552&lt;&gt;""),V552/Q552,"")</f>
        <v/>
      </c>
      <c r="X552" s="53" t="s">
        <v>37</v>
      </c>
      <c r="Y552" s="54" t="str">
        <f aca="false">IF(AND(O552&lt;&gt;"",M552&lt;&gt;"",O552&gt;M552),CONCATENATE("1 : ",TEXT((O552-M552)/M552,"0.00")),IF(AND(O552&lt;&gt;"",M552&lt;&gt;"",O552&lt;M552),CONCATENATE("-1 : ",TEXT((M552-O552)/M552,"0.00")),"—"))</f>
        <v>—</v>
      </c>
      <c r="Z552" s="55" t="str">
        <f aca="false">IF(AND(P552&lt;&gt;"",M552&lt;&gt;"",P552&gt;M552),CONCATENATE("1 : ",TEXT((P552-M552)/M552,"0.00")),"—")</f>
        <v>—</v>
      </c>
      <c r="AA552" s="56" t="str">
        <f aca="false">IF(AND(C552&lt;&gt;"",E552&lt;&gt;""),E552-C552,"")</f>
        <v/>
      </c>
      <c r="AB552" s="42"/>
      <c r="AC552" s="57"/>
      <c r="AD552" s="58"/>
      <c r="AE552" s="59" t="str">
        <f aca="false">IF(G552&lt;&gt;"",HYPERLINK("https://www.tradingview.com/chart/?symbol="&amp;G552&amp;"&amp;interval=60&amp;from="&amp;(AG552-10*3600)&amp;"&amp;to="&amp;(AG552+50*3600),"📈 1H"),"")</f>
        <v/>
      </c>
      <c r="AF552" s="60" t="str">
        <f aca="false">IF(G552&lt;&gt;"",HYPERLINK("https://www.tradingview.com/chart/?symbol="&amp;G552&amp;"&amp;interval=240&amp;from="&amp;(AG552-10*14400)&amp;"&amp;to="&amp;(AG552+50*14400),"📈 4H"),"")</f>
        <v/>
      </c>
      <c r="AG552" s="36" t="str">
        <f aca="false">IF(C552&lt;&gt;"",INT((C552+IF(D552&lt;&gt;"",D552,0)-DATE(1970,1,1))*86400),"")</f>
        <v/>
      </c>
    </row>
    <row r="553" customFormat="false" ht="19.5" hidden="false" customHeight="true" outlineLevel="0" collapsed="false">
      <c r="A553" s="12" t="n">
        <f aca="false">ROW()-4</f>
        <v>549</v>
      </c>
      <c r="B553" s="13"/>
      <c r="C553" s="14"/>
      <c r="D553" s="15"/>
      <c r="E553" s="14"/>
      <c r="F553" s="15"/>
      <c r="G553" s="16"/>
      <c r="H553" s="17"/>
      <c r="I553" s="18"/>
      <c r="J553" s="19"/>
      <c r="K553" s="14"/>
      <c r="L553" s="17"/>
      <c r="M553" s="19"/>
      <c r="N553" s="20"/>
      <c r="O553" s="19"/>
      <c r="P553" s="21"/>
      <c r="Q553" s="22" t="str">
        <f aca="false">IF(L553="","",IF(M553&lt;&gt;"",M553*L553*100,IF(AND(O553&lt;&gt;"",B553&lt;&gt;""),IFERROR(AVERAGEIF($B$5:$B$1004,B553,$M$5:$M$1004)*L553*100,""),"")))</f>
        <v/>
      </c>
      <c r="R553" s="22" t="str">
        <f aca="false">IF(AND(O553&lt;&gt;"",L553&lt;&gt;""),O553*L553*100,"")</f>
        <v/>
      </c>
      <c r="S553" s="23" t="str">
        <f aca="false">IF(AND(P553&lt;&gt;"",L553&lt;&gt;""),P553*L553*100,"")</f>
        <v/>
      </c>
      <c r="T553" s="24" t="str">
        <f aca="false">IF(AND(Q553&lt;&gt;"",R553&lt;&gt;""),R553-Q553,"")</f>
        <v/>
      </c>
      <c r="U553" s="25" t="str">
        <f aca="false">IF(AND(Q553&lt;&gt;"",Q553&lt;&gt;0,T553&lt;&gt;""),T553/Q553,"")</f>
        <v/>
      </c>
      <c r="V553" s="26" t="str">
        <f aca="false">IF(AND(S553&lt;&gt;"",Q553&lt;&gt;""),S553-Q553,"")</f>
        <v/>
      </c>
      <c r="W553" s="27" t="str">
        <f aca="false">IF(AND(Q553&lt;&gt;"",Q553&lt;&gt;0,V553&lt;&gt;""),V553/Q553,"")</f>
        <v/>
      </c>
      <c r="X553" s="28" t="s">
        <v>37</v>
      </c>
      <c r="Y553" s="29" t="str">
        <f aca="false">IF(AND(O553&lt;&gt;"",M553&lt;&gt;"",O553&gt;M553),CONCATENATE("1 : ",TEXT((O553-M553)/M553,"0.00")),IF(AND(O553&lt;&gt;"",M553&lt;&gt;"",O553&lt;M553),CONCATENATE("-1 : ",TEXT((M553-O553)/M553,"0.00")),"—"))</f>
        <v>—</v>
      </c>
      <c r="Z553" s="30" t="str">
        <f aca="false">IF(AND(P553&lt;&gt;"",M553&lt;&gt;"",P553&gt;M553),CONCATENATE("1 : ",TEXT((P553-M553)/M553,"0.00")),"—")</f>
        <v>—</v>
      </c>
      <c r="AA553" s="31" t="str">
        <f aca="false">IF(AND(C553&lt;&gt;"",E553&lt;&gt;""),E553-C553,"")</f>
        <v/>
      </c>
      <c r="AB553" s="17"/>
      <c r="AC553" s="32"/>
      <c r="AD553" s="33"/>
      <c r="AE553" s="34" t="str">
        <f aca="false">IF(G553&lt;&gt;"",HYPERLINK("https://www.tradingview.com/chart/?symbol="&amp;G553&amp;"&amp;interval=60&amp;from="&amp;(AG553-10*3600)&amp;"&amp;to="&amp;(AG553+50*3600),"📈 1H"),"")</f>
        <v/>
      </c>
      <c r="AF553" s="35" t="str">
        <f aca="false">IF(G553&lt;&gt;"",HYPERLINK("https://www.tradingview.com/chart/?symbol="&amp;G553&amp;"&amp;interval=240&amp;from="&amp;(AG553-10*14400)&amp;"&amp;to="&amp;(AG553+50*14400),"📈 4H"),"")</f>
        <v/>
      </c>
      <c r="AG553" s="36" t="str">
        <f aca="false">IF(C553&lt;&gt;"",INT((C553+IF(D553&lt;&gt;"",D553,0)-DATE(1970,1,1))*86400),"")</f>
        <v/>
      </c>
    </row>
    <row r="554" customFormat="false" ht="19.5" hidden="false" customHeight="true" outlineLevel="0" collapsed="false">
      <c r="A554" s="37" t="n">
        <f aca="false">ROW()-4</f>
        <v>550</v>
      </c>
      <c r="B554" s="38"/>
      <c r="C554" s="39"/>
      <c r="D554" s="40"/>
      <c r="E554" s="39"/>
      <c r="F554" s="40"/>
      <c r="G554" s="41"/>
      <c r="H554" s="42"/>
      <c r="I554" s="43"/>
      <c r="J554" s="44"/>
      <c r="K554" s="39"/>
      <c r="L554" s="42"/>
      <c r="M554" s="44"/>
      <c r="N554" s="45"/>
      <c r="O554" s="44"/>
      <c r="P554" s="46"/>
      <c r="Q554" s="47" t="str">
        <f aca="false">IF(L554="","",IF(M554&lt;&gt;"",M554*L554*100,IF(AND(O554&lt;&gt;"",B554&lt;&gt;""),IFERROR(AVERAGEIF($B$5:$B$1004,B554,$M$5:$M$1004)*L554*100,""),"")))</f>
        <v/>
      </c>
      <c r="R554" s="47" t="str">
        <f aca="false">IF(AND(O554&lt;&gt;"",L554&lt;&gt;""),O554*L554*100,"")</f>
        <v/>
      </c>
      <c r="S554" s="48" t="str">
        <f aca="false">IF(AND(P554&lt;&gt;"",L554&lt;&gt;""),P554*L554*100,"")</f>
        <v/>
      </c>
      <c r="T554" s="49" t="str">
        <f aca="false">IF(AND(Q554&lt;&gt;"",R554&lt;&gt;""),R554-Q554,"")</f>
        <v/>
      </c>
      <c r="U554" s="50" t="str">
        <f aca="false">IF(AND(Q554&lt;&gt;"",Q554&lt;&gt;0,T554&lt;&gt;""),T554/Q554,"")</f>
        <v/>
      </c>
      <c r="V554" s="51" t="str">
        <f aca="false">IF(AND(S554&lt;&gt;"",Q554&lt;&gt;""),S554-Q554,"")</f>
        <v/>
      </c>
      <c r="W554" s="52" t="str">
        <f aca="false">IF(AND(Q554&lt;&gt;"",Q554&lt;&gt;0,V554&lt;&gt;""),V554/Q554,"")</f>
        <v/>
      </c>
      <c r="X554" s="53" t="s">
        <v>37</v>
      </c>
      <c r="Y554" s="54" t="str">
        <f aca="false">IF(AND(O554&lt;&gt;"",M554&lt;&gt;"",O554&gt;M554),CONCATENATE("1 : ",TEXT((O554-M554)/M554,"0.00")),IF(AND(O554&lt;&gt;"",M554&lt;&gt;"",O554&lt;M554),CONCATENATE("-1 : ",TEXT((M554-O554)/M554,"0.00")),"—"))</f>
        <v>—</v>
      </c>
      <c r="Z554" s="55" t="str">
        <f aca="false">IF(AND(P554&lt;&gt;"",M554&lt;&gt;"",P554&gt;M554),CONCATENATE("1 : ",TEXT((P554-M554)/M554,"0.00")),"—")</f>
        <v>—</v>
      </c>
      <c r="AA554" s="56" t="str">
        <f aca="false">IF(AND(C554&lt;&gt;"",E554&lt;&gt;""),E554-C554,"")</f>
        <v/>
      </c>
      <c r="AB554" s="42"/>
      <c r="AC554" s="57"/>
      <c r="AD554" s="58"/>
      <c r="AE554" s="59" t="str">
        <f aca="false">IF(G554&lt;&gt;"",HYPERLINK("https://www.tradingview.com/chart/?symbol="&amp;G554&amp;"&amp;interval=60&amp;from="&amp;(AG554-10*3600)&amp;"&amp;to="&amp;(AG554+50*3600),"📈 1H"),"")</f>
        <v/>
      </c>
      <c r="AF554" s="60" t="str">
        <f aca="false">IF(G554&lt;&gt;"",HYPERLINK("https://www.tradingview.com/chart/?symbol="&amp;G554&amp;"&amp;interval=240&amp;from="&amp;(AG554-10*14400)&amp;"&amp;to="&amp;(AG554+50*14400),"📈 4H"),"")</f>
        <v/>
      </c>
      <c r="AG554" s="36" t="str">
        <f aca="false">IF(C554&lt;&gt;"",INT((C554+IF(D554&lt;&gt;"",D554,0)-DATE(1970,1,1))*86400),"")</f>
        <v/>
      </c>
    </row>
    <row r="555" customFormat="false" ht="19.5" hidden="false" customHeight="true" outlineLevel="0" collapsed="false">
      <c r="A555" s="12" t="n">
        <f aca="false">ROW()-4</f>
        <v>551</v>
      </c>
      <c r="B555" s="13"/>
      <c r="C555" s="14"/>
      <c r="D555" s="15"/>
      <c r="E555" s="14"/>
      <c r="F555" s="15"/>
      <c r="G555" s="16"/>
      <c r="H555" s="17"/>
      <c r="I555" s="18"/>
      <c r="J555" s="19"/>
      <c r="K555" s="14"/>
      <c r="L555" s="17"/>
      <c r="M555" s="19"/>
      <c r="N555" s="20"/>
      <c r="O555" s="19"/>
      <c r="P555" s="21"/>
      <c r="Q555" s="22" t="str">
        <f aca="false">IF(L555="","",IF(M555&lt;&gt;"",M555*L555*100,IF(AND(O555&lt;&gt;"",B555&lt;&gt;""),IFERROR(AVERAGEIF($B$5:$B$1004,B555,$M$5:$M$1004)*L555*100,""),"")))</f>
        <v/>
      </c>
      <c r="R555" s="22" t="str">
        <f aca="false">IF(AND(O555&lt;&gt;"",L555&lt;&gt;""),O555*L555*100,"")</f>
        <v/>
      </c>
      <c r="S555" s="23" t="str">
        <f aca="false">IF(AND(P555&lt;&gt;"",L555&lt;&gt;""),P555*L555*100,"")</f>
        <v/>
      </c>
      <c r="T555" s="24" t="str">
        <f aca="false">IF(AND(Q555&lt;&gt;"",R555&lt;&gt;""),R555-Q555,"")</f>
        <v/>
      </c>
      <c r="U555" s="25" t="str">
        <f aca="false">IF(AND(Q555&lt;&gt;"",Q555&lt;&gt;0,T555&lt;&gt;""),T555/Q555,"")</f>
        <v/>
      </c>
      <c r="V555" s="26" t="str">
        <f aca="false">IF(AND(S555&lt;&gt;"",Q555&lt;&gt;""),S555-Q555,"")</f>
        <v/>
      </c>
      <c r="W555" s="27" t="str">
        <f aca="false">IF(AND(Q555&lt;&gt;"",Q555&lt;&gt;0,V555&lt;&gt;""),V555/Q555,"")</f>
        <v/>
      </c>
      <c r="X555" s="28" t="s">
        <v>37</v>
      </c>
      <c r="Y555" s="29" t="str">
        <f aca="false">IF(AND(O555&lt;&gt;"",M555&lt;&gt;"",O555&gt;M555),CONCATENATE("1 : ",TEXT((O555-M555)/M555,"0.00")),IF(AND(O555&lt;&gt;"",M555&lt;&gt;"",O555&lt;M555),CONCATENATE("-1 : ",TEXT((M555-O555)/M555,"0.00")),"—"))</f>
        <v>—</v>
      </c>
      <c r="Z555" s="30" t="str">
        <f aca="false">IF(AND(P555&lt;&gt;"",M555&lt;&gt;"",P555&gt;M555),CONCATENATE("1 : ",TEXT((P555-M555)/M555,"0.00")),"—")</f>
        <v>—</v>
      </c>
      <c r="AA555" s="31" t="str">
        <f aca="false">IF(AND(C555&lt;&gt;"",E555&lt;&gt;""),E555-C555,"")</f>
        <v/>
      </c>
      <c r="AB555" s="17"/>
      <c r="AC555" s="32"/>
      <c r="AD555" s="33"/>
      <c r="AE555" s="34" t="str">
        <f aca="false">IF(G555&lt;&gt;"",HYPERLINK("https://www.tradingview.com/chart/?symbol="&amp;G555&amp;"&amp;interval=60&amp;from="&amp;(AG555-10*3600)&amp;"&amp;to="&amp;(AG555+50*3600),"📈 1H"),"")</f>
        <v/>
      </c>
      <c r="AF555" s="35" t="str">
        <f aca="false">IF(G555&lt;&gt;"",HYPERLINK("https://www.tradingview.com/chart/?symbol="&amp;G555&amp;"&amp;interval=240&amp;from="&amp;(AG555-10*14400)&amp;"&amp;to="&amp;(AG555+50*14400),"📈 4H"),"")</f>
        <v/>
      </c>
      <c r="AG555" s="36" t="str">
        <f aca="false">IF(C555&lt;&gt;"",INT((C555+IF(D555&lt;&gt;"",D555,0)-DATE(1970,1,1))*86400),"")</f>
        <v/>
      </c>
    </row>
    <row r="556" customFormat="false" ht="19.5" hidden="false" customHeight="true" outlineLevel="0" collapsed="false">
      <c r="A556" s="37" t="n">
        <f aca="false">ROW()-4</f>
        <v>552</v>
      </c>
      <c r="B556" s="38"/>
      <c r="C556" s="39"/>
      <c r="D556" s="40"/>
      <c r="E556" s="39"/>
      <c r="F556" s="40"/>
      <c r="G556" s="41"/>
      <c r="H556" s="42"/>
      <c r="I556" s="43"/>
      <c r="J556" s="44"/>
      <c r="K556" s="39"/>
      <c r="L556" s="42"/>
      <c r="M556" s="44"/>
      <c r="N556" s="45"/>
      <c r="O556" s="44"/>
      <c r="P556" s="46"/>
      <c r="Q556" s="47" t="str">
        <f aca="false">IF(L556="","",IF(M556&lt;&gt;"",M556*L556*100,IF(AND(O556&lt;&gt;"",B556&lt;&gt;""),IFERROR(AVERAGEIF($B$5:$B$1004,B556,$M$5:$M$1004)*L556*100,""),"")))</f>
        <v/>
      </c>
      <c r="R556" s="47" t="str">
        <f aca="false">IF(AND(O556&lt;&gt;"",L556&lt;&gt;""),O556*L556*100,"")</f>
        <v/>
      </c>
      <c r="S556" s="48" t="str">
        <f aca="false">IF(AND(P556&lt;&gt;"",L556&lt;&gt;""),P556*L556*100,"")</f>
        <v/>
      </c>
      <c r="T556" s="49" t="str">
        <f aca="false">IF(AND(Q556&lt;&gt;"",R556&lt;&gt;""),R556-Q556,"")</f>
        <v/>
      </c>
      <c r="U556" s="50" t="str">
        <f aca="false">IF(AND(Q556&lt;&gt;"",Q556&lt;&gt;0,T556&lt;&gt;""),T556/Q556,"")</f>
        <v/>
      </c>
      <c r="V556" s="51" t="str">
        <f aca="false">IF(AND(S556&lt;&gt;"",Q556&lt;&gt;""),S556-Q556,"")</f>
        <v/>
      </c>
      <c r="W556" s="52" t="str">
        <f aca="false">IF(AND(Q556&lt;&gt;"",Q556&lt;&gt;0,V556&lt;&gt;""),V556/Q556,"")</f>
        <v/>
      </c>
      <c r="X556" s="53" t="s">
        <v>37</v>
      </c>
      <c r="Y556" s="54" t="str">
        <f aca="false">IF(AND(O556&lt;&gt;"",M556&lt;&gt;"",O556&gt;M556),CONCATENATE("1 : ",TEXT((O556-M556)/M556,"0.00")),IF(AND(O556&lt;&gt;"",M556&lt;&gt;"",O556&lt;M556),CONCATENATE("-1 : ",TEXT((M556-O556)/M556,"0.00")),"—"))</f>
        <v>—</v>
      </c>
      <c r="Z556" s="55" t="str">
        <f aca="false">IF(AND(P556&lt;&gt;"",M556&lt;&gt;"",P556&gt;M556),CONCATENATE("1 : ",TEXT((P556-M556)/M556,"0.00")),"—")</f>
        <v>—</v>
      </c>
      <c r="AA556" s="56" t="str">
        <f aca="false">IF(AND(C556&lt;&gt;"",E556&lt;&gt;""),E556-C556,"")</f>
        <v/>
      </c>
      <c r="AB556" s="42"/>
      <c r="AC556" s="57"/>
      <c r="AD556" s="58"/>
      <c r="AE556" s="59" t="str">
        <f aca="false">IF(G556&lt;&gt;"",HYPERLINK("https://www.tradingview.com/chart/?symbol="&amp;G556&amp;"&amp;interval=60&amp;from="&amp;(AG556-10*3600)&amp;"&amp;to="&amp;(AG556+50*3600),"📈 1H"),"")</f>
        <v/>
      </c>
      <c r="AF556" s="60" t="str">
        <f aca="false">IF(G556&lt;&gt;"",HYPERLINK("https://www.tradingview.com/chart/?symbol="&amp;G556&amp;"&amp;interval=240&amp;from="&amp;(AG556-10*14400)&amp;"&amp;to="&amp;(AG556+50*14400),"📈 4H"),"")</f>
        <v/>
      </c>
      <c r="AG556" s="36" t="str">
        <f aca="false">IF(C556&lt;&gt;"",INT((C556+IF(D556&lt;&gt;"",D556,0)-DATE(1970,1,1))*86400),"")</f>
        <v/>
      </c>
    </row>
    <row r="557" customFormat="false" ht="19.5" hidden="false" customHeight="true" outlineLevel="0" collapsed="false">
      <c r="A557" s="12" t="n">
        <f aca="false">ROW()-4</f>
        <v>553</v>
      </c>
      <c r="B557" s="13"/>
      <c r="C557" s="14"/>
      <c r="D557" s="15"/>
      <c r="E557" s="14"/>
      <c r="F557" s="15"/>
      <c r="G557" s="16"/>
      <c r="H557" s="17"/>
      <c r="I557" s="18"/>
      <c r="J557" s="19"/>
      <c r="K557" s="14"/>
      <c r="L557" s="17"/>
      <c r="M557" s="19"/>
      <c r="N557" s="20"/>
      <c r="O557" s="19"/>
      <c r="P557" s="21"/>
      <c r="Q557" s="22" t="str">
        <f aca="false">IF(L557="","",IF(M557&lt;&gt;"",M557*L557*100,IF(AND(O557&lt;&gt;"",B557&lt;&gt;""),IFERROR(AVERAGEIF($B$5:$B$1004,B557,$M$5:$M$1004)*L557*100,""),"")))</f>
        <v/>
      </c>
      <c r="R557" s="22" t="str">
        <f aca="false">IF(AND(O557&lt;&gt;"",L557&lt;&gt;""),O557*L557*100,"")</f>
        <v/>
      </c>
      <c r="S557" s="23" t="str">
        <f aca="false">IF(AND(P557&lt;&gt;"",L557&lt;&gt;""),P557*L557*100,"")</f>
        <v/>
      </c>
      <c r="T557" s="24" t="str">
        <f aca="false">IF(AND(Q557&lt;&gt;"",R557&lt;&gt;""),R557-Q557,"")</f>
        <v/>
      </c>
      <c r="U557" s="25" t="str">
        <f aca="false">IF(AND(Q557&lt;&gt;"",Q557&lt;&gt;0,T557&lt;&gt;""),T557/Q557,"")</f>
        <v/>
      </c>
      <c r="V557" s="26" t="str">
        <f aca="false">IF(AND(S557&lt;&gt;"",Q557&lt;&gt;""),S557-Q557,"")</f>
        <v/>
      </c>
      <c r="W557" s="27" t="str">
        <f aca="false">IF(AND(Q557&lt;&gt;"",Q557&lt;&gt;0,V557&lt;&gt;""),V557/Q557,"")</f>
        <v/>
      </c>
      <c r="X557" s="28" t="s">
        <v>37</v>
      </c>
      <c r="Y557" s="29" t="str">
        <f aca="false">IF(AND(O557&lt;&gt;"",M557&lt;&gt;"",O557&gt;M557),CONCATENATE("1 : ",TEXT((O557-M557)/M557,"0.00")),IF(AND(O557&lt;&gt;"",M557&lt;&gt;"",O557&lt;M557),CONCATENATE("-1 : ",TEXT((M557-O557)/M557,"0.00")),"—"))</f>
        <v>—</v>
      </c>
      <c r="Z557" s="30" t="str">
        <f aca="false">IF(AND(P557&lt;&gt;"",M557&lt;&gt;"",P557&gt;M557),CONCATENATE("1 : ",TEXT((P557-M557)/M557,"0.00")),"—")</f>
        <v>—</v>
      </c>
      <c r="AA557" s="31" t="str">
        <f aca="false">IF(AND(C557&lt;&gt;"",E557&lt;&gt;""),E557-C557,"")</f>
        <v/>
      </c>
      <c r="AB557" s="17"/>
      <c r="AC557" s="32"/>
      <c r="AD557" s="33"/>
      <c r="AE557" s="34" t="str">
        <f aca="false">IF(G557&lt;&gt;"",HYPERLINK("https://www.tradingview.com/chart/?symbol="&amp;G557&amp;"&amp;interval=60&amp;from="&amp;(AG557-10*3600)&amp;"&amp;to="&amp;(AG557+50*3600),"📈 1H"),"")</f>
        <v/>
      </c>
      <c r="AF557" s="35" t="str">
        <f aca="false">IF(G557&lt;&gt;"",HYPERLINK("https://www.tradingview.com/chart/?symbol="&amp;G557&amp;"&amp;interval=240&amp;from="&amp;(AG557-10*14400)&amp;"&amp;to="&amp;(AG557+50*14400),"📈 4H"),"")</f>
        <v/>
      </c>
      <c r="AG557" s="36" t="str">
        <f aca="false">IF(C557&lt;&gt;"",INT((C557+IF(D557&lt;&gt;"",D557,0)-DATE(1970,1,1))*86400),"")</f>
        <v/>
      </c>
    </row>
    <row r="558" customFormat="false" ht="19.5" hidden="false" customHeight="true" outlineLevel="0" collapsed="false">
      <c r="A558" s="37" t="n">
        <f aca="false">ROW()-4</f>
        <v>554</v>
      </c>
      <c r="B558" s="38"/>
      <c r="C558" s="39"/>
      <c r="D558" s="40"/>
      <c r="E558" s="39"/>
      <c r="F558" s="40"/>
      <c r="G558" s="41"/>
      <c r="H558" s="42"/>
      <c r="I558" s="43"/>
      <c r="J558" s="44"/>
      <c r="K558" s="39"/>
      <c r="L558" s="42"/>
      <c r="M558" s="44"/>
      <c r="N558" s="45"/>
      <c r="O558" s="44"/>
      <c r="P558" s="46"/>
      <c r="Q558" s="47" t="str">
        <f aca="false">IF(L558="","",IF(M558&lt;&gt;"",M558*L558*100,IF(AND(O558&lt;&gt;"",B558&lt;&gt;""),IFERROR(AVERAGEIF($B$5:$B$1004,B558,$M$5:$M$1004)*L558*100,""),"")))</f>
        <v/>
      </c>
      <c r="R558" s="47" t="str">
        <f aca="false">IF(AND(O558&lt;&gt;"",L558&lt;&gt;""),O558*L558*100,"")</f>
        <v/>
      </c>
      <c r="S558" s="48" t="str">
        <f aca="false">IF(AND(P558&lt;&gt;"",L558&lt;&gt;""),P558*L558*100,"")</f>
        <v/>
      </c>
      <c r="T558" s="49" t="str">
        <f aca="false">IF(AND(Q558&lt;&gt;"",R558&lt;&gt;""),R558-Q558,"")</f>
        <v/>
      </c>
      <c r="U558" s="50" t="str">
        <f aca="false">IF(AND(Q558&lt;&gt;"",Q558&lt;&gt;0,T558&lt;&gt;""),T558/Q558,"")</f>
        <v/>
      </c>
      <c r="V558" s="51" t="str">
        <f aca="false">IF(AND(S558&lt;&gt;"",Q558&lt;&gt;""),S558-Q558,"")</f>
        <v/>
      </c>
      <c r="W558" s="52" t="str">
        <f aca="false">IF(AND(Q558&lt;&gt;"",Q558&lt;&gt;0,V558&lt;&gt;""),V558/Q558,"")</f>
        <v/>
      </c>
      <c r="X558" s="53" t="s">
        <v>37</v>
      </c>
      <c r="Y558" s="54" t="str">
        <f aca="false">IF(AND(O558&lt;&gt;"",M558&lt;&gt;"",O558&gt;M558),CONCATENATE("1 : ",TEXT((O558-M558)/M558,"0.00")),IF(AND(O558&lt;&gt;"",M558&lt;&gt;"",O558&lt;M558),CONCATENATE("-1 : ",TEXT((M558-O558)/M558,"0.00")),"—"))</f>
        <v>—</v>
      </c>
      <c r="Z558" s="55" t="str">
        <f aca="false">IF(AND(P558&lt;&gt;"",M558&lt;&gt;"",P558&gt;M558),CONCATENATE("1 : ",TEXT((P558-M558)/M558,"0.00")),"—")</f>
        <v>—</v>
      </c>
      <c r="AA558" s="56" t="str">
        <f aca="false">IF(AND(C558&lt;&gt;"",E558&lt;&gt;""),E558-C558,"")</f>
        <v/>
      </c>
      <c r="AB558" s="42"/>
      <c r="AC558" s="57"/>
      <c r="AD558" s="58"/>
      <c r="AE558" s="59" t="str">
        <f aca="false">IF(G558&lt;&gt;"",HYPERLINK("https://www.tradingview.com/chart/?symbol="&amp;G558&amp;"&amp;interval=60&amp;from="&amp;(AG558-10*3600)&amp;"&amp;to="&amp;(AG558+50*3600),"📈 1H"),"")</f>
        <v/>
      </c>
      <c r="AF558" s="60" t="str">
        <f aca="false">IF(G558&lt;&gt;"",HYPERLINK("https://www.tradingview.com/chart/?symbol="&amp;G558&amp;"&amp;interval=240&amp;from="&amp;(AG558-10*14400)&amp;"&amp;to="&amp;(AG558+50*14400),"📈 4H"),"")</f>
        <v/>
      </c>
      <c r="AG558" s="36" t="str">
        <f aca="false">IF(C558&lt;&gt;"",INT((C558+IF(D558&lt;&gt;"",D558,0)-DATE(1970,1,1))*86400),"")</f>
        <v/>
      </c>
    </row>
    <row r="559" customFormat="false" ht="19.5" hidden="false" customHeight="true" outlineLevel="0" collapsed="false">
      <c r="A559" s="12" t="n">
        <f aca="false">ROW()-4</f>
        <v>555</v>
      </c>
      <c r="B559" s="13"/>
      <c r="C559" s="14"/>
      <c r="D559" s="15"/>
      <c r="E559" s="14"/>
      <c r="F559" s="15"/>
      <c r="G559" s="16"/>
      <c r="H559" s="17"/>
      <c r="I559" s="18"/>
      <c r="J559" s="19"/>
      <c r="K559" s="14"/>
      <c r="L559" s="17"/>
      <c r="M559" s="19"/>
      <c r="N559" s="20"/>
      <c r="O559" s="19"/>
      <c r="P559" s="21"/>
      <c r="Q559" s="22" t="str">
        <f aca="false">IF(L559="","",IF(M559&lt;&gt;"",M559*L559*100,IF(AND(O559&lt;&gt;"",B559&lt;&gt;""),IFERROR(AVERAGEIF($B$5:$B$1004,B559,$M$5:$M$1004)*L559*100,""),"")))</f>
        <v/>
      </c>
      <c r="R559" s="22" t="str">
        <f aca="false">IF(AND(O559&lt;&gt;"",L559&lt;&gt;""),O559*L559*100,"")</f>
        <v/>
      </c>
      <c r="S559" s="23" t="str">
        <f aca="false">IF(AND(P559&lt;&gt;"",L559&lt;&gt;""),P559*L559*100,"")</f>
        <v/>
      </c>
      <c r="T559" s="24" t="str">
        <f aca="false">IF(AND(Q559&lt;&gt;"",R559&lt;&gt;""),R559-Q559,"")</f>
        <v/>
      </c>
      <c r="U559" s="25" t="str">
        <f aca="false">IF(AND(Q559&lt;&gt;"",Q559&lt;&gt;0,T559&lt;&gt;""),T559/Q559,"")</f>
        <v/>
      </c>
      <c r="V559" s="26" t="str">
        <f aca="false">IF(AND(S559&lt;&gt;"",Q559&lt;&gt;""),S559-Q559,"")</f>
        <v/>
      </c>
      <c r="W559" s="27" t="str">
        <f aca="false">IF(AND(Q559&lt;&gt;"",Q559&lt;&gt;0,V559&lt;&gt;""),V559/Q559,"")</f>
        <v/>
      </c>
      <c r="X559" s="28" t="s">
        <v>37</v>
      </c>
      <c r="Y559" s="29" t="str">
        <f aca="false">IF(AND(O559&lt;&gt;"",M559&lt;&gt;"",O559&gt;M559),CONCATENATE("1 : ",TEXT((O559-M559)/M559,"0.00")),IF(AND(O559&lt;&gt;"",M559&lt;&gt;"",O559&lt;M559),CONCATENATE("-1 : ",TEXT((M559-O559)/M559,"0.00")),"—"))</f>
        <v>—</v>
      </c>
      <c r="Z559" s="30" t="str">
        <f aca="false">IF(AND(P559&lt;&gt;"",M559&lt;&gt;"",P559&gt;M559),CONCATENATE("1 : ",TEXT((P559-M559)/M559,"0.00")),"—")</f>
        <v>—</v>
      </c>
      <c r="AA559" s="31" t="str">
        <f aca="false">IF(AND(C559&lt;&gt;"",E559&lt;&gt;""),E559-C559,"")</f>
        <v/>
      </c>
      <c r="AB559" s="17"/>
      <c r="AC559" s="32"/>
      <c r="AD559" s="33"/>
      <c r="AE559" s="34" t="str">
        <f aca="false">IF(G559&lt;&gt;"",HYPERLINK("https://www.tradingview.com/chart/?symbol="&amp;G559&amp;"&amp;interval=60&amp;from="&amp;(AG559-10*3600)&amp;"&amp;to="&amp;(AG559+50*3600),"📈 1H"),"")</f>
        <v/>
      </c>
      <c r="AF559" s="35" t="str">
        <f aca="false">IF(G559&lt;&gt;"",HYPERLINK("https://www.tradingview.com/chart/?symbol="&amp;G559&amp;"&amp;interval=240&amp;from="&amp;(AG559-10*14400)&amp;"&amp;to="&amp;(AG559+50*14400),"📈 4H"),"")</f>
        <v/>
      </c>
      <c r="AG559" s="36" t="str">
        <f aca="false">IF(C559&lt;&gt;"",INT((C559+IF(D559&lt;&gt;"",D559,0)-DATE(1970,1,1))*86400),"")</f>
        <v/>
      </c>
    </row>
    <row r="560" customFormat="false" ht="19.5" hidden="false" customHeight="true" outlineLevel="0" collapsed="false">
      <c r="A560" s="37" t="n">
        <f aca="false">ROW()-4</f>
        <v>556</v>
      </c>
      <c r="B560" s="38"/>
      <c r="C560" s="39"/>
      <c r="D560" s="40"/>
      <c r="E560" s="39"/>
      <c r="F560" s="40"/>
      <c r="G560" s="41"/>
      <c r="H560" s="42"/>
      <c r="I560" s="43"/>
      <c r="J560" s="44"/>
      <c r="K560" s="39"/>
      <c r="L560" s="42"/>
      <c r="M560" s="44"/>
      <c r="N560" s="45"/>
      <c r="O560" s="44"/>
      <c r="P560" s="46"/>
      <c r="Q560" s="47" t="str">
        <f aca="false">IF(L560="","",IF(M560&lt;&gt;"",M560*L560*100,IF(AND(O560&lt;&gt;"",B560&lt;&gt;""),IFERROR(AVERAGEIF($B$5:$B$1004,B560,$M$5:$M$1004)*L560*100,""),"")))</f>
        <v/>
      </c>
      <c r="R560" s="47" t="str">
        <f aca="false">IF(AND(O560&lt;&gt;"",L560&lt;&gt;""),O560*L560*100,"")</f>
        <v/>
      </c>
      <c r="S560" s="48" t="str">
        <f aca="false">IF(AND(P560&lt;&gt;"",L560&lt;&gt;""),P560*L560*100,"")</f>
        <v/>
      </c>
      <c r="T560" s="49" t="str">
        <f aca="false">IF(AND(Q560&lt;&gt;"",R560&lt;&gt;""),R560-Q560,"")</f>
        <v/>
      </c>
      <c r="U560" s="50" t="str">
        <f aca="false">IF(AND(Q560&lt;&gt;"",Q560&lt;&gt;0,T560&lt;&gt;""),T560/Q560,"")</f>
        <v/>
      </c>
      <c r="V560" s="51" t="str">
        <f aca="false">IF(AND(S560&lt;&gt;"",Q560&lt;&gt;""),S560-Q560,"")</f>
        <v/>
      </c>
      <c r="W560" s="52" t="str">
        <f aca="false">IF(AND(Q560&lt;&gt;"",Q560&lt;&gt;0,V560&lt;&gt;""),V560/Q560,"")</f>
        <v/>
      </c>
      <c r="X560" s="53" t="s">
        <v>37</v>
      </c>
      <c r="Y560" s="54" t="str">
        <f aca="false">IF(AND(O560&lt;&gt;"",M560&lt;&gt;"",O560&gt;M560),CONCATENATE("1 : ",TEXT((O560-M560)/M560,"0.00")),IF(AND(O560&lt;&gt;"",M560&lt;&gt;"",O560&lt;M560),CONCATENATE("-1 : ",TEXT((M560-O560)/M560,"0.00")),"—"))</f>
        <v>—</v>
      </c>
      <c r="Z560" s="55" t="str">
        <f aca="false">IF(AND(P560&lt;&gt;"",M560&lt;&gt;"",P560&gt;M560),CONCATENATE("1 : ",TEXT((P560-M560)/M560,"0.00")),"—")</f>
        <v>—</v>
      </c>
      <c r="AA560" s="56" t="str">
        <f aca="false">IF(AND(C560&lt;&gt;"",E560&lt;&gt;""),E560-C560,"")</f>
        <v/>
      </c>
      <c r="AB560" s="42"/>
      <c r="AC560" s="57"/>
      <c r="AD560" s="58"/>
      <c r="AE560" s="59" t="str">
        <f aca="false">IF(G560&lt;&gt;"",HYPERLINK("https://www.tradingview.com/chart/?symbol="&amp;G560&amp;"&amp;interval=60&amp;from="&amp;(AG560-10*3600)&amp;"&amp;to="&amp;(AG560+50*3600),"📈 1H"),"")</f>
        <v/>
      </c>
      <c r="AF560" s="60" t="str">
        <f aca="false">IF(G560&lt;&gt;"",HYPERLINK("https://www.tradingview.com/chart/?symbol="&amp;G560&amp;"&amp;interval=240&amp;from="&amp;(AG560-10*14400)&amp;"&amp;to="&amp;(AG560+50*14400),"📈 4H"),"")</f>
        <v/>
      </c>
      <c r="AG560" s="36" t="str">
        <f aca="false">IF(C560&lt;&gt;"",INT((C560+IF(D560&lt;&gt;"",D560,0)-DATE(1970,1,1))*86400),"")</f>
        <v/>
      </c>
    </row>
    <row r="561" customFormat="false" ht="19.5" hidden="false" customHeight="true" outlineLevel="0" collapsed="false">
      <c r="A561" s="12" t="n">
        <f aca="false">ROW()-4</f>
        <v>557</v>
      </c>
      <c r="B561" s="13"/>
      <c r="C561" s="14"/>
      <c r="D561" s="15"/>
      <c r="E561" s="14"/>
      <c r="F561" s="15"/>
      <c r="G561" s="16"/>
      <c r="H561" s="17"/>
      <c r="I561" s="18"/>
      <c r="J561" s="19"/>
      <c r="K561" s="14"/>
      <c r="L561" s="17"/>
      <c r="M561" s="19"/>
      <c r="N561" s="20"/>
      <c r="O561" s="19"/>
      <c r="P561" s="21"/>
      <c r="Q561" s="22" t="str">
        <f aca="false">IF(L561="","",IF(M561&lt;&gt;"",M561*L561*100,IF(AND(O561&lt;&gt;"",B561&lt;&gt;""),IFERROR(AVERAGEIF($B$5:$B$1004,B561,$M$5:$M$1004)*L561*100,""),"")))</f>
        <v/>
      </c>
      <c r="R561" s="22" t="str">
        <f aca="false">IF(AND(O561&lt;&gt;"",L561&lt;&gt;""),O561*L561*100,"")</f>
        <v/>
      </c>
      <c r="S561" s="23" t="str">
        <f aca="false">IF(AND(P561&lt;&gt;"",L561&lt;&gt;""),P561*L561*100,"")</f>
        <v/>
      </c>
      <c r="T561" s="24" t="str">
        <f aca="false">IF(AND(Q561&lt;&gt;"",R561&lt;&gt;""),R561-Q561,"")</f>
        <v/>
      </c>
      <c r="U561" s="25" t="str">
        <f aca="false">IF(AND(Q561&lt;&gt;"",Q561&lt;&gt;0,T561&lt;&gt;""),T561/Q561,"")</f>
        <v/>
      </c>
      <c r="V561" s="26" t="str">
        <f aca="false">IF(AND(S561&lt;&gt;"",Q561&lt;&gt;""),S561-Q561,"")</f>
        <v/>
      </c>
      <c r="W561" s="27" t="str">
        <f aca="false">IF(AND(Q561&lt;&gt;"",Q561&lt;&gt;0,V561&lt;&gt;""),V561/Q561,"")</f>
        <v/>
      </c>
      <c r="X561" s="28" t="s">
        <v>37</v>
      </c>
      <c r="Y561" s="29" t="str">
        <f aca="false">IF(AND(O561&lt;&gt;"",M561&lt;&gt;"",O561&gt;M561),CONCATENATE("1 : ",TEXT((O561-M561)/M561,"0.00")),IF(AND(O561&lt;&gt;"",M561&lt;&gt;"",O561&lt;M561),CONCATENATE("-1 : ",TEXT((M561-O561)/M561,"0.00")),"—"))</f>
        <v>—</v>
      </c>
      <c r="Z561" s="30" t="str">
        <f aca="false">IF(AND(P561&lt;&gt;"",M561&lt;&gt;"",P561&gt;M561),CONCATENATE("1 : ",TEXT((P561-M561)/M561,"0.00")),"—")</f>
        <v>—</v>
      </c>
      <c r="AA561" s="31" t="str">
        <f aca="false">IF(AND(C561&lt;&gt;"",E561&lt;&gt;""),E561-C561,"")</f>
        <v/>
      </c>
      <c r="AB561" s="17"/>
      <c r="AC561" s="32"/>
      <c r="AD561" s="33"/>
      <c r="AE561" s="34" t="str">
        <f aca="false">IF(G561&lt;&gt;"",HYPERLINK("https://www.tradingview.com/chart/?symbol="&amp;G561&amp;"&amp;interval=60&amp;from="&amp;(AG561-10*3600)&amp;"&amp;to="&amp;(AG561+50*3600),"📈 1H"),"")</f>
        <v/>
      </c>
      <c r="AF561" s="35" t="str">
        <f aca="false">IF(G561&lt;&gt;"",HYPERLINK("https://www.tradingview.com/chart/?symbol="&amp;G561&amp;"&amp;interval=240&amp;from="&amp;(AG561-10*14400)&amp;"&amp;to="&amp;(AG561+50*14400),"📈 4H"),"")</f>
        <v/>
      </c>
      <c r="AG561" s="36" t="str">
        <f aca="false">IF(C561&lt;&gt;"",INT((C561+IF(D561&lt;&gt;"",D561,0)-DATE(1970,1,1))*86400),"")</f>
        <v/>
      </c>
    </row>
    <row r="562" customFormat="false" ht="19.5" hidden="false" customHeight="true" outlineLevel="0" collapsed="false">
      <c r="A562" s="37" t="n">
        <f aca="false">ROW()-4</f>
        <v>558</v>
      </c>
      <c r="B562" s="38"/>
      <c r="C562" s="39"/>
      <c r="D562" s="40"/>
      <c r="E562" s="39"/>
      <c r="F562" s="40"/>
      <c r="G562" s="41"/>
      <c r="H562" s="42"/>
      <c r="I562" s="43"/>
      <c r="J562" s="44"/>
      <c r="K562" s="39"/>
      <c r="L562" s="42"/>
      <c r="M562" s="44"/>
      <c r="N562" s="45"/>
      <c r="O562" s="44"/>
      <c r="P562" s="46"/>
      <c r="Q562" s="47" t="str">
        <f aca="false">IF(L562="","",IF(M562&lt;&gt;"",M562*L562*100,IF(AND(O562&lt;&gt;"",B562&lt;&gt;""),IFERROR(AVERAGEIF($B$5:$B$1004,B562,$M$5:$M$1004)*L562*100,""),"")))</f>
        <v/>
      </c>
      <c r="R562" s="47" t="str">
        <f aca="false">IF(AND(O562&lt;&gt;"",L562&lt;&gt;""),O562*L562*100,"")</f>
        <v/>
      </c>
      <c r="S562" s="48" t="str">
        <f aca="false">IF(AND(P562&lt;&gt;"",L562&lt;&gt;""),P562*L562*100,"")</f>
        <v/>
      </c>
      <c r="T562" s="49" t="str">
        <f aca="false">IF(AND(Q562&lt;&gt;"",R562&lt;&gt;""),R562-Q562,"")</f>
        <v/>
      </c>
      <c r="U562" s="50" t="str">
        <f aca="false">IF(AND(Q562&lt;&gt;"",Q562&lt;&gt;0,T562&lt;&gt;""),T562/Q562,"")</f>
        <v/>
      </c>
      <c r="V562" s="51" t="str">
        <f aca="false">IF(AND(S562&lt;&gt;"",Q562&lt;&gt;""),S562-Q562,"")</f>
        <v/>
      </c>
      <c r="W562" s="52" t="str">
        <f aca="false">IF(AND(Q562&lt;&gt;"",Q562&lt;&gt;0,V562&lt;&gt;""),V562/Q562,"")</f>
        <v/>
      </c>
      <c r="X562" s="53" t="s">
        <v>37</v>
      </c>
      <c r="Y562" s="54" t="str">
        <f aca="false">IF(AND(O562&lt;&gt;"",M562&lt;&gt;"",O562&gt;M562),CONCATENATE("1 : ",TEXT((O562-M562)/M562,"0.00")),IF(AND(O562&lt;&gt;"",M562&lt;&gt;"",O562&lt;M562),CONCATENATE("-1 : ",TEXT((M562-O562)/M562,"0.00")),"—"))</f>
        <v>—</v>
      </c>
      <c r="Z562" s="55" t="str">
        <f aca="false">IF(AND(P562&lt;&gt;"",M562&lt;&gt;"",P562&gt;M562),CONCATENATE("1 : ",TEXT((P562-M562)/M562,"0.00")),"—")</f>
        <v>—</v>
      </c>
      <c r="AA562" s="56" t="str">
        <f aca="false">IF(AND(C562&lt;&gt;"",E562&lt;&gt;""),E562-C562,"")</f>
        <v/>
      </c>
      <c r="AB562" s="42"/>
      <c r="AC562" s="57"/>
      <c r="AD562" s="58"/>
      <c r="AE562" s="59" t="str">
        <f aca="false">IF(G562&lt;&gt;"",HYPERLINK("https://www.tradingview.com/chart/?symbol="&amp;G562&amp;"&amp;interval=60&amp;from="&amp;(AG562-10*3600)&amp;"&amp;to="&amp;(AG562+50*3600),"📈 1H"),"")</f>
        <v/>
      </c>
      <c r="AF562" s="60" t="str">
        <f aca="false">IF(G562&lt;&gt;"",HYPERLINK("https://www.tradingview.com/chart/?symbol="&amp;G562&amp;"&amp;interval=240&amp;from="&amp;(AG562-10*14400)&amp;"&amp;to="&amp;(AG562+50*14400),"📈 4H"),"")</f>
        <v/>
      </c>
      <c r="AG562" s="36" t="str">
        <f aca="false">IF(C562&lt;&gt;"",INT((C562+IF(D562&lt;&gt;"",D562,0)-DATE(1970,1,1))*86400),"")</f>
        <v/>
      </c>
    </row>
    <row r="563" customFormat="false" ht="19.5" hidden="false" customHeight="true" outlineLevel="0" collapsed="false">
      <c r="A563" s="12" t="n">
        <f aca="false">ROW()-4</f>
        <v>559</v>
      </c>
      <c r="B563" s="13"/>
      <c r="C563" s="14"/>
      <c r="D563" s="15"/>
      <c r="E563" s="14"/>
      <c r="F563" s="15"/>
      <c r="G563" s="16"/>
      <c r="H563" s="17"/>
      <c r="I563" s="18"/>
      <c r="J563" s="19"/>
      <c r="K563" s="14"/>
      <c r="L563" s="17"/>
      <c r="M563" s="19"/>
      <c r="N563" s="20"/>
      <c r="O563" s="19"/>
      <c r="P563" s="21"/>
      <c r="Q563" s="22" t="str">
        <f aca="false">IF(L563="","",IF(M563&lt;&gt;"",M563*L563*100,IF(AND(O563&lt;&gt;"",B563&lt;&gt;""),IFERROR(AVERAGEIF($B$5:$B$1004,B563,$M$5:$M$1004)*L563*100,""),"")))</f>
        <v/>
      </c>
      <c r="R563" s="22" t="str">
        <f aca="false">IF(AND(O563&lt;&gt;"",L563&lt;&gt;""),O563*L563*100,"")</f>
        <v/>
      </c>
      <c r="S563" s="23" t="str">
        <f aca="false">IF(AND(P563&lt;&gt;"",L563&lt;&gt;""),P563*L563*100,"")</f>
        <v/>
      </c>
      <c r="T563" s="24" t="str">
        <f aca="false">IF(AND(Q563&lt;&gt;"",R563&lt;&gt;""),R563-Q563,"")</f>
        <v/>
      </c>
      <c r="U563" s="25" t="str">
        <f aca="false">IF(AND(Q563&lt;&gt;"",Q563&lt;&gt;0,T563&lt;&gt;""),T563/Q563,"")</f>
        <v/>
      </c>
      <c r="V563" s="26" t="str">
        <f aca="false">IF(AND(S563&lt;&gt;"",Q563&lt;&gt;""),S563-Q563,"")</f>
        <v/>
      </c>
      <c r="W563" s="27" t="str">
        <f aca="false">IF(AND(Q563&lt;&gt;"",Q563&lt;&gt;0,V563&lt;&gt;""),V563/Q563,"")</f>
        <v/>
      </c>
      <c r="X563" s="28" t="s">
        <v>37</v>
      </c>
      <c r="Y563" s="29" t="str">
        <f aca="false">IF(AND(O563&lt;&gt;"",M563&lt;&gt;"",O563&gt;M563),CONCATENATE("1 : ",TEXT((O563-M563)/M563,"0.00")),IF(AND(O563&lt;&gt;"",M563&lt;&gt;"",O563&lt;M563),CONCATENATE("-1 : ",TEXT((M563-O563)/M563,"0.00")),"—"))</f>
        <v>—</v>
      </c>
      <c r="Z563" s="30" t="str">
        <f aca="false">IF(AND(P563&lt;&gt;"",M563&lt;&gt;"",P563&gt;M563),CONCATENATE("1 : ",TEXT((P563-M563)/M563,"0.00")),"—")</f>
        <v>—</v>
      </c>
      <c r="AA563" s="31" t="str">
        <f aca="false">IF(AND(C563&lt;&gt;"",E563&lt;&gt;""),E563-C563,"")</f>
        <v/>
      </c>
      <c r="AB563" s="17"/>
      <c r="AC563" s="32"/>
      <c r="AD563" s="33"/>
      <c r="AE563" s="34" t="str">
        <f aca="false">IF(G563&lt;&gt;"",HYPERLINK("https://www.tradingview.com/chart/?symbol="&amp;G563&amp;"&amp;interval=60&amp;from="&amp;(AG563-10*3600)&amp;"&amp;to="&amp;(AG563+50*3600),"📈 1H"),"")</f>
        <v/>
      </c>
      <c r="AF563" s="35" t="str">
        <f aca="false">IF(G563&lt;&gt;"",HYPERLINK("https://www.tradingview.com/chart/?symbol="&amp;G563&amp;"&amp;interval=240&amp;from="&amp;(AG563-10*14400)&amp;"&amp;to="&amp;(AG563+50*14400),"📈 4H"),"")</f>
        <v/>
      </c>
      <c r="AG563" s="36" t="str">
        <f aca="false">IF(C563&lt;&gt;"",INT((C563+IF(D563&lt;&gt;"",D563,0)-DATE(1970,1,1))*86400),"")</f>
        <v/>
      </c>
    </row>
    <row r="564" customFormat="false" ht="19.5" hidden="false" customHeight="true" outlineLevel="0" collapsed="false">
      <c r="A564" s="37" t="n">
        <f aca="false">ROW()-4</f>
        <v>560</v>
      </c>
      <c r="B564" s="38"/>
      <c r="C564" s="39"/>
      <c r="D564" s="40"/>
      <c r="E564" s="39"/>
      <c r="F564" s="40"/>
      <c r="G564" s="41"/>
      <c r="H564" s="42"/>
      <c r="I564" s="43"/>
      <c r="J564" s="44"/>
      <c r="K564" s="39"/>
      <c r="L564" s="42"/>
      <c r="M564" s="44"/>
      <c r="N564" s="45"/>
      <c r="O564" s="44"/>
      <c r="P564" s="46"/>
      <c r="Q564" s="47" t="str">
        <f aca="false">IF(L564="","",IF(M564&lt;&gt;"",M564*L564*100,IF(AND(O564&lt;&gt;"",B564&lt;&gt;""),IFERROR(AVERAGEIF($B$5:$B$1004,B564,$M$5:$M$1004)*L564*100,""),"")))</f>
        <v/>
      </c>
      <c r="R564" s="47" t="str">
        <f aca="false">IF(AND(O564&lt;&gt;"",L564&lt;&gt;""),O564*L564*100,"")</f>
        <v/>
      </c>
      <c r="S564" s="48" t="str">
        <f aca="false">IF(AND(P564&lt;&gt;"",L564&lt;&gt;""),P564*L564*100,"")</f>
        <v/>
      </c>
      <c r="T564" s="49" t="str">
        <f aca="false">IF(AND(Q564&lt;&gt;"",R564&lt;&gt;""),R564-Q564,"")</f>
        <v/>
      </c>
      <c r="U564" s="50" t="str">
        <f aca="false">IF(AND(Q564&lt;&gt;"",Q564&lt;&gt;0,T564&lt;&gt;""),T564/Q564,"")</f>
        <v/>
      </c>
      <c r="V564" s="51" t="str">
        <f aca="false">IF(AND(S564&lt;&gt;"",Q564&lt;&gt;""),S564-Q564,"")</f>
        <v/>
      </c>
      <c r="W564" s="52" t="str">
        <f aca="false">IF(AND(Q564&lt;&gt;"",Q564&lt;&gt;0,V564&lt;&gt;""),V564/Q564,"")</f>
        <v/>
      </c>
      <c r="X564" s="53" t="s">
        <v>37</v>
      </c>
      <c r="Y564" s="54" t="str">
        <f aca="false">IF(AND(O564&lt;&gt;"",M564&lt;&gt;"",O564&gt;M564),CONCATENATE("1 : ",TEXT((O564-M564)/M564,"0.00")),IF(AND(O564&lt;&gt;"",M564&lt;&gt;"",O564&lt;M564),CONCATENATE("-1 : ",TEXT((M564-O564)/M564,"0.00")),"—"))</f>
        <v>—</v>
      </c>
      <c r="Z564" s="55" t="str">
        <f aca="false">IF(AND(P564&lt;&gt;"",M564&lt;&gt;"",P564&gt;M564),CONCATENATE("1 : ",TEXT((P564-M564)/M564,"0.00")),"—")</f>
        <v>—</v>
      </c>
      <c r="AA564" s="56" t="str">
        <f aca="false">IF(AND(C564&lt;&gt;"",E564&lt;&gt;""),E564-C564,"")</f>
        <v/>
      </c>
      <c r="AB564" s="42"/>
      <c r="AC564" s="57"/>
      <c r="AD564" s="58"/>
      <c r="AE564" s="59" t="str">
        <f aca="false">IF(G564&lt;&gt;"",HYPERLINK("https://www.tradingview.com/chart/?symbol="&amp;G564&amp;"&amp;interval=60&amp;from="&amp;(AG564-10*3600)&amp;"&amp;to="&amp;(AG564+50*3600),"📈 1H"),"")</f>
        <v/>
      </c>
      <c r="AF564" s="60" t="str">
        <f aca="false">IF(G564&lt;&gt;"",HYPERLINK("https://www.tradingview.com/chart/?symbol="&amp;G564&amp;"&amp;interval=240&amp;from="&amp;(AG564-10*14400)&amp;"&amp;to="&amp;(AG564+50*14400),"📈 4H"),"")</f>
        <v/>
      </c>
      <c r="AG564" s="36" t="str">
        <f aca="false">IF(C564&lt;&gt;"",INT((C564+IF(D564&lt;&gt;"",D564,0)-DATE(1970,1,1))*86400),"")</f>
        <v/>
      </c>
    </row>
    <row r="565" customFormat="false" ht="19.5" hidden="false" customHeight="true" outlineLevel="0" collapsed="false">
      <c r="A565" s="12" t="n">
        <f aca="false">ROW()-4</f>
        <v>561</v>
      </c>
      <c r="B565" s="13"/>
      <c r="C565" s="14"/>
      <c r="D565" s="15"/>
      <c r="E565" s="14"/>
      <c r="F565" s="15"/>
      <c r="G565" s="16"/>
      <c r="H565" s="17"/>
      <c r="I565" s="18"/>
      <c r="J565" s="19"/>
      <c r="K565" s="14"/>
      <c r="L565" s="17"/>
      <c r="M565" s="19"/>
      <c r="N565" s="20"/>
      <c r="O565" s="19"/>
      <c r="P565" s="21"/>
      <c r="Q565" s="22" t="str">
        <f aca="false">IF(L565="","",IF(M565&lt;&gt;"",M565*L565*100,IF(AND(O565&lt;&gt;"",B565&lt;&gt;""),IFERROR(AVERAGEIF($B$5:$B$1004,B565,$M$5:$M$1004)*L565*100,""),"")))</f>
        <v/>
      </c>
      <c r="R565" s="22" t="str">
        <f aca="false">IF(AND(O565&lt;&gt;"",L565&lt;&gt;""),O565*L565*100,"")</f>
        <v/>
      </c>
      <c r="S565" s="23" t="str">
        <f aca="false">IF(AND(P565&lt;&gt;"",L565&lt;&gt;""),P565*L565*100,"")</f>
        <v/>
      </c>
      <c r="T565" s="24" t="str">
        <f aca="false">IF(AND(Q565&lt;&gt;"",R565&lt;&gt;""),R565-Q565,"")</f>
        <v/>
      </c>
      <c r="U565" s="25" t="str">
        <f aca="false">IF(AND(Q565&lt;&gt;"",Q565&lt;&gt;0,T565&lt;&gt;""),T565/Q565,"")</f>
        <v/>
      </c>
      <c r="V565" s="26" t="str">
        <f aca="false">IF(AND(S565&lt;&gt;"",Q565&lt;&gt;""),S565-Q565,"")</f>
        <v/>
      </c>
      <c r="W565" s="27" t="str">
        <f aca="false">IF(AND(Q565&lt;&gt;"",Q565&lt;&gt;0,V565&lt;&gt;""),V565/Q565,"")</f>
        <v/>
      </c>
      <c r="X565" s="28" t="s">
        <v>37</v>
      </c>
      <c r="Y565" s="29" t="str">
        <f aca="false">IF(AND(O565&lt;&gt;"",M565&lt;&gt;"",O565&gt;M565),CONCATENATE("1 : ",TEXT((O565-M565)/M565,"0.00")),IF(AND(O565&lt;&gt;"",M565&lt;&gt;"",O565&lt;M565),CONCATENATE("-1 : ",TEXT((M565-O565)/M565,"0.00")),"—"))</f>
        <v>—</v>
      </c>
      <c r="Z565" s="30" t="str">
        <f aca="false">IF(AND(P565&lt;&gt;"",M565&lt;&gt;"",P565&gt;M565),CONCATENATE("1 : ",TEXT((P565-M565)/M565,"0.00")),"—")</f>
        <v>—</v>
      </c>
      <c r="AA565" s="31" t="str">
        <f aca="false">IF(AND(C565&lt;&gt;"",E565&lt;&gt;""),E565-C565,"")</f>
        <v/>
      </c>
      <c r="AB565" s="17"/>
      <c r="AC565" s="32"/>
      <c r="AD565" s="33"/>
      <c r="AE565" s="34" t="str">
        <f aca="false">IF(G565&lt;&gt;"",HYPERLINK("https://www.tradingview.com/chart/?symbol="&amp;G565&amp;"&amp;interval=60&amp;from="&amp;(AG565-10*3600)&amp;"&amp;to="&amp;(AG565+50*3600),"📈 1H"),"")</f>
        <v/>
      </c>
      <c r="AF565" s="35" t="str">
        <f aca="false">IF(G565&lt;&gt;"",HYPERLINK("https://www.tradingview.com/chart/?symbol="&amp;G565&amp;"&amp;interval=240&amp;from="&amp;(AG565-10*14400)&amp;"&amp;to="&amp;(AG565+50*14400),"📈 4H"),"")</f>
        <v/>
      </c>
      <c r="AG565" s="36" t="str">
        <f aca="false">IF(C565&lt;&gt;"",INT((C565+IF(D565&lt;&gt;"",D565,0)-DATE(1970,1,1))*86400),"")</f>
        <v/>
      </c>
    </row>
    <row r="566" customFormat="false" ht="19.5" hidden="false" customHeight="true" outlineLevel="0" collapsed="false">
      <c r="A566" s="37" t="n">
        <f aca="false">ROW()-4</f>
        <v>562</v>
      </c>
      <c r="B566" s="38"/>
      <c r="C566" s="39"/>
      <c r="D566" s="40"/>
      <c r="E566" s="39"/>
      <c r="F566" s="40"/>
      <c r="G566" s="41"/>
      <c r="H566" s="42"/>
      <c r="I566" s="43"/>
      <c r="J566" s="44"/>
      <c r="K566" s="39"/>
      <c r="L566" s="42"/>
      <c r="M566" s="44"/>
      <c r="N566" s="45"/>
      <c r="O566" s="44"/>
      <c r="P566" s="46"/>
      <c r="Q566" s="47" t="str">
        <f aca="false">IF(L566="","",IF(M566&lt;&gt;"",M566*L566*100,IF(AND(O566&lt;&gt;"",B566&lt;&gt;""),IFERROR(AVERAGEIF($B$5:$B$1004,B566,$M$5:$M$1004)*L566*100,""),"")))</f>
        <v/>
      </c>
      <c r="R566" s="47" t="str">
        <f aca="false">IF(AND(O566&lt;&gt;"",L566&lt;&gt;""),O566*L566*100,"")</f>
        <v/>
      </c>
      <c r="S566" s="48" t="str">
        <f aca="false">IF(AND(P566&lt;&gt;"",L566&lt;&gt;""),P566*L566*100,"")</f>
        <v/>
      </c>
      <c r="T566" s="49" t="str">
        <f aca="false">IF(AND(Q566&lt;&gt;"",R566&lt;&gt;""),R566-Q566,"")</f>
        <v/>
      </c>
      <c r="U566" s="50" t="str">
        <f aca="false">IF(AND(Q566&lt;&gt;"",Q566&lt;&gt;0,T566&lt;&gt;""),T566/Q566,"")</f>
        <v/>
      </c>
      <c r="V566" s="51" t="str">
        <f aca="false">IF(AND(S566&lt;&gt;"",Q566&lt;&gt;""),S566-Q566,"")</f>
        <v/>
      </c>
      <c r="W566" s="52" t="str">
        <f aca="false">IF(AND(Q566&lt;&gt;"",Q566&lt;&gt;0,V566&lt;&gt;""),V566/Q566,"")</f>
        <v/>
      </c>
      <c r="X566" s="53" t="s">
        <v>37</v>
      </c>
      <c r="Y566" s="54" t="str">
        <f aca="false">IF(AND(O566&lt;&gt;"",M566&lt;&gt;"",O566&gt;M566),CONCATENATE("1 : ",TEXT((O566-M566)/M566,"0.00")),IF(AND(O566&lt;&gt;"",M566&lt;&gt;"",O566&lt;M566),CONCATENATE("-1 : ",TEXT((M566-O566)/M566,"0.00")),"—"))</f>
        <v>—</v>
      </c>
      <c r="Z566" s="55" t="str">
        <f aca="false">IF(AND(P566&lt;&gt;"",M566&lt;&gt;"",P566&gt;M566),CONCATENATE("1 : ",TEXT((P566-M566)/M566,"0.00")),"—")</f>
        <v>—</v>
      </c>
      <c r="AA566" s="56" t="str">
        <f aca="false">IF(AND(C566&lt;&gt;"",E566&lt;&gt;""),E566-C566,"")</f>
        <v/>
      </c>
      <c r="AB566" s="42"/>
      <c r="AC566" s="57"/>
      <c r="AD566" s="58"/>
      <c r="AE566" s="59" t="str">
        <f aca="false">IF(G566&lt;&gt;"",HYPERLINK("https://www.tradingview.com/chart/?symbol="&amp;G566&amp;"&amp;interval=60&amp;from="&amp;(AG566-10*3600)&amp;"&amp;to="&amp;(AG566+50*3600),"📈 1H"),"")</f>
        <v/>
      </c>
      <c r="AF566" s="60" t="str">
        <f aca="false">IF(G566&lt;&gt;"",HYPERLINK("https://www.tradingview.com/chart/?symbol="&amp;G566&amp;"&amp;interval=240&amp;from="&amp;(AG566-10*14400)&amp;"&amp;to="&amp;(AG566+50*14400),"📈 4H"),"")</f>
        <v/>
      </c>
      <c r="AG566" s="36" t="str">
        <f aca="false">IF(C566&lt;&gt;"",INT((C566+IF(D566&lt;&gt;"",D566,0)-DATE(1970,1,1))*86400),"")</f>
        <v/>
      </c>
    </row>
    <row r="567" customFormat="false" ht="19.5" hidden="false" customHeight="true" outlineLevel="0" collapsed="false">
      <c r="A567" s="12" t="n">
        <f aca="false">ROW()-4</f>
        <v>563</v>
      </c>
      <c r="B567" s="13"/>
      <c r="C567" s="14"/>
      <c r="D567" s="15"/>
      <c r="E567" s="14"/>
      <c r="F567" s="15"/>
      <c r="G567" s="16"/>
      <c r="H567" s="17"/>
      <c r="I567" s="18"/>
      <c r="J567" s="19"/>
      <c r="K567" s="14"/>
      <c r="L567" s="17"/>
      <c r="M567" s="19"/>
      <c r="N567" s="20"/>
      <c r="O567" s="19"/>
      <c r="P567" s="21"/>
      <c r="Q567" s="22" t="str">
        <f aca="false">IF(L567="","",IF(M567&lt;&gt;"",M567*L567*100,IF(AND(O567&lt;&gt;"",B567&lt;&gt;""),IFERROR(AVERAGEIF($B$5:$B$1004,B567,$M$5:$M$1004)*L567*100,""),"")))</f>
        <v/>
      </c>
      <c r="R567" s="22" t="str">
        <f aca="false">IF(AND(O567&lt;&gt;"",L567&lt;&gt;""),O567*L567*100,"")</f>
        <v/>
      </c>
      <c r="S567" s="23" t="str">
        <f aca="false">IF(AND(P567&lt;&gt;"",L567&lt;&gt;""),P567*L567*100,"")</f>
        <v/>
      </c>
      <c r="T567" s="24" t="str">
        <f aca="false">IF(AND(Q567&lt;&gt;"",R567&lt;&gt;""),R567-Q567,"")</f>
        <v/>
      </c>
      <c r="U567" s="25" t="str">
        <f aca="false">IF(AND(Q567&lt;&gt;"",Q567&lt;&gt;0,T567&lt;&gt;""),T567/Q567,"")</f>
        <v/>
      </c>
      <c r="V567" s="26" t="str">
        <f aca="false">IF(AND(S567&lt;&gt;"",Q567&lt;&gt;""),S567-Q567,"")</f>
        <v/>
      </c>
      <c r="W567" s="27" t="str">
        <f aca="false">IF(AND(Q567&lt;&gt;"",Q567&lt;&gt;0,V567&lt;&gt;""),V567/Q567,"")</f>
        <v/>
      </c>
      <c r="X567" s="28" t="s">
        <v>37</v>
      </c>
      <c r="Y567" s="29" t="str">
        <f aca="false">IF(AND(O567&lt;&gt;"",M567&lt;&gt;"",O567&gt;M567),CONCATENATE("1 : ",TEXT((O567-M567)/M567,"0.00")),IF(AND(O567&lt;&gt;"",M567&lt;&gt;"",O567&lt;M567),CONCATENATE("-1 : ",TEXT((M567-O567)/M567,"0.00")),"—"))</f>
        <v>—</v>
      </c>
      <c r="Z567" s="30" t="str">
        <f aca="false">IF(AND(P567&lt;&gt;"",M567&lt;&gt;"",P567&gt;M567),CONCATENATE("1 : ",TEXT((P567-M567)/M567,"0.00")),"—")</f>
        <v>—</v>
      </c>
      <c r="AA567" s="31" t="str">
        <f aca="false">IF(AND(C567&lt;&gt;"",E567&lt;&gt;""),E567-C567,"")</f>
        <v/>
      </c>
      <c r="AB567" s="17"/>
      <c r="AC567" s="32"/>
      <c r="AD567" s="33"/>
      <c r="AE567" s="34" t="str">
        <f aca="false">IF(G567&lt;&gt;"",HYPERLINK("https://www.tradingview.com/chart/?symbol="&amp;G567&amp;"&amp;interval=60&amp;from="&amp;(AG567-10*3600)&amp;"&amp;to="&amp;(AG567+50*3600),"📈 1H"),"")</f>
        <v/>
      </c>
      <c r="AF567" s="35" t="str">
        <f aca="false">IF(G567&lt;&gt;"",HYPERLINK("https://www.tradingview.com/chart/?symbol="&amp;G567&amp;"&amp;interval=240&amp;from="&amp;(AG567-10*14400)&amp;"&amp;to="&amp;(AG567+50*14400),"📈 4H"),"")</f>
        <v/>
      </c>
      <c r="AG567" s="36" t="str">
        <f aca="false">IF(C567&lt;&gt;"",INT((C567+IF(D567&lt;&gt;"",D567,0)-DATE(1970,1,1))*86400),"")</f>
        <v/>
      </c>
    </row>
    <row r="568" customFormat="false" ht="19.5" hidden="false" customHeight="true" outlineLevel="0" collapsed="false">
      <c r="A568" s="37" t="n">
        <f aca="false">ROW()-4</f>
        <v>564</v>
      </c>
      <c r="B568" s="38"/>
      <c r="C568" s="39"/>
      <c r="D568" s="40"/>
      <c r="E568" s="39"/>
      <c r="F568" s="40"/>
      <c r="G568" s="41"/>
      <c r="H568" s="42"/>
      <c r="I568" s="43"/>
      <c r="J568" s="44"/>
      <c r="K568" s="39"/>
      <c r="L568" s="42"/>
      <c r="M568" s="44"/>
      <c r="N568" s="45"/>
      <c r="O568" s="44"/>
      <c r="P568" s="46"/>
      <c r="Q568" s="47" t="str">
        <f aca="false">IF(L568="","",IF(M568&lt;&gt;"",M568*L568*100,IF(AND(O568&lt;&gt;"",B568&lt;&gt;""),IFERROR(AVERAGEIF($B$5:$B$1004,B568,$M$5:$M$1004)*L568*100,""),"")))</f>
        <v/>
      </c>
      <c r="R568" s="47" t="str">
        <f aca="false">IF(AND(O568&lt;&gt;"",L568&lt;&gt;""),O568*L568*100,"")</f>
        <v/>
      </c>
      <c r="S568" s="48" t="str">
        <f aca="false">IF(AND(P568&lt;&gt;"",L568&lt;&gt;""),P568*L568*100,"")</f>
        <v/>
      </c>
      <c r="T568" s="49" t="str">
        <f aca="false">IF(AND(Q568&lt;&gt;"",R568&lt;&gt;""),R568-Q568,"")</f>
        <v/>
      </c>
      <c r="U568" s="50" t="str">
        <f aca="false">IF(AND(Q568&lt;&gt;"",Q568&lt;&gt;0,T568&lt;&gt;""),T568/Q568,"")</f>
        <v/>
      </c>
      <c r="V568" s="51" t="str">
        <f aca="false">IF(AND(S568&lt;&gt;"",Q568&lt;&gt;""),S568-Q568,"")</f>
        <v/>
      </c>
      <c r="W568" s="52" t="str">
        <f aca="false">IF(AND(Q568&lt;&gt;"",Q568&lt;&gt;0,V568&lt;&gt;""),V568/Q568,"")</f>
        <v/>
      </c>
      <c r="X568" s="53" t="s">
        <v>37</v>
      </c>
      <c r="Y568" s="54" t="str">
        <f aca="false">IF(AND(O568&lt;&gt;"",M568&lt;&gt;"",O568&gt;M568),CONCATENATE("1 : ",TEXT((O568-M568)/M568,"0.00")),IF(AND(O568&lt;&gt;"",M568&lt;&gt;"",O568&lt;M568),CONCATENATE("-1 : ",TEXT((M568-O568)/M568,"0.00")),"—"))</f>
        <v>—</v>
      </c>
      <c r="Z568" s="55" t="str">
        <f aca="false">IF(AND(P568&lt;&gt;"",M568&lt;&gt;"",P568&gt;M568),CONCATENATE("1 : ",TEXT((P568-M568)/M568,"0.00")),"—")</f>
        <v>—</v>
      </c>
      <c r="AA568" s="56" t="str">
        <f aca="false">IF(AND(C568&lt;&gt;"",E568&lt;&gt;""),E568-C568,"")</f>
        <v/>
      </c>
      <c r="AB568" s="42"/>
      <c r="AC568" s="57"/>
      <c r="AD568" s="58"/>
      <c r="AE568" s="59" t="str">
        <f aca="false">IF(G568&lt;&gt;"",HYPERLINK("https://www.tradingview.com/chart/?symbol="&amp;G568&amp;"&amp;interval=60&amp;from="&amp;(AG568-10*3600)&amp;"&amp;to="&amp;(AG568+50*3600),"📈 1H"),"")</f>
        <v/>
      </c>
      <c r="AF568" s="60" t="str">
        <f aca="false">IF(G568&lt;&gt;"",HYPERLINK("https://www.tradingview.com/chart/?symbol="&amp;G568&amp;"&amp;interval=240&amp;from="&amp;(AG568-10*14400)&amp;"&amp;to="&amp;(AG568+50*14400),"📈 4H"),"")</f>
        <v/>
      </c>
      <c r="AG568" s="36" t="str">
        <f aca="false">IF(C568&lt;&gt;"",INT((C568+IF(D568&lt;&gt;"",D568,0)-DATE(1970,1,1))*86400),"")</f>
        <v/>
      </c>
    </row>
    <row r="569" customFormat="false" ht="19.5" hidden="false" customHeight="true" outlineLevel="0" collapsed="false">
      <c r="A569" s="12" t="n">
        <f aca="false">ROW()-4</f>
        <v>565</v>
      </c>
      <c r="B569" s="13"/>
      <c r="C569" s="14"/>
      <c r="D569" s="15"/>
      <c r="E569" s="14"/>
      <c r="F569" s="15"/>
      <c r="G569" s="16"/>
      <c r="H569" s="17"/>
      <c r="I569" s="18"/>
      <c r="J569" s="19"/>
      <c r="K569" s="14"/>
      <c r="L569" s="17"/>
      <c r="M569" s="19"/>
      <c r="N569" s="20"/>
      <c r="O569" s="19"/>
      <c r="P569" s="21"/>
      <c r="Q569" s="22" t="str">
        <f aca="false">IF(L569="","",IF(M569&lt;&gt;"",M569*L569*100,IF(AND(O569&lt;&gt;"",B569&lt;&gt;""),IFERROR(AVERAGEIF($B$5:$B$1004,B569,$M$5:$M$1004)*L569*100,""),"")))</f>
        <v/>
      </c>
      <c r="R569" s="22" t="str">
        <f aca="false">IF(AND(O569&lt;&gt;"",L569&lt;&gt;""),O569*L569*100,"")</f>
        <v/>
      </c>
      <c r="S569" s="23" t="str">
        <f aca="false">IF(AND(P569&lt;&gt;"",L569&lt;&gt;""),P569*L569*100,"")</f>
        <v/>
      </c>
      <c r="T569" s="24" t="str">
        <f aca="false">IF(AND(Q569&lt;&gt;"",R569&lt;&gt;""),R569-Q569,"")</f>
        <v/>
      </c>
      <c r="U569" s="25" t="str">
        <f aca="false">IF(AND(Q569&lt;&gt;"",Q569&lt;&gt;0,T569&lt;&gt;""),T569/Q569,"")</f>
        <v/>
      </c>
      <c r="V569" s="26" t="str">
        <f aca="false">IF(AND(S569&lt;&gt;"",Q569&lt;&gt;""),S569-Q569,"")</f>
        <v/>
      </c>
      <c r="W569" s="27" t="str">
        <f aca="false">IF(AND(Q569&lt;&gt;"",Q569&lt;&gt;0,V569&lt;&gt;""),V569/Q569,"")</f>
        <v/>
      </c>
      <c r="X569" s="28" t="s">
        <v>37</v>
      </c>
      <c r="Y569" s="29" t="str">
        <f aca="false">IF(AND(O569&lt;&gt;"",M569&lt;&gt;"",O569&gt;M569),CONCATENATE("1 : ",TEXT((O569-M569)/M569,"0.00")),IF(AND(O569&lt;&gt;"",M569&lt;&gt;"",O569&lt;M569),CONCATENATE("-1 : ",TEXT((M569-O569)/M569,"0.00")),"—"))</f>
        <v>—</v>
      </c>
      <c r="Z569" s="30" t="str">
        <f aca="false">IF(AND(P569&lt;&gt;"",M569&lt;&gt;"",P569&gt;M569),CONCATENATE("1 : ",TEXT((P569-M569)/M569,"0.00")),"—")</f>
        <v>—</v>
      </c>
      <c r="AA569" s="31" t="str">
        <f aca="false">IF(AND(C569&lt;&gt;"",E569&lt;&gt;""),E569-C569,"")</f>
        <v/>
      </c>
      <c r="AB569" s="17"/>
      <c r="AC569" s="32"/>
      <c r="AD569" s="33"/>
      <c r="AE569" s="34" t="str">
        <f aca="false">IF(G569&lt;&gt;"",HYPERLINK("https://www.tradingview.com/chart/?symbol="&amp;G569&amp;"&amp;interval=60&amp;from="&amp;(AG569-10*3600)&amp;"&amp;to="&amp;(AG569+50*3600),"📈 1H"),"")</f>
        <v/>
      </c>
      <c r="AF569" s="35" t="str">
        <f aca="false">IF(G569&lt;&gt;"",HYPERLINK("https://www.tradingview.com/chart/?symbol="&amp;G569&amp;"&amp;interval=240&amp;from="&amp;(AG569-10*14400)&amp;"&amp;to="&amp;(AG569+50*14400),"📈 4H"),"")</f>
        <v/>
      </c>
      <c r="AG569" s="36" t="str">
        <f aca="false">IF(C569&lt;&gt;"",INT((C569+IF(D569&lt;&gt;"",D569,0)-DATE(1970,1,1))*86400),"")</f>
        <v/>
      </c>
    </row>
    <row r="570" customFormat="false" ht="19.5" hidden="false" customHeight="true" outlineLevel="0" collapsed="false">
      <c r="A570" s="37" t="n">
        <f aca="false">ROW()-4</f>
        <v>566</v>
      </c>
      <c r="B570" s="38"/>
      <c r="C570" s="39"/>
      <c r="D570" s="40"/>
      <c r="E570" s="39"/>
      <c r="F570" s="40"/>
      <c r="G570" s="41"/>
      <c r="H570" s="42"/>
      <c r="I570" s="43"/>
      <c r="J570" s="44"/>
      <c r="K570" s="39"/>
      <c r="L570" s="42"/>
      <c r="M570" s="44"/>
      <c r="N570" s="45"/>
      <c r="O570" s="44"/>
      <c r="P570" s="46"/>
      <c r="Q570" s="47" t="str">
        <f aca="false">IF(L570="","",IF(M570&lt;&gt;"",M570*L570*100,IF(AND(O570&lt;&gt;"",B570&lt;&gt;""),IFERROR(AVERAGEIF($B$5:$B$1004,B570,$M$5:$M$1004)*L570*100,""),"")))</f>
        <v/>
      </c>
      <c r="R570" s="47" t="str">
        <f aca="false">IF(AND(O570&lt;&gt;"",L570&lt;&gt;""),O570*L570*100,"")</f>
        <v/>
      </c>
      <c r="S570" s="48" t="str">
        <f aca="false">IF(AND(P570&lt;&gt;"",L570&lt;&gt;""),P570*L570*100,"")</f>
        <v/>
      </c>
      <c r="T570" s="49" t="str">
        <f aca="false">IF(AND(Q570&lt;&gt;"",R570&lt;&gt;""),R570-Q570,"")</f>
        <v/>
      </c>
      <c r="U570" s="50" t="str">
        <f aca="false">IF(AND(Q570&lt;&gt;"",Q570&lt;&gt;0,T570&lt;&gt;""),T570/Q570,"")</f>
        <v/>
      </c>
      <c r="V570" s="51" t="str">
        <f aca="false">IF(AND(S570&lt;&gt;"",Q570&lt;&gt;""),S570-Q570,"")</f>
        <v/>
      </c>
      <c r="W570" s="52" t="str">
        <f aca="false">IF(AND(Q570&lt;&gt;"",Q570&lt;&gt;0,V570&lt;&gt;""),V570/Q570,"")</f>
        <v/>
      </c>
      <c r="X570" s="53" t="s">
        <v>37</v>
      </c>
      <c r="Y570" s="54" t="str">
        <f aca="false">IF(AND(O570&lt;&gt;"",M570&lt;&gt;"",O570&gt;M570),CONCATENATE("1 : ",TEXT((O570-M570)/M570,"0.00")),IF(AND(O570&lt;&gt;"",M570&lt;&gt;"",O570&lt;M570),CONCATENATE("-1 : ",TEXT((M570-O570)/M570,"0.00")),"—"))</f>
        <v>—</v>
      </c>
      <c r="Z570" s="55" t="str">
        <f aca="false">IF(AND(P570&lt;&gt;"",M570&lt;&gt;"",P570&gt;M570),CONCATENATE("1 : ",TEXT((P570-M570)/M570,"0.00")),"—")</f>
        <v>—</v>
      </c>
      <c r="AA570" s="56" t="str">
        <f aca="false">IF(AND(C570&lt;&gt;"",E570&lt;&gt;""),E570-C570,"")</f>
        <v/>
      </c>
      <c r="AB570" s="42"/>
      <c r="AC570" s="57"/>
      <c r="AD570" s="58"/>
      <c r="AE570" s="59" t="str">
        <f aca="false">IF(G570&lt;&gt;"",HYPERLINK("https://www.tradingview.com/chart/?symbol="&amp;G570&amp;"&amp;interval=60&amp;from="&amp;(AG570-10*3600)&amp;"&amp;to="&amp;(AG570+50*3600),"📈 1H"),"")</f>
        <v/>
      </c>
      <c r="AF570" s="60" t="str">
        <f aca="false">IF(G570&lt;&gt;"",HYPERLINK("https://www.tradingview.com/chart/?symbol="&amp;G570&amp;"&amp;interval=240&amp;from="&amp;(AG570-10*14400)&amp;"&amp;to="&amp;(AG570+50*14400),"📈 4H"),"")</f>
        <v/>
      </c>
      <c r="AG570" s="36" t="str">
        <f aca="false">IF(C570&lt;&gt;"",INT((C570+IF(D570&lt;&gt;"",D570,0)-DATE(1970,1,1))*86400),"")</f>
        <v/>
      </c>
    </row>
    <row r="571" customFormat="false" ht="19.5" hidden="false" customHeight="true" outlineLevel="0" collapsed="false">
      <c r="A571" s="12" t="n">
        <f aca="false">ROW()-4</f>
        <v>567</v>
      </c>
      <c r="B571" s="13"/>
      <c r="C571" s="14"/>
      <c r="D571" s="15"/>
      <c r="E571" s="14"/>
      <c r="F571" s="15"/>
      <c r="G571" s="16"/>
      <c r="H571" s="17"/>
      <c r="I571" s="18"/>
      <c r="J571" s="19"/>
      <c r="K571" s="14"/>
      <c r="L571" s="17"/>
      <c r="M571" s="19"/>
      <c r="N571" s="20"/>
      <c r="O571" s="19"/>
      <c r="P571" s="21"/>
      <c r="Q571" s="22" t="str">
        <f aca="false">IF(L571="","",IF(M571&lt;&gt;"",M571*L571*100,IF(AND(O571&lt;&gt;"",B571&lt;&gt;""),IFERROR(AVERAGEIF($B$5:$B$1004,B571,$M$5:$M$1004)*L571*100,""),"")))</f>
        <v/>
      </c>
      <c r="R571" s="22" t="str">
        <f aca="false">IF(AND(O571&lt;&gt;"",L571&lt;&gt;""),O571*L571*100,"")</f>
        <v/>
      </c>
      <c r="S571" s="23" t="str">
        <f aca="false">IF(AND(P571&lt;&gt;"",L571&lt;&gt;""),P571*L571*100,"")</f>
        <v/>
      </c>
      <c r="T571" s="24" t="str">
        <f aca="false">IF(AND(Q571&lt;&gt;"",R571&lt;&gt;""),R571-Q571,"")</f>
        <v/>
      </c>
      <c r="U571" s="25" t="str">
        <f aca="false">IF(AND(Q571&lt;&gt;"",Q571&lt;&gt;0,T571&lt;&gt;""),T571/Q571,"")</f>
        <v/>
      </c>
      <c r="V571" s="26" t="str">
        <f aca="false">IF(AND(S571&lt;&gt;"",Q571&lt;&gt;""),S571-Q571,"")</f>
        <v/>
      </c>
      <c r="W571" s="27" t="str">
        <f aca="false">IF(AND(Q571&lt;&gt;"",Q571&lt;&gt;0,V571&lt;&gt;""),V571/Q571,"")</f>
        <v/>
      </c>
      <c r="X571" s="28" t="s">
        <v>37</v>
      </c>
      <c r="Y571" s="29" t="str">
        <f aca="false">IF(AND(O571&lt;&gt;"",M571&lt;&gt;"",O571&gt;M571),CONCATENATE("1 : ",TEXT((O571-M571)/M571,"0.00")),IF(AND(O571&lt;&gt;"",M571&lt;&gt;"",O571&lt;M571),CONCATENATE("-1 : ",TEXT((M571-O571)/M571,"0.00")),"—"))</f>
        <v>—</v>
      </c>
      <c r="Z571" s="30" t="str">
        <f aca="false">IF(AND(P571&lt;&gt;"",M571&lt;&gt;"",P571&gt;M571),CONCATENATE("1 : ",TEXT((P571-M571)/M571,"0.00")),"—")</f>
        <v>—</v>
      </c>
      <c r="AA571" s="31" t="str">
        <f aca="false">IF(AND(C571&lt;&gt;"",E571&lt;&gt;""),E571-C571,"")</f>
        <v/>
      </c>
      <c r="AB571" s="17"/>
      <c r="AC571" s="32"/>
      <c r="AD571" s="33"/>
      <c r="AE571" s="34" t="str">
        <f aca="false">IF(G571&lt;&gt;"",HYPERLINK("https://www.tradingview.com/chart/?symbol="&amp;G571&amp;"&amp;interval=60&amp;from="&amp;(AG571-10*3600)&amp;"&amp;to="&amp;(AG571+50*3600),"📈 1H"),"")</f>
        <v/>
      </c>
      <c r="AF571" s="35" t="str">
        <f aca="false">IF(G571&lt;&gt;"",HYPERLINK("https://www.tradingview.com/chart/?symbol="&amp;G571&amp;"&amp;interval=240&amp;from="&amp;(AG571-10*14400)&amp;"&amp;to="&amp;(AG571+50*14400),"📈 4H"),"")</f>
        <v/>
      </c>
      <c r="AG571" s="36" t="str">
        <f aca="false">IF(C571&lt;&gt;"",INT((C571+IF(D571&lt;&gt;"",D571,0)-DATE(1970,1,1))*86400),"")</f>
        <v/>
      </c>
    </row>
    <row r="572" customFormat="false" ht="19.5" hidden="false" customHeight="true" outlineLevel="0" collapsed="false">
      <c r="A572" s="37" t="n">
        <f aca="false">ROW()-4</f>
        <v>568</v>
      </c>
      <c r="B572" s="38"/>
      <c r="C572" s="39"/>
      <c r="D572" s="40"/>
      <c r="E572" s="39"/>
      <c r="F572" s="40"/>
      <c r="G572" s="41"/>
      <c r="H572" s="42"/>
      <c r="I572" s="43"/>
      <c r="J572" s="44"/>
      <c r="K572" s="39"/>
      <c r="L572" s="42"/>
      <c r="M572" s="44"/>
      <c r="N572" s="45"/>
      <c r="O572" s="44"/>
      <c r="P572" s="46"/>
      <c r="Q572" s="47" t="str">
        <f aca="false">IF(L572="","",IF(M572&lt;&gt;"",M572*L572*100,IF(AND(O572&lt;&gt;"",B572&lt;&gt;""),IFERROR(AVERAGEIF($B$5:$B$1004,B572,$M$5:$M$1004)*L572*100,""),"")))</f>
        <v/>
      </c>
      <c r="R572" s="47" t="str">
        <f aca="false">IF(AND(O572&lt;&gt;"",L572&lt;&gt;""),O572*L572*100,"")</f>
        <v/>
      </c>
      <c r="S572" s="48" t="str">
        <f aca="false">IF(AND(P572&lt;&gt;"",L572&lt;&gt;""),P572*L572*100,"")</f>
        <v/>
      </c>
      <c r="T572" s="49" t="str">
        <f aca="false">IF(AND(Q572&lt;&gt;"",R572&lt;&gt;""),R572-Q572,"")</f>
        <v/>
      </c>
      <c r="U572" s="50" t="str">
        <f aca="false">IF(AND(Q572&lt;&gt;"",Q572&lt;&gt;0,T572&lt;&gt;""),T572/Q572,"")</f>
        <v/>
      </c>
      <c r="V572" s="51" t="str">
        <f aca="false">IF(AND(S572&lt;&gt;"",Q572&lt;&gt;""),S572-Q572,"")</f>
        <v/>
      </c>
      <c r="W572" s="52" t="str">
        <f aca="false">IF(AND(Q572&lt;&gt;"",Q572&lt;&gt;0,V572&lt;&gt;""),V572/Q572,"")</f>
        <v/>
      </c>
      <c r="X572" s="53" t="s">
        <v>37</v>
      </c>
      <c r="Y572" s="54" t="str">
        <f aca="false">IF(AND(O572&lt;&gt;"",M572&lt;&gt;"",O572&gt;M572),CONCATENATE("1 : ",TEXT((O572-M572)/M572,"0.00")),IF(AND(O572&lt;&gt;"",M572&lt;&gt;"",O572&lt;M572),CONCATENATE("-1 : ",TEXT((M572-O572)/M572,"0.00")),"—"))</f>
        <v>—</v>
      </c>
      <c r="Z572" s="55" t="str">
        <f aca="false">IF(AND(P572&lt;&gt;"",M572&lt;&gt;"",P572&gt;M572),CONCATENATE("1 : ",TEXT((P572-M572)/M572,"0.00")),"—")</f>
        <v>—</v>
      </c>
      <c r="AA572" s="56" t="str">
        <f aca="false">IF(AND(C572&lt;&gt;"",E572&lt;&gt;""),E572-C572,"")</f>
        <v/>
      </c>
      <c r="AB572" s="42"/>
      <c r="AC572" s="57"/>
      <c r="AD572" s="58"/>
      <c r="AE572" s="59" t="str">
        <f aca="false">IF(G572&lt;&gt;"",HYPERLINK("https://www.tradingview.com/chart/?symbol="&amp;G572&amp;"&amp;interval=60&amp;from="&amp;(AG572-10*3600)&amp;"&amp;to="&amp;(AG572+50*3600),"📈 1H"),"")</f>
        <v/>
      </c>
      <c r="AF572" s="60" t="str">
        <f aca="false">IF(G572&lt;&gt;"",HYPERLINK("https://www.tradingview.com/chart/?symbol="&amp;G572&amp;"&amp;interval=240&amp;from="&amp;(AG572-10*14400)&amp;"&amp;to="&amp;(AG572+50*14400),"📈 4H"),"")</f>
        <v/>
      </c>
      <c r="AG572" s="36" t="str">
        <f aca="false">IF(C572&lt;&gt;"",INT((C572+IF(D572&lt;&gt;"",D572,0)-DATE(1970,1,1))*86400),"")</f>
        <v/>
      </c>
    </row>
    <row r="573" customFormat="false" ht="19.5" hidden="false" customHeight="true" outlineLevel="0" collapsed="false">
      <c r="A573" s="12" t="n">
        <f aca="false">ROW()-4</f>
        <v>569</v>
      </c>
      <c r="B573" s="13"/>
      <c r="C573" s="14"/>
      <c r="D573" s="15"/>
      <c r="E573" s="14"/>
      <c r="F573" s="15"/>
      <c r="G573" s="16"/>
      <c r="H573" s="17"/>
      <c r="I573" s="18"/>
      <c r="J573" s="19"/>
      <c r="K573" s="14"/>
      <c r="L573" s="17"/>
      <c r="M573" s="19"/>
      <c r="N573" s="20"/>
      <c r="O573" s="19"/>
      <c r="P573" s="21"/>
      <c r="Q573" s="22" t="str">
        <f aca="false">IF(L573="","",IF(M573&lt;&gt;"",M573*L573*100,IF(AND(O573&lt;&gt;"",B573&lt;&gt;""),IFERROR(AVERAGEIF($B$5:$B$1004,B573,$M$5:$M$1004)*L573*100,""),"")))</f>
        <v/>
      </c>
      <c r="R573" s="22" t="str">
        <f aca="false">IF(AND(O573&lt;&gt;"",L573&lt;&gt;""),O573*L573*100,"")</f>
        <v/>
      </c>
      <c r="S573" s="23" t="str">
        <f aca="false">IF(AND(P573&lt;&gt;"",L573&lt;&gt;""),P573*L573*100,"")</f>
        <v/>
      </c>
      <c r="T573" s="24" t="str">
        <f aca="false">IF(AND(Q573&lt;&gt;"",R573&lt;&gt;""),R573-Q573,"")</f>
        <v/>
      </c>
      <c r="U573" s="25" t="str">
        <f aca="false">IF(AND(Q573&lt;&gt;"",Q573&lt;&gt;0,T573&lt;&gt;""),T573/Q573,"")</f>
        <v/>
      </c>
      <c r="V573" s="26" t="str">
        <f aca="false">IF(AND(S573&lt;&gt;"",Q573&lt;&gt;""),S573-Q573,"")</f>
        <v/>
      </c>
      <c r="W573" s="27" t="str">
        <f aca="false">IF(AND(Q573&lt;&gt;"",Q573&lt;&gt;0,V573&lt;&gt;""),V573/Q573,"")</f>
        <v/>
      </c>
      <c r="X573" s="28" t="s">
        <v>37</v>
      </c>
      <c r="Y573" s="29" t="str">
        <f aca="false">IF(AND(O573&lt;&gt;"",M573&lt;&gt;"",O573&gt;M573),CONCATENATE("1 : ",TEXT((O573-M573)/M573,"0.00")),IF(AND(O573&lt;&gt;"",M573&lt;&gt;"",O573&lt;M573),CONCATENATE("-1 : ",TEXT((M573-O573)/M573,"0.00")),"—"))</f>
        <v>—</v>
      </c>
      <c r="Z573" s="30" t="str">
        <f aca="false">IF(AND(P573&lt;&gt;"",M573&lt;&gt;"",P573&gt;M573),CONCATENATE("1 : ",TEXT((P573-M573)/M573,"0.00")),"—")</f>
        <v>—</v>
      </c>
      <c r="AA573" s="31" t="str">
        <f aca="false">IF(AND(C573&lt;&gt;"",E573&lt;&gt;""),E573-C573,"")</f>
        <v/>
      </c>
      <c r="AB573" s="17"/>
      <c r="AC573" s="32"/>
      <c r="AD573" s="33"/>
      <c r="AE573" s="34" t="str">
        <f aca="false">IF(G573&lt;&gt;"",HYPERLINK("https://www.tradingview.com/chart/?symbol="&amp;G573&amp;"&amp;interval=60&amp;from="&amp;(AG573-10*3600)&amp;"&amp;to="&amp;(AG573+50*3600),"📈 1H"),"")</f>
        <v/>
      </c>
      <c r="AF573" s="35" t="str">
        <f aca="false">IF(G573&lt;&gt;"",HYPERLINK("https://www.tradingview.com/chart/?symbol="&amp;G573&amp;"&amp;interval=240&amp;from="&amp;(AG573-10*14400)&amp;"&amp;to="&amp;(AG573+50*14400),"📈 4H"),"")</f>
        <v/>
      </c>
      <c r="AG573" s="36" t="str">
        <f aca="false">IF(C573&lt;&gt;"",INT((C573+IF(D573&lt;&gt;"",D573,0)-DATE(1970,1,1))*86400),"")</f>
        <v/>
      </c>
    </row>
    <row r="574" customFormat="false" ht="19.5" hidden="false" customHeight="true" outlineLevel="0" collapsed="false">
      <c r="A574" s="37" t="n">
        <f aca="false">ROW()-4</f>
        <v>570</v>
      </c>
      <c r="B574" s="38"/>
      <c r="C574" s="39"/>
      <c r="D574" s="40"/>
      <c r="E574" s="39"/>
      <c r="F574" s="40"/>
      <c r="G574" s="41"/>
      <c r="H574" s="42"/>
      <c r="I574" s="43"/>
      <c r="J574" s="44"/>
      <c r="K574" s="39"/>
      <c r="L574" s="42"/>
      <c r="M574" s="44"/>
      <c r="N574" s="45"/>
      <c r="O574" s="44"/>
      <c r="P574" s="46"/>
      <c r="Q574" s="47" t="str">
        <f aca="false">IF(L574="","",IF(M574&lt;&gt;"",M574*L574*100,IF(AND(O574&lt;&gt;"",B574&lt;&gt;""),IFERROR(AVERAGEIF($B$5:$B$1004,B574,$M$5:$M$1004)*L574*100,""),"")))</f>
        <v/>
      </c>
      <c r="R574" s="47" t="str">
        <f aca="false">IF(AND(O574&lt;&gt;"",L574&lt;&gt;""),O574*L574*100,"")</f>
        <v/>
      </c>
      <c r="S574" s="48" t="str">
        <f aca="false">IF(AND(P574&lt;&gt;"",L574&lt;&gt;""),P574*L574*100,"")</f>
        <v/>
      </c>
      <c r="T574" s="49" t="str">
        <f aca="false">IF(AND(Q574&lt;&gt;"",R574&lt;&gt;""),R574-Q574,"")</f>
        <v/>
      </c>
      <c r="U574" s="50" t="str">
        <f aca="false">IF(AND(Q574&lt;&gt;"",Q574&lt;&gt;0,T574&lt;&gt;""),T574/Q574,"")</f>
        <v/>
      </c>
      <c r="V574" s="51" t="str">
        <f aca="false">IF(AND(S574&lt;&gt;"",Q574&lt;&gt;""),S574-Q574,"")</f>
        <v/>
      </c>
      <c r="W574" s="52" t="str">
        <f aca="false">IF(AND(Q574&lt;&gt;"",Q574&lt;&gt;0,V574&lt;&gt;""),V574/Q574,"")</f>
        <v/>
      </c>
      <c r="X574" s="53" t="s">
        <v>37</v>
      </c>
      <c r="Y574" s="54" t="str">
        <f aca="false">IF(AND(O574&lt;&gt;"",M574&lt;&gt;"",O574&gt;M574),CONCATENATE("1 : ",TEXT((O574-M574)/M574,"0.00")),IF(AND(O574&lt;&gt;"",M574&lt;&gt;"",O574&lt;M574),CONCATENATE("-1 : ",TEXT((M574-O574)/M574,"0.00")),"—"))</f>
        <v>—</v>
      </c>
      <c r="Z574" s="55" t="str">
        <f aca="false">IF(AND(P574&lt;&gt;"",M574&lt;&gt;"",P574&gt;M574),CONCATENATE("1 : ",TEXT((P574-M574)/M574,"0.00")),"—")</f>
        <v>—</v>
      </c>
      <c r="AA574" s="56" t="str">
        <f aca="false">IF(AND(C574&lt;&gt;"",E574&lt;&gt;""),E574-C574,"")</f>
        <v/>
      </c>
      <c r="AB574" s="42"/>
      <c r="AC574" s="57"/>
      <c r="AD574" s="58"/>
      <c r="AE574" s="59" t="str">
        <f aca="false">IF(G574&lt;&gt;"",HYPERLINK("https://www.tradingview.com/chart/?symbol="&amp;G574&amp;"&amp;interval=60&amp;from="&amp;(AG574-10*3600)&amp;"&amp;to="&amp;(AG574+50*3600),"📈 1H"),"")</f>
        <v/>
      </c>
      <c r="AF574" s="60" t="str">
        <f aca="false">IF(G574&lt;&gt;"",HYPERLINK("https://www.tradingview.com/chart/?symbol="&amp;G574&amp;"&amp;interval=240&amp;from="&amp;(AG574-10*14400)&amp;"&amp;to="&amp;(AG574+50*14400),"📈 4H"),"")</f>
        <v/>
      </c>
      <c r="AG574" s="36" t="str">
        <f aca="false">IF(C574&lt;&gt;"",INT((C574+IF(D574&lt;&gt;"",D574,0)-DATE(1970,1,1))*86400),"")</f>
        <v/>
      </c>
    </row>
    <row r="575" customFormat="false" ht="19.5" hidden="false" customHeight="true" outlineLevel="0" collapsed="false">
      <c r="A575" s="12" t="n">
        <f aca="false">ROW()-4</f>
        <v>571</v>
      </c>
      <c r="B575" s="13"/>
      <c r="C575" s="14"/>
      <c r="D575" s="15"/>
      <c r="E575" s="14"/>
      <c r="F575" s="15"/>
      <c r="G575" s="16"/>
      <c r="H575" s="17"/>
      <c r="I575" s="18"/>
      <c r="J575" s="19"/>
      <c r="K575" s="14"/>
      <c r="L575" s="17"/>
      <c r="M575" s="19"/>
      <c r="N575" s="20"/>
      <c r="O575" s="19"/>
      <c r="P575" s="21"/>
      <c r="Q575" s="22" t="str">
        <f aca="false">IF(L575="","",IF(M575&lt;&gt;"",M575*L575*100,IF(AND(O575&lt;&gt;"",B575&lt;&gt;""),IFERROR(AVERAGEIF($B$5:$B$1004,B575,$M$5:$M$1004)*L575*100,""),"")))</f>
        <v/>
      </c>
      <c r="R575" s="22" t="str">
        <f aca="false">IF(AND(O575&lt;&gt;"",L575&lt;&gt;""),O575*L575*100,"")</f>
        <v/>
      </c>
      <c r="S575" s="23" t="str">
        <f aca="false">IF(AND(P575&lt;&gt;"",L575&lt;&gt;""),P575*L575*100,"")</f>
        <v/>
      </c>
      <c r="T575" s="24" t="str">
        <f aca="false">IF(AND(Q575&lt;&gt;"",R575&lt;&gt;""),R575-Q575,"")</f>
        <v/>
      </c>
      <c r="U575" s="25" t="str">
        <f aca="false">IF(AND(Q575&lt;&gt;"",Q575&lt;&gt;0,T575&lt;&gt;""),T575/Q575,"")</f>
        <v/>
      </c>
      <c r="V575" s="26" t="str">
        <f aca="false">IF(AND(S575&lt;&gt;"",Q575&lt;&gt;""),S575-Q575,"")</f>
        <v/>
      </c>
      <c r="W575" s="27" t="str">
        <f aca="false">IF(AND(Q575&lt;&gt;"",Q575&lt;&gt;0,V575&lt;&gt;""),V575/Q575,"")</f>
        <v/>
      </c>
      <c r="X575" s="28" t="s">
        <v>37</v>
      </c>
      <c r="Y575" s="29" t="str">
        <f aca="false">IF(AND(O575&lt;&gt;"",M575&lt;&gt;"",O575&gt;M575),CONCATENATE("1 : ",TEXT((O575-M575)/M575,"0.00")),IF(AND(O575&lt;&gt;"",M575&lt;&gt;"",O575&lt;M575),CONCATENATE("-1 : ",TEXT((M575-O575)/M575,"0.00")),"—"))</f>
        <v>—</v>
      </c>
      <c r="Z575" s="30" t="str">
        <f aca="false">IF(AND(P575&lt;&gt;"",M575&lt;&gt;"",P575&gt;M575),CONCATENATE("1 : ",TEXT((P575-M575)/M575,"0.00")),"—")</f>
        <v>—</v>
      </c>
      <c r="AA575" s="31" t="str">
        <f aca="false">IF(AND(C575&lt;&gt;"",E575&lt;&gt;""),E575-C575,"")</f>
        <v/>
      </c>
      <c r="AB575" s="17"/>
      <c r="AC575" s="32"/>
      <c r="AD575" s="33"/>
      <c r="AE575" s="34" t="str">
        <f aca="false">IF(G575&lt;&gt;"",HYPERLINK("https://www.tradingview.com/chart/?symbol="&amp;G575&amp;"&amp;interval=60&amp;from="&amp;(AG575-10*3600)&amp;"&amp;to="&amp;(AG575+50*3600),"📈 1H"),"")</f>
        <v/>
      </c>
      <c r="AF575" s="35" t="str">
        <f aca="false">IF(G575&lt;&gt;"",HYPERLINK("https://www.tradingview.com/chart/?symbol="&amp;G575&amp;"&amp;interval=240&amp;from="&amp;(AG575-10*14400)&amp;"&amp;to="&amp;(AG575+50*14400),"📈 4H"),"")</f>
        <v/>
      </c>
      <c r="AG575" s="36" t="str">
        <f aca="false">IF(C575&lt;&gt;"",INT((C575+IF(D575&lt;&gt;"",D575,0)-DATE(1970,1,1))*86400),"")</f>
        <v/>
      </c>
    </row>
    <row r="576" customFormat="false" ht="19.5" hidden="false" customHeight="true" outlineLevel="0" collapsed="false">
      <c r="A576" s="37" t="n">
        <f aca="false">ROW()-4</f>
        <v>572</v>
      </c>
      <c r="B576" s="38"/>
      <c r="C576" s="39"/>
      <c r="D576" s="40"/>
      <c r="E576" s="39"/>
      <c r="F576" s="40"/>
      <c r="G576" s="41"/>
      <c r="H576" s="42"/>
      <c r="I576" s="43"/>
      <c r="J576" s="44"/>
      <c r="K576" s="39"/>
      <c r="L576" s="42"/>
      <c r="M576" s="44"/>
      <c r="N576" s="45"/>
      <c r="O576" s="44"/>
      <c r="P576" s="46"/>
      <c r="Q576" s="47" t="str">
        <f aca="false">IF(L576="","",IF(M576&lt;&gt;"",M576*L576*100,IF(AND(O576&lt;&gt;"",B576&lt;&gt;""),IFERROR(AVERAGEIF($B$5:$B$1004,B576,$M$5:$M$1004)*L576*100,""),"")))</f>
        <v/>
      </c>
      <c r="R576" s="47" t="str">
        <f aca="false">IF(AND(O576&lt;&gt;"",L576&lt;&gt;""),O576*L576*100,"")</f>
        <v/>
      </c>
      <c r="S576" s="48" t="str">
        <f aca="false">IF(AND(P576&lt;&gt;"",L576&lt;&gt;""),P576*L576*100,"")</f>
        <v/>
      </c>
      <c r="T576" s="49" t="str">
        <f aca="false">IF(AND(Q576&lt;&gt;"",R576&lt;&gt;""),R576-Q576,"")</f>
        <v/>
      </c>
      <c r="U576" s="50" t="str">
        <f aca="false">IF(AND(Q576&lt;&gt;"",Q576&lt;&gt;0,T576&lt;&gt;""),T576/Q576,"")</f>
        <v/>
      </c>
      <c r="V576" s="51" t="str">
        <f aca="false">IF(AND(S576&lt;&gt;"",Q576&lt;&gt;""),S576-Q576,"")</f>
        <v/>
      </c>
      <c r="W576" s="52" t="str">
        <f aca="false">IF(AND(Q576&lt;&gt;"",Q576&lt;&gt;0,V576&lt;&gt;""),V576/Q576,"")</f>
        <v/>
      </c>
      <c r="X576" s="53" t="s">
        <v>37</v>
      </c>
      <c r="Y576" s="54" t="str">
        <f aca="false">IF(AND(O576&lt;&gt;"",M576&lt;&gt;"",O576&gt;M576),CONCATENATE("1 : ",TEXT((O576-M576)/M576,"0.00")),IF(AND(O576&lt;&gt;"",M576&lt;&gt;"",O576&lt;M576),CONCATENATE("-1 : ",TEXT((M576-O576)/M576,"0.00")),"—"))</f>
        <v>—</v>
      </c>
      <c r="Z576" s="55" t="str">
        <f aca="false">IF(AND(P576&lt;&gt;"",M576&lt;&gt;"",P576&gt;M576),CONCATENATE("1 : ",TEXT((P576-M576)/M576,"0.00")),"—")</f>
        <v>—</v>
      </c>
      <c r="AA576" s="56" t="str">
        <f aca="false">IF(AND(C576&lt;&gt;"",E576&lt;&gt;""),E576-C576,"")</f>
        <v/>
      </c>
      <c r="AB576" s="42"/>
      <c r="AC576" s="57"/>
      <c r="AD576" s="58"/>
      <c r="AE576" s="59" t="str">
        <f aca="false">IF(G576&lt;&gt;"",HYPERLINK("https://www.tradingview.com/chart/?symbol="&amp;G576&amp;"&amp;interval=60&amp;from="&amp;(AG576-10*3600)&amp;"&amp;to="&amp;(AG576+50*3600),"📈 1H"),"")</f>
        <v/>
      </c>
      <c r="AF576" s="60" t="str">
        <f aca="false">IF(G576&lt;&gt;"",HYPERLINK("https://www.tradingview.com/chart/?symbol="&amp;G576&amp;"&amp;interval=240&amp;from="&amp;(AG576-10*14400)&amp;"&amp;to="&amp;(AG576+50*14400),"📈 4H"),"")</f>
        <v/>
      </c>
      <c r="AG576" s="36" t="str">
        <f aca="false">IF(C576&lt;&gt;"",INT((C576+IF(D576&lt;&gt;"",D576,0)-DATE(1970,1,1))*86400),"")</f>
        <v/>
      </c>
    </row>
    <row r="577" customFormat="false" ht="19.5" hidden="false" customHeight="true" outlineLevel="0" collapsed="false">
      <c r="A577" s="12" t="n">
        <f aca="false">ROW()-4</f>
        <v>573</v>
      </c>
      <c r="B577" s="13"/>
      <c r="C577" s="14"/>
      <c r="D577" s="15"/>
      <c r="E577" s="14"/>
      <c r="F577" s="15"/>
      <c r="G577" s="16"/>
      <c r="H577" s="17"/>
      <c r="I577" s="18"/>
      <c r="J577" s="19"/>
      <c r="K577" s="14"/>
      <c r="L577" s="17"/>
      <c r="M577" s="19"/>
      <c r="N577" s="20"/>
      <c r="O577" s="19"/>
      <c r="P577" s="21"/>
      <c r="Q577" s="22" t="str">
        <f aca="false">IF(L577="","",IF(M577&lt;&gt;"",M577*L577*100,IF(AND(O577&lt;&gt;"",B577&lt;&gt;""),IFERROR(AVERAGEIF($B$5:$B$1004,B577,$M$5:$M$1004)*L577*100,""),"")))</f>
        <v/>
      </c>
      <c r="R577" s="22" t="str">
        <f aca="false">IF(AND(O577&lt;&gt;"",L577&lt;&gt;""),O577*L577*100,"")</f>
        <v/>
      </c>
      <c r="S577" s="23" t="str">
        <f aca="false">IF(AND(P577&lt;&gt;"",L577&lt;&gt;""),P577*L577*100,"")</f>
        <v/>
      </c>
      <c r="T577" s="24" t="str">
        <f aca="false">IF(AND(Q577&lt;&gt;"",R577&lt;&gt;""),R577-Q577,"")</f>
        <v/>
      </c>
      <c r="U577" s="25" t="str">
        <f aca="false">IF(AND(Q577&lt;&gt;"",Q577&lt;&gt;0,T577&lt;&gt;""),T577/Q577,"")</f>
        <v/>
      </c>
      <c r="V577" s="26" t="str">
        <f aca="false">IF(AND(S577&lt;&gt;"",Q577&lt;&gt;""),S577-Q577,"")</f>
        <v/>
      </c>
      <c r="W577" s="27" t="str">
        <f aca="false">IF(AND(Q577&lt;&gt;"",Q577&lt;&gt;0,V577&lt;&gt;""),V577/Q577,"")</f>
        <v/>
      </c>
      <c r="X577" s="28" t="s">
        <v>37</v>
      </c>
      <c r="Y577" s="29" t="str">
        <f aca="false">IF(AND(O577&lt;&gt;"",M577&lt;&gt;"",O577&gt;M577),CONCATENATE("1 : ",TEXT((O577-M577)/M577,"0.00")),IF(AND(O577&lt;&gt;"",M577&lt;&gt;"",O577&lt;M577),CONCATENATE("-1 : ",TEXT((M577-O577)/M577,"0.00")),"—"))</f>
        <v>—</v>
      </c>
      <c r="Z577" s="30" t="str">
        <f aca="false">IF(AND(P577&lt;&gt;"",M577&lt;&gt;"",P577&gt;M577),CONCATENATE("1 : ",TEXT((P577-M577)/M577,"0.00")),"—")</f>
        <v>—</v>
      </c>
      <c r="AA577" s="31" t="str">
        <f aca="false">IF(AND(C577&lt;&gt;"",E577&lt;&gt;""),E577-C577,"")</f>
        <v/>
      </c>
      <c r="AB577" s="17"/>
      <c r="AC577" s="32"/>
      <c r="AD577" s="33"/>
      <c r="AE577" s="34" t="str">
        <f aca="false">IF(G577&lt;&gt;"",HYPERLINK("https://www.tradingview.com/chart/?symbol="&amp;G577&amp;"&amp;interval=60&amp;from="&amp;(AG577-10*3600)&amp;"&amp;to="&amp;(AG577+50*3600),"📈 1H"),"")</f>
        <v/>
      </c>
      <c r="AF577" s="35" t="str">
        <f aca="false">IF(G577&lt;&gt;"",HYPERLINK("https://www.tradingview.com/chart/?symbol="&amp;G577&amp;"&amp;interval=240&amp;from="&amp;(AG577-10*14400)&amp;"&amp;to="&amp;(AG577+50*14400),"📈 4H"),"")</f>
        <v/>
      </c>
      <c r="AG577" s="36" t="str">
        <f aca="false">IF(C577&lt;&gt;"",INT((C577+IF(D577&lt;&gt;"",D577,0)-DATE(1970,1,1))*86400),"")</f>
        <v/>
      </c>
    </row>
    <row r="578" customFormat="false" ht="19.5" hidden="false" customHeight="true" outlineLevel="0" collapsed="false">
      <c r="A578" s="37" t="n">
        <f aca="false">ROW()-4</f>
        <v>574</v>
      </c>
      <c r="B578" s="38"/>
      <c r="C578" s="39"/>
      <c r="D578" s="40"/>
      <c r="E578" s="39"/>
      <c r="F578" s="40"/>
      <c r="G578" s="41"/>
      <c r="H578" s="42"/>
      <c r="I578" s="43"/>
      <c r="J578" s="44"/>
      <c r="K578" s="39"/>
      <c r="L578" s="42"/>
      <c r="M578" s="44"/>
      <c r="N578" s="45"/>
      <c r="O578" s="44"/>
      <c r="P578" s="46"/>
      <c r="Q578" s="47" t="str">
        <f aca="false">IF(L578="","",IF(M578&lt;&gt;"",M578*L578*100,IF(AND(O578&lt;&gt;"",B578&lt;&gt;""),IFERROR(AVERAGEIF($B$5:$B$1004,B578,$M$5:$M$1004)*L578*100,""),"")))</f>
        <v/>
      </c>
      <c r="R578" s="47" t="str">
        <f aca="false">IF(AND(O578&lt;&gt;"",L578&lt;&gt;""),O578*L578*100,"")</f>
        <v/>
      </c>
      <c r="S578" s="48" t="str">
        <f aca="false">IF(AND(P578&lt;&gt;"",L578&lt;&gt;""),P578*L578*100,"")</f>
        <v/>
      </c>
      <c r="T578" s="49" t="str">
        <f aca="false">IF(AND(Q578&lt;&gt;"",R578&lt;&gt;""),R578-Q578,"")</f>
        <v/>
      </c>
      <c r="U578" s="50" t="str">
        <f aca="false">IF(AND(Q578&lt;&gt;"",Q578&lt;&gt;0,T578&lt;&gt;""),T578/Q578,"")</f>
        <v/>
      </c>
      <c r="V578" s="51" t="str">
        <f aca="false">IF(AND(S578&lt;&gt;"",Q578&lt;&gt;""),S578-Q578,"")</f>
        <v/>
      </c>
      <c r="W578" s="52" t="str">
        <f aca="false">IF(AND(Q578&lt;&gt;"",Q578&lt;&gt;0,V578&lt;&gt;""),V578/Q578,"")</f>
        <v/>
      </c>
      <c r="X578" s="53" t="s">
        <v>37</v>
      </c>
      <c r="Y578" s="54" t="str">
        <f aca="false">IF(AND(O578&lt;&gt;"",M578&lt;&gt;"",O578&gt;M578),CONCATENATE("1 : ",TEXT((O578-M578)/M578,"0.00")),IF(AND(O578&lt;&gt;"",M578&lt;&gt;"",O578&lt;M578),CONCATENATE("-1 : ",TEXT((M578-O578)/M578,"0.00")),"—"))</f>
        <v>—</v>
      </c>
      <c r="Z578" s="55" t="str">
        <f aca="false">IF(AND(P578&lt;&gt;"",M578&lt;&gt;"",P578&gt;M578),CONCATENATE("1 : ",TEXT((P578-M578)/M578,"0.00")),"—")</f>
        <v>—</v>
      </c>
      <c r="AA578" s="56" t="str">
        <f aca="false">IF(AND(C578&lt;&gt;"",E578&lt;&gt;""),E578-C578,"")</f>
        <v/>
      </c>
      <c r="AB578" s="42"/>
      <c r="AC578" s="57"/>
      <c r="AD578" s="58"/>
      <c r="AE578" s="59" t="str">
        <f aca="false">IF(G578&lt;&gt;"",HYPERLINK("https://www.tradingview.com/chart/?symbol="&amp;G578&amp;"&amp;interval=60&amp;from="&amp;(AG578-10*3600)&amp;"&amp;to="&amp;(AG578+50*3600),"📈 1H"),"")</f>
        <v/>
      </c>
      <c r="AF578" s="60" t="str">
        <f aca="false">IF(G578&lt;&gt;"",HYPERLINK("https://www.tradingview.com/chart/?symbol="&amp;G578&amp;"&amp;interval=240&amp;from="&amp;(AG578-10*14400)&amp;"&amp;to="&amp;(AG578+50*14400),"📈 4H"),"")</f>
        <v/>
      </c>
      <c r="AG578" s="36" t="str">
        <f aca="false">IF(C578&lt;&gt;"",INT((C578+IF(D578&lt;&gt;"",D578,0)-DATE(1970,1,1))*86400),"")</f>
        <v/>
      </c>
    </row>
    <row r="579" customFormat="false" ht="19.5" hidden="false" customHeight="true" outlineLevel="0" collapsed="false">
      <c r="A579" s="12" t="n">
        <f aca="false">ROW()-4</f>
        <v>575</v>
      </c>
      <c r="B579" s="13"/>
      <c r="C579" s="14"/>
      <c r="D579" s="15"/>
      <c r="E579" s="14"/>
      <c r="F579" s="15"/>
      <c r="G579" s="16"/>
      <c r="H579" s="17"/>
      <c r="I579" s="18"/>
      <c r="J579" s="19"/>
      <c r="K579" s="14"/>
      <c r="L579" s="17"/>
      <c r="M579" s="19"/>
      <c r="N579" s="20"/>
      <c r="O579" s="19"/>
      <c r="P579" s="21"/>
      <c r="Q579" s="22" t="str">
        <f aca="false">IF(L579="","",IF(M579&lt;&gt;"",M579*L579*100,IF(AND(O579&lt;&gt;"",B579&lt;&gt;""),IFERROR(AVERAGEIF($B$5:$B$1004,B579,$M$5:$M$1004)*L579*100,""),"")))</f>
        <v/>
      </c>
      <c r="R579" s="22" t="str">
        <f aca="false">IF(AND(O579&lt;&gt;"",L579&lt;&gt;""),O579*L579*100,"")</f>
        <v/>
      </c>
      <c r="S579" s="23" t="str">
        <f aca="false">IF(AND(P579&lt;&gt;"",L579&lt;&gt;""),P579*L579*100,"")</f>
        <v/>
      </c>
      <c r="T579" s="24" t="str">
        <f aca="false">IF(AND(Q579&lt;&gt;"",R579&lt;&gt;""),R579-Q579,"")</f>
        <v/>
      </c>
      <c r="U579" s="25" t="str">
        <f aca="false">IF(AND(Q579&lt;&gt;"",Q579&lt;&gt;0,T579&lt;&gt;""),T579/Q579,"")</f>
        <v/>
      </c>
      <c r="V579" s="26" t="str">
        <f aca="false">IF(AND(S579&lt;&gt;"",Q579&lt;&gt;""),S579-Q579,"")</f>
        <v/>
      </c>
      <c r="W579" s="27" t="str">
        <f aca="false">IF(AND(Q579&lt;&gt;"",Q579&lt;&gt;0,V579&lt;&gt;""),V579/Q579,"")</f>
        <v/>
      </c>
      <c r="X579" s="28" t="s">
        <v>37</v>
      </c>
      <c r="Y579" s="29" t="str">
        <f aca="false">IF(AND(O579&lt;&gt;"",M579&lt;&gt;"",O579&gt;M579),CONCATENATE("1 : ",TEXT((O579-M579)/M579,"0.00")),IF(AND(O579&lt;&gt;"",M579&lt;&gt;"",O579&lt;M579),CONCATENATE("-1 : ",TEXT((M579-O579)/M579,"0.00")),"—"))</f>
        <v>—</v>
      </c>
      <c r="Z579" s="30" t="str">
        <f aca="false">IF(AND(P579&lt;&gt;"",M579&lt;&gt;"",P579&gt;M579),CONCATENATE("1 : ",TEXT((P579-M579)/M579,"0.00")),"—")</f>
        <v>—</v>
      </c>
      <c r="AA579" s="31" t="str">
        <f aca="false">IF(AND(C579&lt;&gt;"",E579&lt;&gt;""),E579-C579,"")</f>
        <v/>
      </c>
      <c r="AB579" s="17"/>
      <c r="AC579" s="32"/>
      <c r="AD579" s="33"/>
      <c r="AE579" s="34" t="str">
        <f aca="false">IF(G579&lt;&gt;"",HYPERLINK("https://www.tradingview.com/chart/?symbol="&amp;G579&amp;"&amp;interval=60&amp;from="&amp;(AG579-10*3600)&amp;"&amp;to="&amp;(AG579+50*3600),"📈 1H"),"")</f>
        <v/>
      </c>
      <c r="AF579" s="35" t="str">
        <f aca="false">IF(G579&lt;&gt;"",HYPERLINK("https://www.tradingview.com/chart/?symbol="&amp;G579&amp;"&amp;interval=240&amp;from="&amp;(AG579-10*14400)&amp;"&amp;to="&amp;(AG579+50*14400),"📈 4H"),"")</f>
        <v/>
      </c>
      <c r="AG579" s="36" t="str">
        <f aca="false">IF(C579&lt;&gt;"",INT((C579+IF(D579&lt;&gt;"",D579,0)-DATE(1970,1,1))*86400),"")</f>
        <v/>
      </c>
    </row>
    <row r="580" customFormat="false" ht="19.5" hidden="false" customHeight="true" outlineLevel="0" collapsed="false">
      <c r="A580" s="37" t="n">
        <f aca="false">ROW()-4</f>
        <v>576</v>
      </c>
      <c r="B580" s="38"/>
      <c r="C580" s="39"/>
      <c r="D580" s="40"/>
      <c r="E580" s="39"/>
      <c r="F580" s="40"/>
      <c r="G580" s="41"/>
      <c r="H580" s="42"/>
      <c r="I580" s="43"/>
      <c r="J580" s="44"/>
      <c r="K580" s="39"/>
      <c r="L580" s="42"/>
      <c r="M580" s="44"/>
      <c r="N580" s="45"/>
      <c r="O580" s="44"/>
      <c r="P580" s="46"/>
      <c r="Q580" s="47" t="str">
        <f aca="false">IF(L580="","",IF(M580&lt;&gt;"",M580*L580*100,IF(AND(O580&lt;&gt;"",B580&lt;&gt;""),IFERROR(AVERAGEIF($B$5:$B$1004,B580,$M$5:$M$1004)*L580*100,""),"")))</f>
        <v/>
      </c>
      <c r="R580" s="47" t="str">
        <f aca="false">IF(AND(O580&lt;&gt;"",L580&lt;&gt;""),O580*L580*100,"")</f>
        <v/>
      </c>
      <c r="S580" s="48" t="str">
        <f aca="false">IF(AND(P580&lt;&gt;"",L580&lt;&gt;""),P580*L580*100,"")</f>
        <v/>
      </c>
      <c r="T580" s="49" t="str">
        <f aca="false">IF(AND(Q580&lt;&gt;"",R580&lt;&gt;""),R580-Q580,"")</f>
        <v/>
      </c>
      <c r="U580" s="50" t="str">
        <f aca="false">IF(AND(Q580&lt;&gt;"",Q580&lt;&gt;0,T580&lt;&gt;""),T580/Q580,"")</f>
        <v/>
      </c>
      <c r="V580" s="51" t="str">
        <f aca="false">IF(AND(S580&lt;&gt;"",Q580&lt;&gt;""),S580-Q580,"")</f>
        <v/>
      </c>
      <c r="W580" s="52" t="str">
        <f aca="false">IF(AND(Q580&lt;&gt;"",Q580&lt;&gt;0,V580&lt;&gt;""),V580/Q580,"")</f>
        <v/>
      </c>
      <c r="X580" s="53" t="s">
        <v>37</v>
      </c>
      <c r="Y580" s="54" t="str">
        <f aca="false">IF(AND(O580&lt;&gt;"",M580&lt;&gt;"",O580&gt;M580),CONCATENATE("1 : ",TEXT((O580-M580)/M580,"0.00")),IF(AND(O580&lt;&gt;"",M580&lt;&gt;"",O580&lt;M580),CONCATENATE("-1 : ",TEXT((M580-O580)/M580,"0.00")),"—"))</f>
        <v>—</v>
      </c>
      <c r="Z580" s="55" t="str">
        <f aca="false">IF(AND(P580&lt;&gt;"",M580&lt;&gt;"",P580&gt;M580),CONCATENATE("1 : ",TEXT((P580-M580)/M580,"0.00")),"—")</f>
        <v>—</v>
      </c>
      <c r="AA580" s="56" t="str">
        <f aca="false">IF(AND(C580&lt;&gt;"",E580&lt;&gt;""),E580-C580,"")</f>
        <v/>
      </c>
      <c r="AB580" s="42"/>
      <c r="AC580" s="57"/>
      <c r="AD580" s="58"/>
      <c r="AE580" s="59" t="str">
        <f aca="false">IF(G580&lt;&gt;"",HYPERLINK("https://www.tradingview.com/chart/?symbol="&amp;G580&amp;"&amp;interval=60&amp;from="&amp;(AG580-10*3600)&amp;"&amp;to="&amp;(AG580+50*3600),"📈 1H"),"")</f>
        <v/>
      </c>
      <c r="AF580" s="60" t="str">
        <f aca="false">IF(G580&lt;&gt;"",HYPERLINK("https://www.tradingview.com/chart/?symbol="&amp;G580&amp;"&amp;interval=240&amp;from="&amp;(AG580-10*14400)&amp;"&amp;to="&amp;(AG580+50*14400),"📈 4H"),"")</f>
        <v/>
      </c>
      <c r="AG580" s="36" t="str">
        <f aca="false">IF(C580&lt;&gt;"",INT((C580+IF(D580&lt;&gt;"",D580,0)-DATE(1970,1,1))*86400),"")</f>
        <v/>
      </c>
    </row>
    <row r="581" customFormat="false" ht="19.5" hidden="false" customHeight="true" outlineLevel="0" collapsed="false">
      <c r="A581" s="12" t="n">
        <f aca="false">ROW()-4</f>
        <v>577</v>
      </c>
      <c r="B581" s="13"/>
      <c r="C581" s="14"/>
      <c r="D581" s="15"/>
      <c r="E581" s="14"/>
      <c r="F581" s="15"/>
      <c r="G581" s="16"/>
      <c r="H581" s="17"/>
      <c r="I581" s="18"/>
      <c r="J581" s="19"/>
      <c r="K581" s="14"/>
      <c r="L581" s="17"/>
      <c r="M581" s="19"/>
      <c r="N581" s="20"/>
      <c r="O581" s="19"/>
      <c r="P581" s="21"/>
      <c r="Q581" s="22" t="str">
        <f aca="false">IF(L581="","",IF(M581&lt;&gt;"",M581*L581*100,IF(AND(O581&lt;&gt;"",B581&lt;&gt;""),IFERROR(AVERAGEIF($B$5:$B$1004,B581,$M$5:$M$1004)*L581*100,""),"")))</f>
        <v/>
      </c>
      <c r="R581" s="22" t="str">
        <f aca="false">IF(AND(O581&lt;&gt;"",L581&lt;&gt;""),O581*L581*100,"")</f>
        <v/>
      </c>
      <c r="S581" s="23" t="str">
        <f aca="false">IF(AND(P581&lt;&gt;"",L581&lt;&gt;""),P581*L581*100,"")</f>
        <v/>
      </c>
      <c r="T581" s="24" t="str">
        <f aca="false">IF(AND(Q581&lt;&gt;"",R581&lt;&gt;""),R581-Q581,"")</f>
        <v/>
      </c>
      <c r="U581" s="25" t="str">
        <f aca="false">IF(AND(Q581&lt;&gt;"",Q581&lt;&gt;0,T581&lt;&gt;""),T581/Q581,"")</f>
        <v/>
      </c>
      <c r="V581" s="26" t="str">
        <f aca="false">IF(AND(S581&lt;&gt;"",Q581&lt;&gt;""),S581-Q581,"")</f>
        <v/>
      </c>
      <c r="W581" s="27" t="str">
        <f aca="false">IF(AND(Q581&lt;&gt;"",Q581&lt;&gt;0,V581&lt;&gt;""),V581/Q581,"")</f>
        <v/>
      </c>
      <c r="X581" s="28" t="s">
        <v>37</v>
      </c>
      <c r="Y581" s="29" t="str">
        <f aca="false">IF(AND(O581&lt;&gt;"",M581&lt;&gt;"",O581&gt;M581),CONCATENATE("1 : ",TEXT((O581-M581)/M581,"0.00")),IF(AND(O581&lt;&gt;"",M581&lt;&gt;"",O581&lt;M581),CONCATENATE("-1 : ",TEXT((M581-O581)/M581,"0.00")),"—"))</f>
        <v>—</v>
      </c>
      <c r="Z581" s="30" t="str">
        <f aca="false">IF(AND(P581&lt;&gt;"",M581&lt;&gt;"",P581&gt;M581),CONCATENATE("1 : ",TEXT((P581-M581)/M581,"0.00")),"—")</f>
        <v>—</v>
      </c>
      <c r="AA581" s="31" t="str">
        <f aca="false">IF(AND(C581&lt;&gt;"",E581&lt;&gt;""),E581-C581,"")</f>
        <v/>
      </c>
      <c r="AB581" s="17"/>
      <c r="AC581" s="32"/>
      <c r="AD581" s="33"/>
      <c r="AE581" s="34" t="str">
        <f aca="false">IF(G581&lt;&gt;"",HYPERLINK("https://www.tradingview.com/chart/?symbol="&amp;G581&amp;"&amp;interval=60&amp;from="&amp;(AG581-10*3600)&amp;"&amp;to="&amp;(AG581+50*3600),"📈 1H"),"")</f>
        <v/>
      </c>
      <c r="AF581" s="35" t="str">
        <f aca="false">IF(G581&lt;&gt;"",HYPERLINK("https://www.tradingview.com/chart/?symbol="&amp;G581&amp;"&amp;interval=240&amp;from="&amp;(AG581-10*14400)&amp;"&amp;to="&amp;(AG581+50*14400),"📈 4H"),"")</f>
        <v/>
      </c>
      <c r="AG581" s="36" t="str">
        <f aca="false">IF(C581&lt;&gt;"",INT((C581+IF(D581&lt;&gt;"",D581,0)-DATE(1970,1,1))*86400),"")</f>
        <v/>
      </c>
    </row>
    <row r="582" customFormat="false" ht="19.5" hidden="false" customHeight="true" outlineLevel="0" collapsed="false">
      <c r="A582" s="37" t="n">
        <f aca="false">ROW()-4</f>
        <v>578</v>
      </c>
      <c r="B582" s="38"/>
      <c r="C582" s="39"/>
      <c r="D582" s="40"/>
      <c r="E582" s="39"/>
      <c r="F582" s="40"/>
      <c r="G582" s="41"/>
      <c r="H582" s="42"/>
      <c r="I582" s="43"/>
      <c r="J582" s="44"/>
      <c r="K582" s="39"/>
      <c r="L582" s="42"/>
      <c r="M582" s="44"/>
      <c r="N582" s="45"/>
      <c r="O582" s="44"/>
      <c r="P582" s="46"/>
      <c r="Q582" s="47" t="str">
        <f aca="false">IF(L582="","",IF(M582&lt;&gt;"",M582*L582*100,IF(AND(O582&lt;&gt;"",B582&lt;&gt;""),IFERROR(AVERAGEIF($B$5:$B$1004,B582,$M$5:$M$1004)*L582*100,""),"")))</f>
        <v/>
      </c>
      <c r="R582" s="47" t="str">
        <f aca="false">IF(AND(O582&lt;&gt;"",L582&lt;&gt;""),O582*L582*100,"")</f>
        <v/>
      </c>
      <c r="S582" s="48" t="str">
        <f aca="false">IF(AND(P582&lt;&gt;"",L582&lt;&gt;""),P582*L582*100,"")</f>
        <v/>
      </c>
      <c r="T582" s="49" t="str">
        <f aca="false">IF(AND(Q582&lt;&gt;"",R582&lt;&gt;""),R582-Q582,"")</f>
        <v/>
      </c>
      <c r="U582" s="50" t="str">
        <f aca="false">IF(AND(Q582&lt;&gt;"",Q582&lt;&gt;0,T582&lt;&gt;""),T582/Q582,"")</f>
        <v/>
      </c>
      <c r="V582" s="51" t="str">
        <f aca="false">IF(AND(S582&lt;&gt;"",Q582&lt;&gt;""),S582-Q582,"")</f>
        <v/>
      </c>
      <c r="W582" s="52" t="str">
        <f aca="false">IF(AND(Q582&lt;&gt;"",Q582&lt;&gt;0,V582&lt;&gt;""),V582/Q582,"")</f>
        <v/>
      </c>
      <c r="X582" s="53" t="s">
        <v>37</v>
      </c>
      <c r="Y582" s="54" t="str">
        <f aca="false">IF(AND(O582&lt;&gt;"",M582&lt;&gt;"",O582&gt;M582),CONCATENATE("1 : ",TEXT((O582-M582)/M582,"0.00")),IF(AND(O582&lt;&gt;"",M582&lt;&gt;"",O582&lt;M582),CONCATENATE("-1 : ",TEXT((M582-O582)/M582,"0.00")),"—"))</f>
        <v>—</v>
      </c>
      <c r="Z582" s="55" t="str">
        <f aca="false">IF(AND(P582&lt;&gt;"",M582&lt;&gt;"",P582&gt;M582),CONCATENATE("1 : ",TEXT((P582-M582)/M582,"0.00")),"—")</f>
        <v>—</v>
      </c>
      <c r="AA582" s="56" t="str">
        <f aca="false">IF(AND(C582&lt;&gt;"",E582&lt;&gt;""),E582-C582,"")</f>
        <v/>
      </c>
      <c r="AB582" s="42"/>
      <c r="AC582" s="57"/>
      <c r="AD582" s="58"/>
      <c r="AE582" s="59" t="str">
        <f aca="false">IF(G582&lt;&gt;"",HYPERLINK("https://www.tradingview.com/chart/?symbol="&amp;G582&amp;"&amp;interval=60&amp;from="&amp;(AG582-10*3600)&amp;"&amp;to="&amp;(AG582+50*3600),"📈 1H"),"")</f>
        <v/>
      </c>
      <c r="AF582" s="60" t="str">
        <f aca="false">IF(G582&lt;&gt;"",HYPERLINK("https://www.tradingview.com/chart/?symbol="&amp;G582&amp;"&amp;interval=240&amp;from="&amp;(AG582-10*14400)&amp;"&amp;to="&amp;(AG582+50*14400),"📈 4H"),"")</f>
        <v/>
      </c>
      <c r="AG582" s="36" t="str">
        <f aca="false">IF(C582&lt;&gt;"",INT((C582+IF(D582&lt;&gt;"",D582,0)-DATE(1970,1,1))*86400),"")</f>
        <v/>
      </c>
    </row>
    <row r="583" customFormat="false" ht="19.5" hidden="false" customHeight="true" outlineLevel="0" collapsed="false">
      <c r="A583" s="12" t="n">
        <f aca="false">ROW()-4</f>
        <v>579</v>
      </c>
      <c r="B583" s="13"/>
      <c r="C583" s="14"/>
      <c r="D583" s="15"/>
      <c r="E583" s="14"/>
      <c r="F583" s="15"/>
      <c r="G583" s="16"/>
      <c r="H583" s="17"/>
      <c r="I583" s="18"/>
      <c r="J583" s="19"/>
      <c r="K583" s="14"/>
      <c r="L583" s="17"/>
      <c r="M583" s="19"/>
      <c r="N583" s="20"/>
      <c r="O583" s="19"/>
      <c r="P583" s="21"/>
      <c r="Q583" s="22" t="str">
        <f aca="false">IF(L583="","",IF(M583&lt;&gt;"",M583*L583*100,IF(AND(O583&lt;&gt;"",B583&lt;&gt;""),IFERROR(AVERAGEIF($B$5:$B$1004,B583,$M$5:$M$1004)*L583*100,""),"")))</f>
        <v/>
      </c>
      <c r="R583" s="22" t="str">
        <f aca="false">IF(AND(O583&lt;&gt;"",L583&lt;&gt;""),O583*L583*100,"")</f>
        <v/>
      </c>
      <c r="S583" s="23" t="str">
        <f aca="false">IF(AND(P583&lt;&gt;"",L583&lt;&gt;""),P583*L583*100,"")</f>
        <v/>
      </c>
      <c r="T583" s="24" t="str">
        <f aca="false">IF(AND(Q583&lt;&gt;"",R583&lt;&gt;""),R583-Q583,"")</f>
        <v/>
      </c>
      <c r="U583" s="25" t="str">
        <f aca="false">IF(AND(Q583&lt;&gt;"",Q583&lt;&gt;0,T583&lt;&gt;""),T583/Q583,"")</f>
        <v/>
      </c>
      <c r="V583" s="26" t="str">
        <f aca="false">IF(AND(S583&lt;&gt;"",Q583&lt;&gt;""),S583-Q583,"")</f>
        <v/>
      </c>
      <c r="W583" s="27" t="str">
        <f aca="false">IF(AND(Q583&lt;&gt;"",Q583&lt;&gt;0,V583&lt;&gt;""),V583/Q583,"")</f>
        <v/>
      </c>
      <c r="X583" s="28" t="s">
        <v>37</v>
      </c>
      <c r="Y583" s="29" t="str">
        <f aca="false">IF(AND(O583&lt;&gt;"",M583&lt;&gt;"",O583&gt;M583),CONCATENATE("1 : ",TEXT((O583-M583)/M583,"0.00")),IF(AND(O583&lt;&gt;"",M583&lt;&gt;"",O583&lt;M583),CONCATENATE("-1 : ",TEXT((M583-O583)/M583,"0.00")),"—"))</f>
        <v>—</v>
      </c>
      <c r="Z583" s="30" t="str">
        <f aca="false">IF(AND(P583&lt;&gt;"",M583&lt;&gt;"",P583&gt;M583),CONCATENATE("1 : ",TEXT((P583-M583)/M583,"0.00")),"—")</f>
        <v>—</v>
      </c>
      <c r="AA583" s="31" t="str">
        <f aca="false">IF(AND(C583&lt;&gt;"",E583&lt;&gt;""),E583-C583,"")</f>
        <v/>
      </c>
      <c r="AB583" s="17"/>
      <c r="AC583" s="32"/>
      <c r="AD583" s="33"/>
      <c r="AE583" s="34" t="str">
        <f aca="false">IF(G583&lt;&gt;"",HYPERLINK("https://www.tradingview.com/chart/?symbol="&amp;G583&amp;"&amp;interval=60&amp;from="&amp;(AG583-10*3600)&amp;"&amp;to="&amp;(AG583+50*3600),"📈 1H"),"")</f>
        <v/>
      </c>
      <c r="AF583" s="35" t="str">
        <f aca="false">IF(G583&lt;&gt;"",HYPERLINK("https://www.tradingview.com/chart/?symbol="&amp;G583&amp;"&amp;interval=240&amp;from="&amp;(AG583-10*14400)&amp;"&amp;to="&amp;(AG583+50*14400),"📈 4H"),"")</f>
        <v/>
      </c>
      <c r="AG583" s="36" t="str">
        <f aca="false">IF(C583&lt;&gt;"",INT((C583+IF(D583&lt;&gt;"",D583,0)-DATE(1970,1,1))*86400),"")</f>
        <v/>
      </c>
    </row>
    <row r="584" customFormat="false" ht="19.5" hidden="false" customHeight="true" outlineLevel="0" collapsed="false">
      <c r="A584" s="37" t="n">
        <f aca="false">ROW()-4</f>
        <v>580</v>
      </c>
      <c r="B584" s="38"/>
      <c r="C584" s="39"/>
      <c r="D584" s="40"/>
      <c r="E584" s="39"/>
      <c r="F584" s="40"/>
      <c r="G584" s="41"/>
      <c r="H584" s="42"/>
      <c r="I584" s="43"/>
      <c r="J584" s="44"/>
      <c r="K584" s="39"/>
      <c r="L584" s="42"/>
      <c r="M584" s="44"/>
      <c r="N584" s="45"/>
      <c r="O584" s="44"/>
      <c r="P584" s="46"/>
      <c r="Q584" s="47" t="str">
        <f aca="false">IF(L584="","",IF(M584&lt;&gt;"",M584*L584*100,IF(AND(O584&lt;&gt;"",B584&lt;&gt;""),IFERROR(AVERAGEIF($B$5:$B$1004,B584,$M$5:$M$1004)*L584*100,""),"")))</f>
        <v/>
      </c>
      <c r="R584" s="47" t="str">
        <f aca="false">IF(AND(O584&lt;&gt;"",L584&lt;&gt;""),O584*L584*100,"")</f>
        <v/>
      </c>
      <c r="S584" s="48" t="str">
        <f aca="false">IF(AND(P584&lt;&gt;"",L584&lt;&gt;""),P584*L584*100,"")</f>
        <v/>
      </c>
      <c r="T584" s="49" t="str">
        <f aca="false">IF(AND(Q584&lt;&gt;"",R584&lt;&gt;""),R584-Q584,"")</f>
        <v/>
      </c>
      <c r="U584" s="50" t="str">
        <f aca="false">IF(AND(Q584&lt;&gt;"",Q584&lt;&gt;0,T584&lt;&gt;""),T584/Q584,"")</f>
        <v/>
      </c>
      <c r="V584" s="51" t="str">
        <f aca="false">IF(AND(S584&lt;&gt;"",Q584&lt;&gt;""),S584-Q584,"")</f>
        <v/>
      </c>
      <c r="W584" s="52" t="str">
        <f aca="false">IF(AND(Q584&lt;&gt;"",Q584&lt;&gt;0,V584&lt;&gt;""),V584/Q584,"")</f>
        <v/>
      </c>
      <c r="X584" s="53" t="s">
        <v>37</v>
      </c>
      <c r="Y584" s="54" t="str">
        <f aca="false">IF(AND(O584&lt;&gt;"",M584&lt;&gt;"",O584&gt;M584),CONCATENATE("1 : ",TEXT((O584-M584)/M584,"0.00")),IF(AND(O584&lt;&gt;"",M584&lt;&gt;"",O584&lt;M584),CONCATENATE("-1 : ",TEXT((M584-O584)/M584,"0.00")),"—"))</f>
        <v>—</v>
      </c>
      <c r="Z584" s="55" t="str">
        <f aca="false">IF(AND(P584&lt;&gt;"",M584&lt;&gt;"",P584&gt;M584),CONCATENATE("1 : ",TEXT((P584-M584)/M584,"0.00")),"—")</f>
        <v>—</v>
      </c>
      <c r="AA584" s="56" t="str">
        <f aca="false">IF(AND(C584&lt;&gt;"",E584&lt;&gt;""),E584-C584,"")</f>
        <v/>
      </c>
      <c r="AB584" s="42"/>
      <c r="AC584" s="57"/>
      <c r="AD584" s="58"/>
      <c r="AE584" s="59" t="str">
        <f aca="false">IF(G584&lt;&gt;"",HYPERLINK("https://www.tradingview.com/chart/?symbol="&amp;G584&amp;"&amp;interval=60&amp;from="&amp;(AG584-10*3600)&amp;"&amp;to="&amp;(AG584+50*3600),"📈 1H"),"")</f>
        <v/>
      </c>
      <c r="AF584" s="60" t="str">
        <f aca="false">IF(G584&lt;&gt;"",HYPERLINK("https://www.tradingview.com/chart/?symbol="&amp;G584&amp;"&amp;interval=240&amp;from="&amp;(AG584-10*14400)&amp;"&amp;to="&amp;(AG584+50*14400),"📈 4H"),"")</f>
        <v/>
      </c>
      <c r="AG584" s="36" t="str">
        <f aca="false">IF(C584&lt;&gt;"",INT((C584+IF(D584&lt;&gt;"",D584,0)-DATE(1970,1,1))*86400),"")</f>
        <v/>
      </c>
    </row>
    <row r="585" customFormat="false" ht="19.5" hidden="false" customHeight="true" outlineLevel="0" collapsed="false">
      <c r="A585" s="12" t="n">
        <f aca="false">ROW()-4</f>
        <v>581</v>
      </c>
      <c r="B585" s="13"/>
      <c r="C585" s="14"/>
      <c r="D585" s="15"/>
      <c r="E585" s="14"/>
      <c r="F585" s="15"/>
      <c r="G585" s="16"/>
      <c r="H585" s="17"/>
      <c r="I585" s="18"/>
      <c r="J585" s="19"/>
      <c r="K585" s="14"/>
      <c r="L585" s="17"/>
      <c r="M585" s="19"/>
      <c r="N585" s="20"/>
      <c r="O585" s="19"/>
      <c r="P585" s="21"/>
      <c r="Q585" s="22" t="str">
        <f aca="false">IF(L585="","",IF(M585&lt;&gt;"",M585*L585*100,IF(AND(O585&lt;&gt;"",B585&lt;&gt;""),IFERROR(AVERAGEIF($B$5:$B$1004,B585,$M$5:$M$1004)*L585*100,""),"")))</f>
        <v/>
      </c>
      <c r="R585" s="22" t="str">
        <f aca="false">IF(AND(O585&lt;&gt;"",L585&lt;&gt;""),O585*L585*100,"")</f>
        <v/>
      </c>
      <c r="S585" s="23" t="str">
        <f aca="false">IF(AND(P585&lt;&gt;"",L585&lt;&gt;""),P585*L585*100,"")</f>
        <v/>
      </c>
      <c r="T585" s="24" t="str">
        <f aca="false">IF(AND(Q585&lt;&gt;"",R585&lt;&gt;""),R585-Q585,"")</f>
        <v/>
      </c>
      <c r="U585" s="25" t="str">
        <f aca="false">IF(AND(Q585&lt;&gt;"",Q585&lt;&gt;0,T585&lt;&gt;""),T585/Q585,"")</f>
        <v/>
      </c>
      <c r="V585" s="26" t="str">
        <f aca="false">IF(AND(S585&lt;&gt;"",Q585&lt;&gt;""),S585-Q585,"")</f>
        <v/>
      </c>
      <c r="W585" s="27" t="str">
        <f aca="false">IF(AND(Q585&lt;&gt;"",Q585&lt;&gt;0,V585&lt;&gt;""),V585/Q585,"")</f>
        <v/>
      </c>
      <c r="X585" s="28" t="s">
        <v>37</v>
      </c>
      <c r="Y585" s="29" t="str">
        <f aca="false">IF(AND(O585&lt;&gt;"",M585&lt;&gt;"",O585&gt;M585),CONCATENATE("1 : ",TEXT((O585-M585)/M585,"0.00")),IF(AND(O585&lt;&gt;"",M585&lt;&gt;"",O585&lt;M585),CONCATENATE("-1 : ",TEXT((M585-O585)/M585,"0.00")),"—"))</f>
        <v>—</v>
      </c>
      <c r="Z585" s="30" t="str">
        <f aca="false">IF(AND(P585&lt;&gt;"",M585&lt;&gt;"",P585&gt;M585),CONCATENATE("1 : ",TEXT((P585-M585)/M585,"0.00")),"—")</f>
        <v>—</v>
      </c>
      <c r="AA585" s="31" t="str">
        <f aca="false">IF(AND(C585&lt;&gt;"",E585&lt;&gt;""),E585-C585,"")</f>
        <v/>
      </c>
      <c r="AB585" s="17"/>
      <c r="AC585" s="32"/>
      <c r="AD585" s="33"/>
      <c r="AE585" s="34" t="str">
        <f aca="false">IF(G585&lt;&gt;"",HYPERLINK("https://www.tradingview.com/chart/?symbol="&amp;G585&amp;"&amp;interval=60&amp;from="&amp;(AG585-10*3600)&amp;"&amp;to="&amp;(AG585+50*3600),"📈 1H"),"")</f>
        <v/>
      </c>
      <c r="AF585" s="35" t="str">
        <f aca="false">IF(G585&lt;&gt;"",HYPERLINK("https://www.tradingview.com/chart/?symbol="&amp;G585&amp;"&amp;interval=240&amp;from="&amp;(AG585-10*14400)&amp;"&amp;to="&amp;(AG585+50*14400),"📈 4H"),"")</f>
        <v/>
      </c>
      <c r="AG585" s="36" t="str">
        <f aca="false">IF(C585&lt;&gt;"",INT((C585+IF(D585&lt;&gt;"",D585,0)-DATE(1970,1,1))*86400),"")</f>
        <v/>
      </c>
    </row>
    <row r="586" customFormat="false" ht="19.5" hidden="false" customHeight="true" outlineLevel="0" collapsed="false">
      <c r="A586" s="37" t="n">
        <f aca="false">ROW()-4</f>
        <v>582</v>
      </c>
      <c r="B586" s="38"/>
      <c r="C586" s="39"/>
      <c r="D586" s="40"/>
      <c r="E586" s="39"/>
      <c r="F586" s="40"/>
      <c r="G586" s="41"/>
      <c r="H586" s="42"/>
      <c r="I586" s="43"/>
      <c r="J586" s="44"/>
      <c r="K586" s="39"/>
      <c r="L586" s="42"/>
      <c r="M586" s="44"/>
      <c r="N586" s="45"/>
      <c r="O586" s="44"/>
      <c r="P586" s="46"/>
      <c r="Q586" s="47" t="str">
        <f aca="false">IF(L586="","",IF(M586&lt;&gt;"",M586*L586*100,IF(AND(O586&lt;&gt;"",B586&lt;&gt;""),IFERROR(AVERAGEIF($B$5:$B$1004,B586,$M$5:$M$1004)*L586*100,""),"")))</f>
        <v/>
      </c>
      <c r="R586" s="47" t="str">
        <f aca="false">IF(AND(O586&lt;&gt;"",L586&lt;&gt;""),O586*L586*100,"")</f>
        <v/>
      </c>
      <c r="S586" s="48" t="str">
        <f aca="false">IF(AND(P586&lt;&gt;"",L586&lt;&gt;""),P586*L586*100,"")</f>
        <v/>
      </c>
      <c r="T586" s="49" t="str">
        <f aca="false">IF(AND(Q586&lt;&gt;"",R586&lt;&gt;""),R586-Q586,"")</f>
        <v/>
      </c>
      <c r="U586" s="50" t="str">
        <f aca="false">IF(AND(Q586&lt;&gt;"",Q586&lt;&gt;0,T586&lt;&gt;""),T586/Q586,"")</f>
        <v/>
      </c>
      <c r="V586" s="51" t="str">
        <f aca="false">IF(AND(S586&lt;&gt;"",Q586&lt;&gt;""),S586-Q586,"")</f>
        <v/>
      </c>
      <c r="W586" s="52" t="str">
        <f aca="false">IF(AND(Q586&lt;&gt;"",Q586&lt;&gt;0,V586&lt;&gt;""),V586/Q586,"")</f>
        <v/>
      </c>
      <c r="X586" s="53" t="s">
        <v>37</v>
      </c>
      <c r="Y586" s="54" t="str">
        <f aca="false">IF(AND(O586&lt;&gt;"",M586&lt;&gt;"",O586&gt;M586),CONCATENATE("1 : ",TEXT((O586-M586)/M586,"0.00")),IF(AND(O586&lt;&gt;"",M586&lt;&gt;"",O586&lt;M586),CONCATENATE("-1 : ",TEXT((M586-O586)/M586,"0.00")),"—"))</f>
        <v>—</v>
      </c>
      <c r="Z586" s="55" t="str">
        <f aca="false">IF(AND(P586&lt;&gt;"",M586&lt;&gt;"",P586&gt;M586),CONCATENATE("1 : ",TEXT((P586-M586)/M586,"0.00")),"—")</f>
        <v>—</v>
      </c>
      <c r="AA586" s="56" t="str">
        <f aca="false">IF(AND(C586&lt;&gt;"",E586&lt;&gt;""),E586-C586,"")</f>
        <v/>
      </c>
      <c r="AB586" s="42"/>
      <c r="AC586" s="57"/>
      <c r="AD586" s="58"/>
      <c r="AE586" s="59" t="str">
        <f aca="false">IF(G586&lt;&gt;"",HYPERLINK("https://www.tradingview.com/chart/?symbol="&amp;G586&amp;"&amp;interval=60&amp;from="&amp;(AG586-10*3600)&amp;"&amp;to="&amp;(AG586+50*3600),"📈 1H"),"")</f>
        <v/>
      </c>
      <c r="AF586" s="60" t="str">
        <f aca="false">IF(G586&lt;&gt;"",HYPERLINK("https://www.tradingview.com/chart/?symbol="&amp;G586&amp;"&amp;interval=240&amp;from="&amp;(AG586-10*14400)&amp;"&amp;to="&amp;(AG586+50*14400),"📈 4H"),"")</f>
        <v/>
      </c>
      <c r="AG586" s="36" t="str">
        <f aca="false">IF(C586&lt;&gt;"",INT((C586+IF(D586&lt;&gt;"",D586,0)-DATE(1970,1,1))*86400),"")</f>
        <v/>
      </c>
    </row>
    <row r="587" customFormat="false" ht="19.5" hidden="false" customHeight="true" outlineLevel="0" collapsed="false">
      <c r="A587" s="12" t="n">
        <f aca="false">ROW()-4</f>
        <v>583</v>
      </c>
      <c r="B587" s="13"/>
      <c r="C587" s="14"/>
      <c r="D587" s="15"/>
      <c r="E587" s="14"/>
      <c r="F587" s="15"/>
      <c r="G587" s="16"/>
      <c r="H587" s="17"/>
      <c r="I587" s="18"/>
      <c r="J587" s="19"/>
      <c r="K587" s="14"/>
      <c r="L587" s="17"/>
      <c r="M587" s="19"/>
      <c r="N587" s="20"/>
      <c r="O587" s="19"/>
      <c r="P587" s="21"/>
      <c r="Q587" s="22" t="str">
        <f aca="false">IF(L587="","",IF(M587&lt;&gt;"",M587*L587*100,IF(AND(O587&lt;&gt;"",B587&lt;&gt;""),IFERROR(AVERAGEIF($B$5:$B$1004,B587,$M$5:$M$1004)*L587*100,""),"")))</f>
        <v/>
      </c>
      <c r="R587" s="22" t="str">
        <f aca="false">IF(AND(O587&lt;&gt;"",L587&lt;&gt;""),O587*L587*100,"")</f>
        <v/>
      </c>
      <c r="S587" s="23" t="str">
        <f aca="false">IF(AND(P587&lt;&gt;"",L587&lt;&gt;""),P587*L587*100,"")</f>
        <v/>
      </c>
      <c r="T587" s="24" t="str">
        <f aca="false">IF(AND(Q587&lt;&gt;"",R587&lt;&gt;""),R587-Q587,"")</f>
        <v/>
      </c>
      <c r="U587" s="25" t="str">
        <f aca="false">IF(AND(Q587&lt;&gt;"",Q587&lt;&gt;0,T587&lt;&gt;""),T587/Q587,"")</f>
        <v/>
      </c>
      <c r="V587" s="26" t="str">
        <f aca="false">IF(AND(S587&lt;&gt;"",Q587&lt;&gt;""),S587-Q587,"")</f>
        <v/>
      </c>
      <c r="W587" s="27" t="str">
        <f aca="false">IF(AND(Q587&lt;&gt;"",Q587&lt;&gt;0,V587&lt;&gt;""),V587/Q587,"")</f>
        <v/>
      </c>
      <c r="X587" s="28" t="s">
        <v>37</v>
      </c>
      <c r="Y587" s="29" t="str">
        <f aca="false">IF(AND(O587&lt;&gt;"",M587&lt;&gt;"",O587&gt;M587),CONCATENATE("1 : ",TEXT((O587-M587)/M587,"0.00")),IF(AND(O587&lt;&gt;"",M587&lt;&gt;"",O587&lt;M587),CONCATENATE("-1 : ",TEXT((M587-O587)/M587,"0.00")),"—"))</f>
        <v>—</v>
      </c>
      <c r="Z587" s="30" t="str">
        <f aca="false">IF(AND(P587&lt;&gt;"",M587&lt;&gt;"",P587&gt;M587),CONCATENATE("1 : ",TEXT((P587-M587)/M587,"0.00")),"—")</f>
        <v>—</v>
      </c>
      <c r="AA587" s="31" t="str">
        <f aca="false">IF(AND(C587&lt;&gt;"",E587&lt;&gt;""),E587-C587,"")</f>
        <v/>
      </c>
      <c r="AB587" s="17"/>
      <c r="AC587" s="32"/>
      <c r="AD587" s="33"/>
      <c r="AE587" s="34" t="str">
        <f aca="false">IF(G587&lt;&gt;"",HYPERLINK("https://www.tradingview.com/chart/?symbol="&amp;G587&amp;"&amp;interval=60&amp;from="&amp;(AG587-10*3600)&amp;"&amp;to="&amp;(AG587+50*3600),"📈 1H"),"")</f>
        <v/>
      </c>
      <c r="AF587" s="35" t="str">
        <f aca="false">IF(G587&lt;&gt;"",HYPERLINK("https://www.tradingview.com/chart/?symbol="&amp;G587&amp;"&amp;interval=240&amp;from="&amp;(AG587-10*14400)&amp;"&amp;to="&amp;(AG587+50*14400),"📈 4H"),"")</f>
        <v/>
      </c>
      <c r="AG587" s="36" t="str">
        <f aca="false">IF(C587&lt;&gt;"",INT((C587+IF(D587&lt;&gt;"",D587,0)-DATE(1970,1,1))*86400),"")</f>
        <v/>
      </c>
    </row>
    <row r="588" customFormat="false" ht="19.5" hidden="false" customHeight="true" outlineLevel="0" collapsed="false">
      <c r="A588" s="37" t="n">
        <f aca="false">ROW()-4</f>
        <v>584</v>
      </c>
      <c r="B588" s="38"/>
      <c r="C588" s="39"/>
      <c r="D588" s="40"/>
      <c r="E588" s="39"/>
      <c r="F588" s="40"/>
      <c r="G588" s="41"/>
      <c r="H588" s="42"/>
      <c r="I588" s="43"/>
      <c r="J588" s="44"/>
      <c r="K588" s="39"/>
      <c r="L588" s="42"/>
      <c r="M588" s="44"/>
      <c r="N588" s="45"/>
      <c r="O588" s="44"/>
      <c r="P588" s="46"/>
      <c r="Q588" s="47" t="str">
        <f aca="false">IF(L588="","",IF(M588&lt;&gt;"",M588*L588*100,IF(AND(O588&lt;&gt;"",B588&lt;&gt;""),IFERROR(AVERAGEIF($B$5:$B$1004,B588,$M$5:$M$1004)*L588*100,""),"")))</f>
        <v/>
      </c>
      <c r="R588" s="47" t="str">
        <f aca="false">IF(AND(O588&lt;&gt;"",L588&lt;&gt;""),O588*L588*100,"")</f>
        <v/>
      </c>
      <c r="S588" s="48" t="str">
        <f aca="false">IF(AND(P588&lt;&gt;"",L588&lt;&gt;""),P588*L588*100,"")</f>
        <v/>
      </c>
      <c r="T588" s="49" t="str">
        <f aca="false">IF(AND(Q588&lt;&gt;"",R588&lt;&gt;""),R588-Q588,"")</f>
        <v/>
      </c>
      <c r="U588" s="50" t="str">
        <f aca="false">IF(AND(Q588&lt;&gt;"",Q588&lt;&gt;0,T588&lt;&gt;""),T588/Q588,"")</f>
        <v/>
      </c>
      <c r="V588" s="51" t="str">
        <f aca="false">IF(AND(S588&lt;&gt;"",Q588&lt;&gt;""),S588-Q588,"")</f>
        <v/>
      </c>
      <c r="W588" s="52" t="str">
        <f aca="false">IF(AND(Q588&lt;&gt;"",Q588&lt;&gt;0,V588&lt;&gt;""),V588/Q588,"")</f>
        <v/>
      </c>
      <c r="X588" s="53" t="s">
        <v>37</v>
      </c>
      <c r="Y588" s="54" t="str">
        <f aca="false">IF(AND(O588&lt;&gt;"",M588&lt;&gt;"",O588&gt;M588),CONCATENATE("1 : ",TEXT((O588-M588)/M588,"0.00")),IF(AND(O588&lt;&gt;"",M588&lt;&gt;"",O588&lt;M588),CONCATENATE("-1 : ",TEXT((M588-O588)/M588,"0.00")),"—"))</f>
        <v>—</v>
      </c>
      <c r="Z588" s="55" t="str">
        <f aca="false">IF(AND(P588&lt;&gt;"",M588&lt;&gt;"",P588&gt;M588),CONCATENATE("1 : ",TEXT((P588-M588)/M588,"0.00")),"—")</f>
        <v>—</v>
      </c>
      <c r="AA588" s="56" t="str">
        <f aca="false">IF(AND(C588&lt;&gt;"",E588&lt;&gt;""),E588-C588,"")</f>
        <v/>
      </c>
      <c r="AB588" s="42"/>
      <c r="AC588" s="57"/>
      <c r="AD588" s="58"/>
      <c r="AE588" s="59" t="str">
        <f aca="false">IF(G588&lt;&gt;"",HYPERLINK("https://www.tradingview.com/chart/?symbol="&amp;G588&amp;"&amp;interval=60&amp;from="&amp;(AG588-10*3600)&amp;"&amp;to="&amp;(AG588+50*3600),"📈 1H"),"")</f>
        <v/>
      </c>
      <c r="AF588" s="60" t="str">
        <f aca="false">IF(G588&lt;&gt;"",HYPERLINK("https://www.tradingview.com/chart/?symbol="&amp;G588&amp;"&amp;interval=240&amp;from="&amp;(AG588-10*14400)&amp;"&amp;to="&amp;(AG588+50*14400),"📈 4H"),"")</f>
        <v/>
      </c>
      <c r="AG588" s="36" t="str">
        <f aca="false">IF(C588&lt;&gt;"",INT((C588+IF(D588&lt;&gt;"",D588,0)-DATE(1970,1,1))*86400),"")</f>
        <v/>
      </c>
    </row>
    <row r="589" customFormat="false" ht="19.5" hidden="false" customHeight="true" outlineLevel="0" collapsed="false">
      <c r="A589" s="12" t="n">
        <f aca="false">ROW()-4</f>
        <v>585</v>
      </c>
      <c r="B589" s="13"/>
      <c r="C589" s="14"/>
      <c r="D589" s="15"/>
      <c r="E589" s="14"/>
      <c r="F589" s="15"/>
      <c r="G589" s="16"/>
      <c r="H589" s="17"/>
      <c r="I589" s="18"/>
      <c r="J589" s="19"/>
      <c r="K589" s="14"/>
      <c r="L589" s="17"/>
      <c r="M589" s="19"/>
      <c r="N589" s="20"/>
      <c r="O589" s="19"/>
      <c r="P589" s="21"/>
      <c r="Q589" s="22" t="str">
        <f aca="false">IF(L589="","",IF(M589&lt;&gt;"",M589*L589*100,IF(AND(O589&lt;&gt;"",B589&lt;&gt;""),IFERROR(AVERAGEIF($B$5:$B$1004,B589,$M$5:$M$1004)*L589*100,""),"")))</f>
        <v/>
      </c>
      <c r="R589" s="22" t="str">
        <f aca="false">IF(AND(O589&lt;&gt;"",L589&lt;&gt;""),O589*L589*100,"")</f>
        <v/>
      </c>
      <c r="S589" s="23" t="str">
        <f aca="false">IF(AND(P589&lt;&gt;"",L589&lt;&gt;""),P589*L589*100,"")</f>
        <v/>
      </c>
      <c r="T589" s="24" t="str">
        <f aca="false">IF(AND(Q589&lt;&gt;"",R589&lt;&gt;""),R589-Q589,"")</f>
        <v/>
      </c>
      <c r="U589" s="25" t="str">
        <f aca="false">IF(AND(Q589&lt;&gt;"",Q589&lt;&gt;0,T589&lt;&gt;""),T589/Q589,"")</f>
        <v/>
      </c>
      <c r="V589" s="26" t="str">
        <f aca="false">IF(AND(S589&lt;&gt;"",Q589&lt;&gt;""),S589-Q589,"")</f>
        <v/>
      </c>
      <c r="W589" s="27" t="str">
        <f aca="false">IF(AND(Q589&lt;&gt;"",Q589&lt;&gt;0,V589&lt;&gt;""),V589/Q589,"")</f>
        <v/>
      </c>
      <c r="X589" s="28" t="s">
        <v>37</v>
      </c>
      <c r="Y589" s="29" t="str">
        <f aca="false">IF(AND(O589&lt;&gt;"",M589&lt;&gt;"",O589&gt;M589),CONCATENATE("1 : ",TEXT((O589-M589)/M589,"0.00")),IF(AND(O589&lt;&gt;"",M589&lt;&gt;"",O589&lt;M589),CONCATENATE("-1 : ",TEXT((M589-O589)/M589,"0.00")),"—"))</f>
        <v>—</v>
      </c>
      <c r="Z589" s="30" t="str">
        <f aca="false">IF(AND(P589&lt;&gt;"",M589&lt;&gt;"",P589&gt;M589),CONCATENATE("1 : ",TEXT((P589-M589)/M589,"0.00")),"—")</f>
        <v>—</v>
      </c>
      <c r="AA589" s="31" t="str">
        <f aca="false">IF(AND(C589&lt;&gt;"",E589&lt;&gt;""),E589-C589,"")</f>
        <v/>
      </c>
      <c r="AB589" s="17"/>
      <c r="AC589" s="32"/>
      <c r="AD589" s="33"/>
      <c r="AE589" s="34" t="str">
        <f aca="false">IF(G589&lt;&gt;"",HYPERLINK("https://www.tradingview.com/chart/?symbol="&amp;G589&amp;"&amp;interval=60&amp;from="&amp;(AG589-10*3600)&amp;"&amp;to="&amp;(AG589+50*3600),"📈 1H"),"")</f>
        <v/>
      </c>
      <c r="AF589" s="35" t="str">
        <f aca="false">IF(G589&lt;&gt;"",HYPERLINK("https://www.tradingview.com/chart/?symbol="&amp;G589&amp;"&amp;interval=240&amp;from="&amp;(AG589-10*14400)&amp;"&amp;to="&amp;(AG589+50*14400),"📈 4H"),"")</f>
        <v/>
      </c>
      <c r="AG589" s="36" t="str">
        <f aca="false">IF(C589&lt;&gt;"",INT((C589+IF(D589&lt;&gt;"",D589,0)-DATE(1970,1,1))*86400),"")</f>
        <v/>
      </c>
    </row>
    <row r="590" customFormat="false" ht="19.5" hidden="false" customHeight="true" outlineLevel="0" collapsed="false">
      <c r="A590" s="37" t="n">
        <f aca="false">ROW()-4</f>
        <v>586</v>
      </c>
      <c r="B590" s="38"/>
      <c r="C590" s="39"/>
      <c r="D590" s="40"/>
      <c r="E590" s="39"/>
      <c r="F590" s="40"/>
      <c r="G590" s="41"/>
      <c r="H590" s="42"/>
      <c r="I590" s="43"/>
      <c r="J590" s="44"/>
      <c r="K590" s="39"/>
      <c r="L590" s="42"/>
      <c r="M590" s="44"/>
      <c r="N590" s="45"/>
      <c r="O590" s="44"/>
      <c r="P590" s="46"/>
      <c r="Q590" s="47" t="str">
        <f aca="false">IF(L590="","",IF(M590&lt;&gt;"",M590*L590*100,IF(AND(O590&lt;&gt;"",B590&lt;&gt;""),IFERROR(AVERAGEIF($B$5:$B$1004,B590,$M$5:$M$1004)*L590*100,""),"")))</f>
        <v/>
      </c>
      <c r="R590" s="47" t="str">
        <f aca="false">IF(AND(O590&lt;&gt;"",L590&lt;&gt;""),O590*L590*100,"")</f>
        <v/>
      </c>
      <c r="S590" s="48" t="str">
        <f aca="false">IF(AND(P590&lt;&gt;"",L590&lt;&gt;""),P590*L590*100,"")</f>
        <v/>
      </c>
      <c r="T590" s="49" t="str">
        <f aca="false">IF(AND(Q590&lt;&gt;"",R590&lt;&gt;""),R590-Q590,"")</f>
        <v/>
      </c>
      <c r="U590" s="50" t="str">
        <f aca="false">IF(AND(Q590&lt;&gt;"",Q590&lt;&gt;0,T590&lt;&gt;""),T590/Q590,"")</f>
        <v/>
      </c>
      <c r="V590" s="51" t="str">
        <f aca="false">IF(AND(S590&lt;&gt;"",Q590&lt;&gt;""),S590-Q590,"")</f>
        <v/>
      </c>
      <c r="W590" s="52" t="str">
        <f aca="false">IF(AND(Q590&lt;&gt;"",Q590&lt;&gt;0,V590&lt;&gt;""),V590/Q590,"")</f>
        <v/>
      </c>
      <c r="X590" s="53" t="s">
        <v>37</v>
      </c>
      <c r="Y590" s="54" t="str">
        <f aca="false">IF(AND(O590&lt;&gt;"",M590&lt;&gt;"",O590&gt;M590),CONCATENATE("1 : ",TEXT((O590-M590)/M590,"0.00")),IF(AND(O590&lt;&gt;"",M590&lt;&gt;"",O590&lt;M590),CONCATENATE("-1 : ",TEXT((M590-O590)/M590,"0.00")),"—"))</f>
        <v>—</v>
      </c>
      <c r="Z590" s="55" t="str">
        <f aca="false">IF(AND(P590&lt;&gt;"",M590&lt;&gt;"",P590&gt;M590),CONCATENATE("1 : ",TEXT((P590-M590)/M590,"0.00")),"—")</f>
        <v>—</v>
      </c>
      <c r="AA590" s="56" t="str">
        <f aca="false">IF(AND(C590&lt;&gt;"",E590&lt;&gt;""),E590-C590,"")</f>
        <v/>
      </c>
      <c r="AB590" s="42"/>
      <c r="AC590" s="57"/>
      <c r="AD590" s="58"/>
      <c r="AE590" s="59" t="str">
        <f aca="false">IF(G590&lt;&gt;"",HYPERLINK("https://www.tradingview.com/chart/?symbol="&amp;G590&amp;"&amp;interval=60&amp;from="&amp;(AG590-10*3600)&amp;"&amp;to="&amp;(AG590+50*3600),"📈 1H"),"")</f>
        <v/>
      </c>
      <c r="AF590" s="60" t="str">
        <f aca="false">IF(G590&lt;&gt;"",HYPERLINK("https://www.tradingview.com/chart/?symbol="&amp;G590&amp;"&amp;interval=240&amp;from="&amp;(AG590-10*14400)&amp;"&amp;to="&amp;(AG590+50*14400),"📈 4H"),"")</f>
        <v/>
      </c>
      <c r="AG590" s="36" t="str">
        <f aca="false">IF(C590&lt;&gt;"",INT((C590+IF(D590&lt;&gt;"",D590,0)-DATE(1970,1,1))*86400),"")</f>
        <v/>
      </c>
    </row>
    <row r="591" customFormat="false" ht="19.5" hidden="false" customHeight="true" outlineLevel="0" collapsed="false">
      <c r="A591" s="12" t="n">
        <f aca="false">ROW()-4</f>
        <v>587</v>
      </c>
      <c r="B591" s="13"/>
      <c r="C591" s="14"/>
      <c r="D591" s="15"/>
      <c r="E591" s="14"/>
      <c r="F591" s="15"/>
      <c r="G591" s="16"/>
      <c r="H591" s="17"/>
      <c r="I591" s="18"/>
      <c r="J591" s="19"/>
      <c r="K591" s="14"/>
      <c r="L591" s="17"/>
      <c r="M591" s="19"/>
      <c r="N591" s="20"/>
      <c r="O591" s="19"/>
      <c r="P591" s="21"/>
      <c r="Q591" s="22" t="str">
        <f aca="false">IF(L591="","",IF(M591&lt;&gt;"",M591*L591*100,IF(AND(O591&lt;&gt;"",B591&lt;&gt;""),IFERROR(AVERAGEIF($B$5:$B$1004,B591,$M$5:$M$1004)*L591*100,""),"")))</f>
        <v/>
      </c>
      <c r="R591" s="22" t="str">
        <f aca="false">IF(AND(O591&lt;&gt;"",L591&lt;&gt;""),O591*L591*100,"")</f>
        <v/>
      </c>
      <c r="S591" s="23" t="str">
        <f aca="false">IF(AND(P591&lt;&gt;"",L591&lt;&gt;""),P591*L591*100,"")</f>
        <v/>
      </c>
      <c r="T591" s="24" t="str">
        <f aca="false">IF(AND(Q591&lt;&gt;"",R591&lt;&gt;""),R591-Q591,"")</f>
        <v/>
      </c>
      <c r="U591" s="25" t="str">
        <f aca="false">IF(AND(Q591&lt;&gt;"",Q591&lt;&gt;0,T591&lt;&gt;""),T591/Q591,"")</f>
        <v/>
      </c>
      <c r="V591" s="26" t="str">
        <f aca="false">IF(AND(S591&lt;&gt;"",Q591&lt;&gt;""),S591-Q591,"")</f>
        <v/>
      </c>
      <c r="W591" s="27" t="str">
        <f aca="false">IF(AND(Q591&lt;&gt;"",Q591&lt;&gt;0,V591&lt;&gt;""),V591/Q591,"")</f>
        <v/>
      </c>
      <c r="X591" s="28" t="s">
        <v>37</v>
      </c>
      <c r="Y591" s="29" t="str">
        <f aca="false">IF(AND(O591&lt;&gt;"",M591&lt;&gt;"",O591&gt;M591),CONCATENATE("1 : ",TEXT((O591-M591)/M591,"0.00")),IF(AND(O591&lt;&gt;"",M591&lt;&gt;"",O591&lt;M591),CONCATENATE("-1 : ",TEXT((M591-O591)/M591,"0.00")),"—"))</f>
        <v>—</v>
      </c>
      <c r="Z591" s="30" t="str">
        <f aca="false">IF(AND(P591&lt;&gt;"",M591&lt;&gt;"",P591&gt;M591),CONCATENATE("1 : ",TEXT((P591-M591)/M591,"0.00")),"—")</f>
        <v>—</v>
      </c>
      <c r="AA591" s="31" t="str">
        <f aca="false">IF(AND(C591&lt;&gt;"",E591&lt;&gt;""),E591-C591,"")</f>
        <v/>
      </c>
      <c r="AB591" s="17"/>
      <c r="AC591" s="32"/>
      <c r="AD591" s="33"/>
      <c r="AE591" s="34" t="str">
        <f aca="false">IF(G591&lt;&gt;"",HYPERLINK("https://www.tradingview.com/chart/?symbol="&amp;G591&amp;"&amp;interval=60&amp;from="&amp;(AG591-10*3600)&amp;"&amp;to="&amp;(AG591+50*3600),"📈 1H"),"")</f>
        <v/>
      </c>
      <c r="AF591" s="35" t="str">
        <f aca="false">IF(G591&lt;&gt;"",HYPERLINK("https://www.tradingview.com/chart/?symbol="&amp;G591&amp;"&amp;interval=240&amp;from="&amp;(AG591-10*14400)&amp;"&amp;to="&amp;(AG591+50*14400),"📈 4H"),"")</f>
        <v/>
      </c>
      <c r="AG591" s="36" t="str">
        <f aca="false">IF(C591&lt;&gt;"",INT((C591+IF(D591&lt;&gt;"",D591,0)-DATE(1970,1,1))*86400),"")</f>
        <v/>
      </c>
    </row>
    <row r="592" customFormat="false" ht="19.5" hidden="false" customHeight="true" outlineLevel="0" collapsed="false">
      <c r="A592" s="37" t="n">
        <f aca="false">ROW()-4</f>
        <v>588</v>
      </c>
      <c r="B592" s="38"/>
      <c r="C592" s="39"/>
      <c r="D592" s="40"/>
      <c r="E592" s="39"/>
      <c r="F592" s="40"/>
      <c r="G592" s="41"/>
      <c r="H592" s="42"/>
      <c r="I592" s="43"/>
      <c r="J592" s="44"/>
      <c r="K592" s="39"/>
      <c r="L592" s="42"/>
      <c r="M592" s="44"/>
      <c r="N592" s="45"/>
      <c r="O592" s="44"/>
      <c r="P592" s="46"/>
      <c r="Q592" s="47" t="str">
        <f aca="false">IF(L592="","",IF(M592&lt;&gt;"",M592*L592*100,IF(AND(O592&lt;&gt;"",B592&lt;&gt;""),IFERROR(AVERAGEIF($B$5:$B$1004,B592,$M$5:$M$1004)*L592*100,""),"")))</f>
        <v/>
      </c>
      <c r="R592" s="47" t="str">
        <f aca="false">IF(AND(O592&lt;&gt;"",L592&lt;&gt;""),O592*L592*100,"")</f>
        <v/>
      </c>
      <c r="S592" s="48" t="str">
        <f aca="false">IF(AND(P592&lt;&gt;"",L592&lt;&gt;""),P592*L592*100,"")</f>
        <v/>
      </c>
      <c r="T592" s="49" t="str">
        <f aca="false">IF(AND(Q592&lt;&gt;"",R592&lt;&gt;""),R592-Q592,"")</f>
        <v/>
      </c>
      <c r="U592" s="50" t="str">
        <f aca="false">IF(AND(Q592&lt;&gt;"",Q592&lt;&gt;0,T592&lt;&gt;""),T592/Q592,"")</f>
        <v/>
      </c>
      <c r="V592" s="51" t="str">
        <f aca="false">IF(AND(S592&lt;&gt;"",Q592&lt;&gt;""),S592-Q592,"")</f>
        <v/>
      </c>
      <c r="W592" s="52" t="str">
        <f aca="false">IF(AND(Q592&lt;&gt;"",Q592&lt;&gt;0,V592&lt;&gt;""),V592/Q592,"")</f>
        <v/>
      </c>
      <c r="X592" s="53" t="s">
        <v>37</v>
      </c>
      <c r="Y592" s="54" t="str">
        <f aca="false">IF(AND(O592&lt;&gt;"",M592&lt;&gt;"",O592&gt;M592),CONCATENATE("1 : ",TEXT((O592-M592)/M592,"0.00")),IF(AND(O592&lt;&gt;"",M592&lt;&gt;"",O592&lt;M592),CONCATENATE("-1 : ",TEXT((M592-O592)/M592,"0.00")),"—"))</f>
        <v>—</v>
      </c>
      <c r="Z592" s="55" t="str">
        <f aca="false">IF(AND(P592&lt;&gt;"",M592&lt;&gt;"",P592&gt;M592),CONCATENATE("1 : ",TEXT((P592-M592)/M592,"0.00")),"—")</f>
        <v>—</v>
      </c>
      <c r="AA592" s="56" t="str">
        <f aca="false">IF(AND(C592&lt;&gt;"",E592&lt;&gt;""),E592-C592,"")</f>
        <v/>
      </c>
      <c r="AB592" s="42"/>
      <c r="AC592" s="57"/>
      <c r="AD592" s="58"/>
      <c r="AE592" s="59" t="str">
        <f aca="false">IF(G592&lt;&gt;"",HYPERLINK("https://www.tradingview.com/chart/?symbol="&amp;G592&amp;"&amp;interval=60&amp;from="&amp;(AG592-10*3600)&amp;"&amp;to="&amp;(AG592+50*3600),"📈 1H"),"")</f>
        <v/>
      </c>
      <c r="AF592" s="60" t="str">
        <f aca="false">IF(G592&lt;&gt;"",HYPERLINK("https://www.tradingview.com/chart/?symbol="&amp;G592&amp;"&amp;interval=240&amp;from="&amp;(AG592-10*14400)&amp;"&amp;to="&amp;(AG592+50*14400),"📈 4H"),"")</f>
        <v/>
      </c>
      <c r="AG592" s="36" t="str">
        <f aca="false">IF(C592&lt;&gt;"",INT((C592+IF(D592&lt;&gt;"",D592,0)-DATE(1970,1,1))*86400),"")</f>
        <v/>
      </c>
    </row>
    <row r="593" customFormat="false" ht="19.5" hidden="false" customHeight="true" outlineLevel="0" collapsed="false">
      <c r="A593" s="12" t="n">
        <f aca="false">ROW()-4</f>
        <v>589</v>
      </c>
      <c r="B593" s="13"/>
      <c r="C593" s="14"/>
      <c r="D593" s="15"/>
      <c r="E593" s="14"/>
      <c r="F593" s="15"/>
      <c r="G593" s="16"/>
      <c r="H593" s="17"/>
      <c r="I593" s="18"/>
      <c r="J593" s="19"/>
      <c r="K593" s="14"/>
      <c r="L593" s="17"/>
      <c r="M593" s="19"/>
      <c r="N593" s="20"/>
      <c r="O593" s="19"/>
      <c r="P593" s="21"/>
      <c r="Q593" s="22" t="str">
        <f aca="false">IF(L593="","",IF(M593&lt;&gt;"",M593*L593*100,IF(AND(O593&lt;&gt;"",B593&lt;&gt;""),IFERROR(AVERAGEIF($B$5:$B$1004,B593,$M$5:$M$1004)*L593*100,""),"")))</f>
        <v/>
      </c>
      <c r="R593" s="22" t="str">
        <f aca="false">IF(AND(O593&lt;&gt;"",L593&lt;&gt;""),O593*L593*100,"")</f>
        <v/>
      </c>
      <c r="S593" s="23" t="str">
        <f aca="false">IF(AND(P593&lt;&gt;"",L593&lt;&gt;""),P593*L593*100,"")</f>
        <v/>
      </c>
      <c r="T593" s="24" t="str">
        <f aca="false">IF(AND(Q593&lt;&gt;"",R593&lt;&gt;""),R593-Q593,"")</f>
        <v/>
      </c>
      <c r="U593" s="25" t="str">
        <f aca="false">IF(AND(Q593&lt;&gt;"",Q593&lt;&gt;0,T593&lt;&gt;""),T593/Q593,"")</f>
        <v/>
      </c>
      <c r="V593" s="26" t="str">
        <f aca="false">IF(AND(S593&lt;&gt;"",Q593&lt;&gt;""),S593-Q593,"")</f>
        <v/>
      </c>
      <c r="W593" s="27" t="str">
        <f aca="false">IF(AND(Q593&lt;&gt;"",Q593&lt;&gt;0,V593&lt;&gt;""),V593/Q593,"")</f>
        <v/>
      </c>
      <c r="X593" s="28" t="s">
        <v>37</v>
      </c>
      <c r="Y593" s="29" t="str">
        <f aca="false">IF(AND(O593&lt;&gt;"",M593&lt;&gt;"",O593&gt;M593),CONCATENATE("1 : ",TEXT((O593-M593)/M593,"0.00")),IF(AND(O593&lt;&gt;"",M593&lt;&gt;"",O593&lt;M593),CONCATENATE("-1 : ",TEXT((M593-O593)/M593,"0.00")),"—"))</f>
        <v>—</v>
      </c>
      <c r="Z593" s="30" t="str">
        <f aca="false">IF(AND(P593&lt;&gt;"",M593&lt;&gt;"",P593&gt;M593),CONCATENATE("1 : ",TEXT((P593-M593)/M593,"0.00")),"—")</f>
        <v>—</v>
      </c>
      <c r="AA593" s="31" t="str">
        <f aca="false">IF(AND(C593&lt;&gt;"",E593&lt;&gt;""),E593-C593,"")</f>
        <v/>
      </c>
      <c r="AB593" s="17"/>
      <c r="AC593" s="32"/>
      <c r="AD593" s="33"/>
      <c r="AE593" s="34" t="str">
        <f aca="false">IF(G593&lt;&gt;"",HYPERLINK("https://www.tradingview.com/chart/?symbol="&amp;G593&amp;"&amp;interval=60&amp;from="&amp;(AG593-10*3600)&amp;"&amp;to="&amp;(AG593+50*3600),"📈 1H"),"")</f>
        <v/>
      </c>
      <c r="AF593" s="35" t="str">
        <f aca="false">IF(G593&lt;&gt;"",HYPERLINK("https://www.tradingview.com/chart/?symbol="&amp;G593&amp;"&amp;interval=240&amp;from="&amp;(AG593-10*14400)&amp;"&amp;to="&amp;(AG593+50*14400),"📈 4H"),"")</f>
        <v/>
      </c>
      <c r="AG593" s="36" t="str">
        <f aca="false">IF(C593&lt;&gt;"",INT((C593+IF(D593&lt;&gt;"",D593,0)-DATE(1970,1,1))*86400),"")</f>
        <v/>
      </c>
    </row>
    <row r="594" customFormat="false" ht="19.5" hidden="false" customHeight="true" outlineLevel="0" collapsed="false">
      <c r="A594" s="37" t="n">
        <f aca="false">ROW()-4</f>
        <v>590</v>
      </c>
      <c r="B594" s="38"/>
      <c r="C594" s="39"/>
      <c r="D594" s="40"/>
      <c r="E594" s="39"/>
      <c r="F594" s="40"/>
      <c r="G594" s="41"/>
      <c r="H594" s="42"/>
      <c r="I594" s="43"/>
      <c r="J594" s="44"/>
      <c r="K594" s="39"/>
      <c r="L594" s="42"/>
      <c r="M594" s="44"/>
      <c r="N594" s="45"/>
      <c r="O594" s="44"/>
      <c r="P594" s="46"/>
      <c r="Q594" s="47" t="str">
        <f aca="false">IF(L594="","",IF(M594&lt;&gt;"",M594*L594*100,IF(AND(O594&lt;&gt;"",B594&lt;&gt;""),IFERROR(AVERAGEIF($B$5:$B$1004,B594,$M$5:$M$1004)*L594*100,""),"")))</f>
        <v/>
      </c>
      <c r="R594" s="47" t="str">
        <f aca="false">IF(AND(O594&lt;&gt;"",L594&lt;&gt;""),O594*L594*100,"")</f>
        <v/>
      </c>
      <c r="S594" s="48" t="str">
        <f aca="false">IF(AND(P594&lt;&gt;"",L594&lt;&gt;""),P594*L594*100,"")</f>
        <v/>
      </c>
      <c r="T594" s="49" t="str">
        <f aca="false">IF(AND(Q594&lt;&gt;"",R594&lt;&gt;""),R594-Q594,"")</f>
        <v/>
      </c>
      <c r="U594" s="50" t="str">
        <f aca="false">IF(AND(Q594&lt;&gt;"",Q594&lt;&gt;0,T594&lt;&gt;""),T594/Q594,"")</f>
        <v/>
      </c>
      <c r="V594" s="51" t="str">
        <f aca="false">IF(AND(S594&lt;&gt;"",Q594&lt;&gt;""),S594-Q594,"")</f>
        <v/>
      </c>
      <c r="W594" s="52" t="str">
        <f aca="false">IF(AND(Q594&lt;&gt;"",Q594&lt;&gt;0,V594&lt;&gt;""),V594/Q594,"")</f>
        <v/>
      </c>
      <c r="X594" s="53" t="s">
        <v>37</v>
      </c>
      <c r="Y594" s="54" t="str">
        <f aca="false">IF(AND(O594&lt;&gt;"",M594&lt;&gt;"",O594&gt;M594),CONCATENATE("1 : ",TEXT((O594-M594)/M594,"0.00")),IF(AND(O594&lt;&gt;"",M594&lt;&gt;"",O594&lt;M594),CONCATENATE("-1 : ",TEXT((M594-O594)/M594,"0.00")),"—"))</f>
        <v>—</v>
      </c>
      <c r="Z594" s="55" t="str">
        <f aca="false">IF(AND(P594&lt;&gt;"",M594&lt;&gt;"",P594&gt;M594),CONCATENATE("1 : ",TEXT((P594-M594)/M594,"0.00")),"—")</f>
        <v>—</v>
      </c>
      <c r="AA594" s="56" t="str">
        <f aca="false">IF(AND(C594&lt;&gt;"",E594&lt;&gt;""),E594-C594,"")</f>
        <v/>
      </c>
      <c r="AB594" s="42"/>
      <c r="AC594" s="57"/>
      <c r="AD594" s="58"/>
      <c r="AE594" s="59" t="str">
        <f aca="false">IF(G594&lt;&gt;"",HYPERLINK("https://www.tradingview.com/chart/?symbol="&amp;G594&amp;"&amp;interval=60&amp;from="&amp;(AG594-10*3600)&amp;"&amp;to="&amp;(AG594+50*3600),"📈 1H"),"")</f>
        <v/>
      </c>
      <c r="AF594" s="60" t="str">
        <f aca="false">IF(G594&lt;&gt;"",HYPERLINK("https://www.tradingview.com/chart/?symbol="&amp;G594&amp;"&amp;interval=240&amp;from="&amp;(AG594-10*14400)&amp;"&amp;to="&amp;(AG594+50*14400),"📈 4H"),"")</f>
        <v/>
      </c>
      <c r="AG594" s="36" t="str">
        <f aca="false">IF(C594&lt;&gt;"",INT((C594+IF(D594&lt;&gt;"",D594,0)-DATE(1970,1,1))*86400),"")</f>
        <v/>
      </c>
    </row>
    <row r="595" customFormat="false" ht="19.5" hidden="false" customHeight="true" outlineLevel="0" collapsed="false">
      <c r="A595" s="12" t="n">
        <f aca="false">ROW()-4</f>
        <v>591</v>
      </c>
      <c r="B595" s="13"/>
      <c r="C595" s="14"/>
      <c r="D595" s="15"/>
      <c r="E595" s="14"/>
      <c r="F595" s="15"/>
      <c r="G595" s="16"/>
      <c r="H595" s="17"/>
      <c r="I595" s="18"/>
      <c r="J595" s="19"/>
      <c r="K595" s="14"/>
      <c r="L595" s="17"/>
      <c r="M595" s="19"/>
      <c r="N595" s="20"/>
      <c r="O595" s="19"/>
      <c r="P595" s="21"/>
      <c r="Q595" s="22" t="str">
        <f aca="false">IF(L595="","",IF(M595&lt;&gt;"",M595*L595*100,IF(AND(O595&lt;&gt;"",B595&lt;&gt;""),IFERROR(AVERAGEIF($B$5:$B$1004,B595,$M$5:$M$1004)*L595*100,""),"")))</f>
        <v/>
      </c>
      <c r="R595" s="22" t="str">
        <f aca="false">IF(AND(O595&lt;&gt;"",L595&lt;&gt;""),O595*L595*100,"")</f>
        <v/>
      </c>
      <c r="S595" s="23" t="str">
        <f aca="false">IF(AND(P595&lt;&gt;"",L595&lt;&gt;""),P595*L595*100,"")</f>
        <v/>
      </c>
      <c r="T595" s="24" t="str">
        <f aca="false">IF(AND(Q595&lt;&gt;"",R595&lt;&gt;""),R595-Q595,"")</f>
        <v/>
      </c>
      <c r="U595" s="25" t="str">
        <f aca="false">IF(AND(Q595&lt;&gt;"",Q595&lt;&gt;0,T595&lt;&gt;""),T595/Q595,"")</f>
        <v/>
      </c>
      <c r="V595" s="26" t="str">
        <f aca="false">IF(AND(S595&lt;&gt;"",Q595&lt;&gt;""),S595-Q595,"")</f>
        <v/>
      </c>
      <c r="W595" s="27" t="str">
        <f aca="false">IF(AND(Q595&lt;&gt;"",Q595&lt;&gt;0,V595&lt;&gt;""),V595/Q595,"")</f>
        <v/>
      </c>
      <c r="X595" s="28" t="s">
        <v>37</v>
      </c>
      <c r="Y595" s="29" t="str">
        <f aca="false">IF(AND(O595&lt;&gt;"",M595&lt;&gt;"",O595&gt;M595),CONCATENATE("1 : ",TEXT((O595-M595)/M595,"0.00")),IF(AND(O595&lt;&gt;"",M595&lt;&gt;"",O595&lt;M595),CONCATENATE("-1 : ",TEXT((M595-O595)/M595,"0.00")),"—"))</f>
        <v>—</v>
      </c>
      <c r="Z595" s="30" t="str">
        <f aca="false">IF(AND(P595&lt;&gt;"",M595&lt;&gt;"",P595&gt;M595),CONCATENATE("1 : ",TEXT((P595-M595)/M595,"0.00")),"—")</f>
        <v>—</v>
      </c>
      <c r="AA595" s="31" t="str">
        <f aca="false">IF(AND(C595&lt;&gt;"",E595&lt;&gt;""),E595-C595,"")</f>
        <v/>
      </c>
      <c r="AB595" s="17"/>
      <c r="AC595" s="32"/>
      <c r="AD595" s="33"/>
      <c r="AE595" s="34" t="str">
        <f aca="false">IF(G595&lt;&gt;"",HYPERLINK("https://www.tradingview.com/chart/?symbol="&amp;G595&amp;"&amp;interval=60&amp;from="&amp;(AG595-10*3600)&amp;"&amp;to="&amp;(AG595+50*3600),"📈 1H"),"")</f>
        <v/>
      </c>
      <c r="AF595" s="35" t="str">
        <f aca="false">IF(G595&lt;&gt;"",HYPERLINK("https://www.tradingview.com/chart/?symbol="&amp;G595&amp;"&amp;interval=240&amp;from="&amp;(AG595-10*14400)&amp;"&amp;to="&amp;(AG595+50*14400),"📈 4H"),"")</f>
        <v/>
      </c>
      <c r="AG595" s="36" t="str">
        <f aca="false">IF(C595&lt;&gt;"",INT((C595+IF(D595&lt;&gt;"",D595,0)-DATE(1970,1,1))*86400),"")</f>
        <v/>
      </c>
    </row>
    <row r="596" customFormat="false" ht="19.5" hidden="false" customHeight="true" outlineLevel="0" collapsed="false">
      <c r="A596" s="37" t="n">
        <f aca="false">ROW()-4</f>
        <v>592</v>
      </c>
      <c r="B596" s="38"/>
      <c r="C596" s="39"/>
      <c r="D596" s="40"/>
      <c r="E596" s="39"/>
      <c r="F596" s="40"/>
      <c r="G596" s="41"/>
      <c r="H596" s="42"/>
      <c r="I596" s="43"/>
      <c r="J596" s="44"/>
      <c r="K596" s="39"/>
      <c r="L596" s="42"/>
      <c r="M596" s="44"/>
      <c r="N596" s="45"/>
      <c r="O596" s="44"/>
      <c r="P596" s="46"/>
      <c r="Q596" s="47" t="str">
        <f aca="false">IF(L596="","",IF(M596&lt;&gt;"",M596*L596*100,IF(AND(O596&lt;&gt;"",B596&lt;&gt;""),IFERROR(AVERAGEIF($B$5:$B$1004,B596,$M$5:$M$1004)*L596*100,""),"")))</f>
        <v/>
      </c>
      <c r="R596" s="47" t="str">
        <f aca="false">IF(AND(O596&lt;&gt;"",L596&lt;&gt;""),O596*L596*100,"")</f>
        <v/>
      </c>
      <c r="S596" s="48" t="str">
        <f aca="false">IF(AND(P596&lt;&gt;"",L596&lt;&gt;""),P596*L596*100,"")</f>
        <v/>
      </c>
      <c r="T596" s="49" t="str">
        <f aca="false">IF(AND(Q596&lt;&gt;"",R596&lt;&gt;""),R596-Q596,"")</f>
        <v/>
      </c>
      <c r="U596" s="50" t="str">
        <f aca="false">IF(AND(Q596&lt;&gt;"",Q596&lt;&gt;0,T596&lt;&gt;""),T596/Q596,"")</f>
        <v/>
      </c>
      <c r="V596" s="51" t="str">
        <f aca="false">IF(AND(S596&lt;&gt;"",Q596&lt;&gt;""),S596-Q596,"")</f>
        <v/>
      </c>
      <c r="W596" s="52" t="str">
        <f aca="false">IF(AND(Q596&lt;&gt;"",Q596&lt;&gt;0,V596&lt;&gt;""),V596/Q596,"")</f>
        <v/>
      </c>
      <c r="X596" s="53" t="s">
        <v>37</v>
      </c>
      <c r="Y596" s="54" t="str">
        <f aca="false">IF(AND(O596&lt;&gt;"",M596&lt;&gt;"",O596&gt;M596),CONCATENATE("1 : ",TEXT((O596-M596)/M596,"0.00")),IF(AND(O596&lt;&gt;"",M596&lt;&gt;"",O596&lt;M596),CONCATENATE("-1 : ",TEXT((M596-O596)/M596,"0.00")),"—"))</f>
        <v>—</v>
      </c>
      <c r="Z596" s="55" t="str">
        <f aca="false">IF(AND(P596&lt;&gt;"",M596&lt;&gt;"",P596&gt;M596),CONCATENATE("1 : ",TEXT((P596-M596)/M596,"0.00")),"—")</f>
        <v>—</v>
      </c>
      <c r="AA596" s="56" t="str">
        <f aca="false">IF(AND(C596&lt;&gt;"",E596&lt;&gt;""),E596-C596,"")</f>
        <v/>
      </c>
      <c r="AB596" s="42"/>
      <c r="AC596" s="57"/>
      <c r="AD596" s="58"/>
      <c r="AE596" s="59" t="str">
        <f aca="false">IF(G596&lt;&gt;"",HYPERLINK("https://www.tradingview.com/chart/?symbol="&amp;G596&amp;"&amp;interval=60&amp;from="&amp;(AG596-10*3600)&amp;"&amp;to="&amp;(AG596+50*3600),"📈 1H"),"")</f>
        <v/>
      </c>
      <c r="AF596" s="60" t="str">
        <f aca="false">IF(G596&lt;&gt;"",HYPERLINK("https://www.tradingview.com/chart/?symbol="&amp;G596&amp;"&amp;interval=240&amp;from="&amp;(AG596-10*14400)&amp;"&amp;to="&amp;(AG596+50*14400),"📈 4H"),"")</f>
        <v/>
      </c>
      <c r="AG596" s="36" t="str">
        <f aca="false">IF(C596&lt;&gt;"",INT((C596+IF(D596&lt;&gt;"",D596,0)-DATE(1970,1,1))*86400),"")</f>
        <v/>
      </c>
    </row>
    <row r="597" customFormat="false" ht="19.5" hidden="false" customHeight="true" outlineLevel="0" collapsed="false">
      <c r="A597" s="12" t="n">
        <f aca="false">ROW()-4</f>
        <v>593</v>
      </c>
      <c r="B597" s="13"/>
      <c r="C597" s="14"/>
      <c r="D597" s="15"/>
      <c r="E597" s="14"/>
      <c r="F597" s="15"/>
      <c r="G597" s="16"/>
      <c r="H597" s="17"/>
      <c r="I597" s="18"/>
      <c r="J597" s="19"/>
      <c r="K597" s="14"/>
      <c r="L597" s="17"/>
      <c r="M597" s="19"/>
      <c r="N597" s="20"/>
      <c r="O597" s="19"/>
      <c r="P597" s="21"/>
      <c r="Q597" s="22" t="str">
        <f aca="false">IF(L597="","",IF(M597&lt;&gt;"",M597*L597*100,IF(AND(O597&lt;&gt;"",B597&lt;&gt;""),IFERROR(AVERAGEIF($B$5:$B$1004,B597,$M$5:$M$1004)*L597*100,""),"")))</f>
        <v/>
      </c>
      <c r="R597" s="22" t="str">
        <f aca="false">IF(AND(O597&lt;&gt;"",L597&lt;&gt;""),O597*L597*100,"")</f>
        <v/>
      </c>
      <c r="S597" s="23" t="str">
        <f aca="false">IF(AND(P597&lt;&gt;"",L597&lt;&gt;""),P597*L597*100,"")</f>
        <v/>
      </c>
      <c r="T597" s="24" t="str">
        <f aca="false">IF(AND(Q597&lt;&gt;"",R597&lt;&gt;""),R597-Q597,"")</f>
        <v/>
      </c>
      <c r="U597" s="25" t="str">
        <f aca="false">IF(AND(Q597&lt;&gt;"",Q597&lt;&gt;0,T597&lt;&gt;""),T597/Q597,"")</f>
        <v/>
      </c>
      <c r="V597" s="26" t="str">
        <f aca="false">IF(AND(S597&lt;&gt;"",Q597&lt;&gt;""),S597-Q597,"")</f>
        <v/>
      </c>
      <c r="W597" s="27" t="str">
        <f aca="false">IF(AND(Q597&lt;&gt;"",Q597&lt;&gt;0,V597&lt;&gt;""),V597/Q597,"")</f>
        <v/>
      </c>
      <c r="X597" s="28" t="s">
        <v>37</v>
      </c>
      <c r="Y597" s="29" t="str">
        <f aca="false">IF(AND(O597&lt;&gt;"",M597&lt;&gt;"",O597&gt;M597),CONCATENATE("1 : ",TEXT((O597-M597)/M597,"0.00")),IF(AND(O597&lt;&gt;"",M597&lt;&gt;"",O597&lt;M597),CONCATENATE("-1 : ",TEXT((M597-O597)/M597,"0.00")),"—"))</f>
        <v>—</v>
      </c>
      <c r="Z597" s="30" t="str">
        <f aca="false">IF(AND(P597&lt;&gt;"",M597&lt;&gt;"",P597&gt;M597),CONCATENATE("1 : ",TEXT((P597-M597)/M597,"0.00")),"—")</f>
        <v>—</v>
      </c>
      <c r="AA597" s="31" t="str">
        <f aca="false">IF(AND(C597&lt;&gt;"",E597&lt;&gt;""),E597-C597,"")</f>
        <v/>
      </c>
      <c r="AB597" s="17"/>
      <c r="AC597" s="32"/>
      <c r="AD597" s="33"/>
      <c r="AE597" s="34" t="str">
        <f aca="false">IF(G597&lt;&gt;"",HYPERLINK("https://www.tradingview.com/chart/?symbol="&amp;G597&amp;"&amp;interval=60&amp;from="&amp;(AG597-10*3600)&amp;"&amp;to="&amp;(AG597+50*3600),"📈 1H"),"")</f>
        <v/>
      </c>
      <c r="AF597" s="35" t="str">
        <f aca="false">IF(G597&lt;&gt;"",HYPERLINK("https://www.tradingview.com/chart/?symbol="&amp;G597&amp;"&amp;interval=240&amp;from="&amp;(AG597-10*14400)&amp;"&amp;to="&amp;(AG597+50*14400),"📈 4H"),"")</f>
        <v/>
      </c>
      <c r="AG597" s="36" t="str">
        <f aca="false">IF(C597&lt;&gt;"",INT((C597+IF(D597&lt;&gt;"",D597,0)-DATE(1970,1,1))*86400),"")</f>
        <v/>
      </c>
    </row>
    <row r="598" customFormat="false" ht="19.5" hidden="false" customHeight="true" outlineLevel="0" collapsed="false">
      <c r="A598" s="37" t="n">
        <f aca="false">ROW()-4</f>
        <v>594</v>
      </c>
      <c r="B598" s="38"/>
      <c r="C598" s="39"/>
      <c r="D598" s="40"/>
      <c r="E598" s="39"/>
      <c r="F598" s="40"/>
      <c r="G598" s="41"/>
      <c r="H598" s="42"/>
      <c r="I598" s="43"/>
      <c r="J598" s="44"/>
      <c r="K598" s="39"/>
      <c r="L598" s="42"/>
      <c r="M598" s="44"/>
      <c r="N598" s="45"/>
      <c r="O598" s="44"/>
      <c r="P598" s="46"/>
      <c r="Q598" s="47" t="str">
        <f aca="false">IF(L598="","",IF(M598&lt;&gt;"",M598*L598*100,IF(AND(O598&lt;&gt;"",B598&lt;&gt;""),IFERROR(AVERAGEIF($B$5:$B$1004,B598,$M$5:$M$1004)*L598*100,""),"")))</f>
        <v/>
      </c>
      <c r="R598" s="47" t="str">
        <f aca="false">IF(AND(O598&lt;&gt;"",L598&lt;&gt;""),O598*L598*100,"")</f>
        <v/>
      </c>
      <c r="S598" s="48" t="str">
        <f aca="false">IF(AND(P598&lt;&gt;"",L598&lt;&gt;""),P598*L598*100,"")</f>
        <v/>
      </c>
      <c r="T598" s="49" t="str">
        <f aca="false">IF(AND(Q598&lt;&gt;"",R598&lt;&gt;""),R598-Q598,"")</f>
        <v/>
      </c>
      <c r="U598" s="50" t="str">
        <f aca="false">IF(AND(Q598&lt;&gt;"",Q598&lt;&gt;0,T598&lt;&gt;""),T598/Q598,"")</f>
        <v/>
      </c>
      <c r="V598" s="51" t="str">
        <f aca="false">IF(AND(S598&lt;&gt;"",Q598&lt;&gt;""),S598-Q598,"")</f>
        <v/>
      </c>
      <c r="W598" s="52" t="str">
        <f aca="false">IF(AND(Q598&lt;&gt;"",Q598&lt;&gt;0,V598&lt;&gt;""),V598/Q598,"")</f>
        <v/>
      </c>
      <c r="X598" s="53" t="s">
        <v>37</v>
      </c>
      <c r="Y598" s="54" t="str">
        <f aca="false">IF(AND(O598&lt;&gt;"",M598&lt;&gt;"",O598&gt;M598),CONCATENATE("1 : ",TEXT((O598-M598)/M598,"0.00")),IF(AND(O598&lt;&gt;"",M598&lt;&gt;"",O598&lt;M598),CONCATENATE("-1 : ",TEXT((M598-O598)/M598,"0.00")),"—"))</f>
        <v>—</v>
      </c>
      <c r="Z598" s="55" t="str">
        <f aca="false">IF(AND(P598&lt;&gt;"",M598&lt;&gt;"",P598&gt;M598),CONCATENATE("1 : ",TEXT((P598-M598)/M598,"0.00")),"—")</f>
        <v>—</v>
      </c>
      <c r="AA598" s="56" t="str">
        <f aca="false">IF(AND(C598&lt;&gt;"",E598&lt;&gt;""),E598-C598,"")</f>
        <v/>
      </c>
      <c r="AB598" s="42"/>
      <c r="AC598" s="57"/>
      <c r="AD598" s="58"/>
      <c r="AE598" s="59" t="str">
        <f aca="false">IF(G598&lt;&gt;"",HYPERLINK("https://www.tradingview.com/chart/?symbol="&amp;G598&amp;"&amp;interval=60&amp;from="&amp;(AG598-10*3600)&amp;"&amp;to="&amp;(AG598+50*3600),"📈 1H"),"")</f>
        <v/>
      </c>
      <c r="AF598" s="60" t="str">
        <f aca="false">IF(G598&lt;&gt;"",HYPERLINK("https://www.tradingview.com/chart/?symbol="&amp;G598&amp;"&amp;interval=240&amp;from="&amp;(AG598-10*14400)&amp;"&amp;to="&amp;(AG598+50*14400),"📈 4H"),"")</f>
        <v/>
      </c>
      <c r="AG598" s="36" t="str">
        <f aca="false">IF(C598&lt;&gt;"",INT((C598+IF(D598&lt;&gt;"",D598,0)-DATE(1970,1,1))*86400),"")</f>
        <v/>
      </c>
    </row>
    <row r="599" customFormat="false" ht="19.5" hidden="false" customHeight="true" outlineLevel="0" collapsed="false">
      <c r="A599" s="12" t="n">
        <f aca="false">ROW()-4</f>
        <v>595</v>
      </c>
      <c r="B599" s="13"/>
      <c r="C599" s="14"/>
      <c r="D599" s="15"/>
      <c r="E599" s="14"/>
      <c r="F599" s="15"/>
      <c r="G599" s="16"/>
      <c r="H599" s="17"/>
      <c r="I599" s="18"/>
      <c r="J599" s="19"/>
      <c r="K599" s="14"/>
      <c r="L599" s="17"/>
      <c r="M599" s="19"/>
      <c r="N599" s="20"/>
      <c r="O599" s="19"/>
      <c r="P599" s="21"/>
      <c r="Q599" s="22" t="str">
        <f aca="false">IF(L599="","",IF(M599&lt;&gt;"",M599*L599*100,IF(AND(O599&lt;&gt;"",B599&lt;&gt;""),IFERROR(AVERAGEIF($B$5:$B$1004,B599,$M$5:$M$1004)*L599*100,""),"")))</f>
        <v/>
      </c>
      <c r="R599" s="22" t="str">
        <f aca="false">IF(AND(O599&lt;&gt;"",L599&lt;&gt;""),O599*L599*100,"")</f>
        <v/>
      </c>
      <c r="S599" s="23" t="str">
        <f aca="false">IF(AND(P599&lt;&gt;"",L599&lt;&gt;""),P599*L599*100,"")</f>
        <v/>
      </c>
      <c r="T599" s="24" t="str">
        <f aca="false">IF(AND(Q599&lt;&gt;"",R599&lt;&gt;""),R599-Q599,"")</f>
        <v/>
      </c>
      <c r="U599" s="25" t="str">
        <f aca="false">IF(AND(Q599&lt;&gt;"",Q599&lt;&gt;0,T599&lt;&gt;""),T599/Q599,"")</f>
        <v/>
      </c>
      <c r="V599" s="26" t="str">
        <f aca="false">IF(AND(S599&lt;&gt;"",Q599&lt;&gt;""),S599-Q599,"")</f>
        <v/>
      </c>
      <c r="W599" s="27" t="str">
        <f aca="false">IF(AND(Q599&lt;&gt;"",Q599&lt;&gt;0,V599&lt;&gt;""),V599/Q599,"")</f>
        <v/>
      </c>
      <c r="X599" s="28" t="s">
        <v>37</v>
      </c>
      <c r="Y599" s="29" t="str">
        <f aca="false">IF(AND(O599&lt;&gt;"",M599&lt;&gt;"",O599&gt;M599),CONCATENATE("1 : ",TEXT((O599-M599)/M599,"0.00")),IF(AND(O599&lt;&gt;"",M599&lt;&gt;"",O599&lt;M599),CONCATENATE("-1 : ",TEXT((M599-O599)/M599,"0.00")),"—"))</f>
        <v>—</v>
      </c>
      <c r="Z599" s="30" t="str">
        <f aca="false">IF(AND(P599&lt;&gt;"",M599&lt;&gt;"",P599&gt;M599),CONCATENATE("1 : ",TEXT((P599-M599)/M599,"0.00")),"—")</f>
        <v>—</v>
      </c>
      <c r="AA599" s="31" t="str">
        <f aca="false">IF(AND(C599&lt;&gt;"",E599&lt;&gt;""),E599-C599,"")</f>
        <v/>
      </c>
      <c r="AB599" s="17"/>
      <c r="AC599" s="32"/>
      <c r="AD599" s="33"/>
      <c r="AE599" s="34" t="str">
        <f aca="false">IF(G599&lt;&gt;"",HYPERLINK("https://www.tradingview.com/chart/?symbol="&amp;G599&amp;"&amp;interval=60&amp;from="&amp;(AG599-10*3600)&amp;"&amp;to="&amp;(AG599+50*3600),"📈 1H"),"")</f>
        <v/>
      </c>
      <c r="AF599" s="35" t="str">
        <f aca="false">IF(G599&lt;&gt;"",HYPERLINK("https://www.tradingview.com/chart/?symbol="&amp;G599&amp;"&amp;interval=240&amp;from="&amp;(AG599-10*14400)&amp;"&amp;to="&amp;(AG599+50*14400),"📈 4H"),"")</f>
        <v/>
      </c>
      <c r="AG599" s="36" t="str">
        <f aca="false">IF(C599&lt;&gt;"",INT((C599+IF(D599&lt;&gt;"",D599,0)-DATE(1970,1,1))*86400),"")</f>
        <v/>
      </c>
    </row>
    <row r="600" customFormat="false" ht="19.5" hidden="false" customHeight="true" outlineLevel="0" collapsed="false">
      <c r="A600" s="37" t="n">
        <f aca="false">ROW()-4</f>
        <v>596</v>
      </c>
      <c r="B600" s="38"/>
      <c r="C600" s="39"/>
      <c r="D600" s="40"/>
      <c r="E600" s="39"/>
      <c r="F600" s="40"/>
      <c r="G600" s="41"/>
      <c r="H600" s="42"/>
      <c r="I600" s="43"/>
      <c r="J600" s="44"/>
      <c r="K600" s="39"/>
      <c r="L600" s="42"/>
      <c r="M600" s="44"/>
      <c r="N600" s="45"/>
      <c r="O600" s="44"/>
      <c r="P600" s="46"/>
      <c r="Q600" s="47" t="str">
        <f aca="false">IF(L600="","",IF(M600&lt;&gt;"",M600*L600*100,IF(AND(O600&lt;&gt;"",B600&lt;&gt;""),IFERROR(AVERAGEIF($B$5:$B$1004,B600,$M$5:$M$1004)*L600*100,""),"")))</f>
        <v/>
      </c>
      <c r="R600" s="47" t="str">
        <f aca="false">IF(AND(O600&lt;&gt;"",L600&lt;&gt;""),O600*L600*100,"")</f>
        <v/>
      </c>
      <c r="S600" s="48" t="str">
        <f aca="false">IF(AND(P600&lt;&gt;"",L600&lt;&gt;""),P600*L600*100,"")</f>
        <v/>
      </c>
      <c r="T600" s="49" t="str">
        <f aca="false">IF(AND(Q600&lt;&gt;"",R600&lt;&gt;""),R600-Q600,"")</f>
        <v/>
      </c>
      <c r="U600" s="50" t="str">
        <f aca="false">IF(AND(Q600&lt;&gt;"",Q600&lt;&gt;0,T600&lt;&gt;""),T600/Q600,"")</f>
        <v/>
      </c>
      <c r="V600" s="51" t="str">
        <f aca="false">IF(AND(S600&lt;&gt;"",Q600&lt;&gt;""),S600-Q600,"")</f>
        <v/>
      </c>
      <c r="W600" s="52" t="str">
        <f aca="false">IF(AND(Q600&lt;&gt;"",Q600&lt;&gt;0,V600&lt;&gt;""),V600/Q600,"")</f>
        <v/>
      </c>
      <c r="X600" s="53" t="s">
        <v>37</v>
      </c>
      <c r="Y600" s="54" t="str">
        <f aca="false">IF(AND(O600&lt;&gt;"",M600&lt;&gt;"",O600&gt;M600),CONCATENATE("1 : ",TEXT((O600-M600)/M600,"0.00")),IF(AND(O600&lt;&gt;"",M600&lt;&gt;"",O600&lt;M600),CONCATENATE("-1 : ",TEXT((M600-O600)/M600,"0.00")),"—"))</f>
        <v>—</v>
      </c>
      <c r="Z600" s="55" t="str">
        <f aca="false">IF(AND(P600&lt;&gt;"",M600&lt;&gt;"",P600&gt;M600),CONCATENATE("1 : ",TEXT((P600-M600)/M600,"0.00")),"—")</f>
        <v>—</v>
      </c>
      <c r="AA600" s="56" t="str">
        <f aca="false">IF(AND(C600&lt;&gt;"",E600&lt;&gt;""),E600-C600,"")</f>
        <v/>
      </c>
      <c r="AB600" s="42"/>
      <c r="AC600" s="57"/>
      <c r="AD600" s="58"/>
      <c r="AE600" s="59" t="str">
        <f aca="false">IF(G600&lt;&gt;"",HYPERLINK("https://www.tradingview.com/chart/?symbol="&amp;G600&amp;"&amp;interval=60&amp;from="&amp;(AG600-10*3600)&amp;"&amp;to="&amp;(AG600+50*3600),"📈 1H"),"")</f>
        <v/>
      </c>
      <c r="AF600" s="60" t="str">
        <f aca="false">IF(G600&lt;&gt;"",HYPERLINK("https://www.tradingview.com/chart/?symbol="&amp;G600&amp;"&amp;interval=240&amp;from="&amp;(AG600-10*14400)&amp;"&amp;to="&amp;(AG600+50*14400),"📈 4H"),"")</f>
        <v/>
      </c>
      <c r="AG600" s="36" t="str">
        <f aca="false">IF(C600&lt;&gt;"",INT((C600+IF(D600&lt;&gt;"",D600,0)-DATE(1970,1,1))*86400),"")</f>
        <v/>
      </c>
    </row>
    <row r="601" customFormat="false" ht="19.5" hidden="false" customHeight="true" outlineLevel="0" collapsed="false">
      <c r="A601" s="12" t="n">
        <f aca="false">ROW()-4</f>
        <v>597</v>
      </c>
      <c r="B601" s="13"/>
      <c r="C601" s="14"/>
      <c r="D601" s="15"/>
      <c r="E601" s="14"/>
      <c r="F601" s="15"/>
      <c r="G601" s="16"/>
      <c r="H601" s="17"/>
      <c r="I601" s="18"/>
      <c r="J601" s="19"/>
      <c r="K601" s="14"/>
      <c r="L601" s="17"/>
      <c r="M601" s="19"/>
      <c r="N601" s="20"/>
      <c r="O601" s="19"/>
      <c r="P601" s="21"/>
      <c r="Q601" s="22" t="str">
        <f aca="false">IF(L601="","",IF(M601&lt;&gt;"",M601*L601*100,IF(AND(O601&lt;&gt;"",B601&lt;&gt;""),IFERROR(AVERAGEIF($B$5:$B$1004,B601,$M$5:$M$1004)*L601*100,""),"")))</f>
        <v/>
      </c>
      <c r="R601" s="22" t="str">
        <f aca="false">IF(AND(O601&lt;&gt;"",L601&lt;&gt;""),O601*L601*100,"")</f>
        <v/>
      </c>
      <c r="S601" s="23" t="str">
        <f aca="false">IF(AND(P601&lt;&gt;"",L601&lt;&gt;""),P601*L601*100,"")</f>
        <v/>
      </c>
      <c r="T601" s="24" t="str">
        <f aca="false">IF(AND(Q601&lt;&gt;"",R601&lt;&gt;""),R601-Q601,"")</f>
        <v/>
      </c>
      <c r="U601" s="25" t="str">
        <f aca="false">IF(AND(Q601&lt;&gt;"",Q601&lt;&gt;0,T601&lt;&gt;""),T601/Q601,"")</f>
        <v/>
      </c>
      <c r="V601" s="26" t="str">
        <f aca="false">IF(AND(S601&lt;&gt;"",Q601&lt;&gt;""),S601-Q601,"")</f>
        <v/>
      </c>
      <c r="W601" s="27" t="str">
        <f aca="false">IF(AND(Q601&lt;&gt;"",Q601&lt;&gt;0,V601&lt;&gt;""),V601/Q601,"")</f>
        <v/>
      </c>
      <c r="X601" s="28" t="s">
        <v>37</v>
      </c>
      <c r="Y601" s="29" t="str">
        <f aca="false">IF(AND(O601&lt;&gt;"",M601&lt;&gt;"",O601&gt;M601),CONCATENATE("1 : ",TEXT((O601-M601)/M601,"0.00")),IF(AND(O601&lt;&gt;"",M601&lt;&gt;"",O601&lt;M601),CONCATENATE("-1 : ",TEXT((M601-O601)/M601,"0.00")),"—"))</f>
        <v>—</v>
      </c>
      <c r="Z601" s="30" t="str">
        <f aca="false">IF(AND(P601&lt;&gt;"",M601&lt;&gt;"",P601&gt;M601),CONCATENATE("1 : ",TEXT((P601-M601)/M601,"0.00")),"—")</f>
        <v>—</v>
      </c>
      <c r="AA601" s="31" t="str">
        <f aca="false">IF(AND(C601&lt;&gt;"",E601&lt;&gt;""),E601-C601,"")</f>
        <v/>
      </c>
      <c r="AB601" s="17"/>
      <c r="AC601" s="32"/>
      <c r="AD601" s="33"/>
      <c r="AE601" s="34" t="str">
        <f aca="false">IF(G601&lt;&gt;"",HYPERLINK("https://www.tradingview.com/chart/?symbol="&amp;G601&amp;"&amp;interval=60&amp;from="&amp;(AG601-10*3600)&amp;"&amp;to="&amp;(AG601+50*3600),"📈 1H"),"")</f>
        <v/>
      </c>
      <c r="AF601" s="35" t="str">
        <f aca="false">IF(G601&lt;&gt;"",HYPERLINK("https://www.tradingview.com/chart/?symbol="&amp;G601&amp;"&amp;interval=240&amp;from="&amp;(AG601-10*14400)&amp;"&amp;to="&amp;(AG601+50*14400),"📈 4H"),"")</f>
        <v/>
      </c>
      <c r="AG601" s="36" t="str">
        <f aca="false">IF(C601&lt;&gt;"",INT((C601+IF(D601&lt;&gt;"",D601,0)-DATE(1970,1,1))*86400),"")</f>
        <v/>
      </c>
    </row>
    <row r="602" customFormat="false" ht="19.5" hidden="false" customHeight="true" outlineLevel="0" collapsed="false">
      <c r="A602" s="37" t="n">
        <f aca="false">ROW()-4</f>
        <v>598</v>
      </c>
      <c r="B602" s="38"/>
      <c r="C602" s="39"/>
      <c r="D602" s="40"/>
      <c r="E602" s="39"/>
      <c r="F602" s="40"/>
      <c r="G602" s="41"/>
      <c r="H602" s="42"/>
      <c r="I602" s="43"/>
      <c r="J602" s="44"/>
      <c r="K602" s="39"/>
      <c r="L602" s="42"/>
      <c r="M602" s="44"/>
      <c r="N602" s="45"/>
      <c r="O602" s="44"/>
      <c r="P602" s="46"/>
      <c r="Q602" s="47" t="str">
        <f aca="false">IF(L602="","",IF(M602&lt;&gt;"",M602*L602*100,IF(AND(O602&lt;&gt;"",B602&lt;&gt;""),IFERROR(AVERAGEIF($B$5:$B$1004,B602,$M$5:$M$1004)*L602*100,""),"")))</f>
        <v/>
      </c>
      <c r="R602" s="47" t="str">
        <f aca="false">IF(AND(O602&lt;&gt;"",L602&lt;&gt;""),O602*L602*100,"")</f>
        <v/>
      </c>
      <c r="S602" s="48" t="str">
        <f aca="false">IF(AND(P602&lt;&gt;"",L602&lt;&gt;""),P602*L602*100,"")</f>
        <v/>
      </c>
      <c r="T602" s="49" t="str">
        <f aca="false">IF(AND(Q602&lt;&gt;"",R602&lt;&gt;""),R602-Q602,"")</f>
        <v/>
      </c>
      <c r="U602" s="50" t="str">
        <f aca="false">IF(AND(Q602&lt;&gt;"",Q602&lt;&gt;0,T602&lt;&gt;""),T602/Q602,"")</f>
        <v/>
      </c>
      <c r="V602" s="51" t="str">
        <f aca="false">IF(AND(S602&lt;&gt;"",Q602&lt;&gt;""),S602-Q602,"")</f>
        <v/>
      </c>
      <c r="W602" s="52" t="str">
        <f aca="false">IF(AND(Q602&lt;&gt;"",Q602&lt;&gt;0,V602&lt;&gt;""),V602/Q602,"")</f>
        <v/>
      </c>
      <c r="X602" s="53" t="s">
        <v>37</v>
      </c>
      <c r="Y602" s="54" t="str">
        <f aca="false">IF(AND(O602&lt;&gt;"",M602&lt;&gt;"",O602&gt;M602),CONCATENATE("1 : ",TEXT((O602-M602)/M602,"0.00")),IF(AND(O602&lt;&gt;"",M602&lt;&gt;"",O602&lt;M602),CONCATENATE("-1 : ",TEXT((M602-O602)/M602,"0.00")),"—"))</f>
        <v>—</v>
      </c>
      <c r="Z602" s="55" t="str">
        <f aca="false">IF(AND(P602&lt;&gt;"",M602&lt;&gt;"",P602&gt;M602),CONCATENATE("1 : ",TEXT((P602-M602)/M602,"0.00")),"—")</f>
        <v>—</v>
      </c>
      <c r="AA602" s="56" t="str">
        <f aca="false">IF(AND(C602&lt;&gt;"",E602&lt;&gt;""),E602-C602,"")</f>
        <v/>
      </c>
      <c r="AB602" s="42"/>
      <c r="AC602" s="57"/>
      <c r="AD602" s="58"/>
      <c r="AE602" s="59" t="str">
        <f aca="false">IF(G602&lt;&gt;"",HYPERLINK("https://www.tradingview.com/chart/?symbol="&amp;G602&amp;"&amp;interval=60&amp;from="&amp;(AG602-10*3600)&amp;"&amp;to="&amp;(AG602+50*3600),"📈 1H"),"")</f>
        <v/>
      </c>
      <c r="AF602" s="60" t="str">
        <f aca="false">IF(G602&lt;&gt;"",HYPERLINK("https://www.tradingview.com/chart/?symbol="&amp;G602&amp;"&amp;interval=240&amp;from="&amp;(AG602-10*14400)&amp;"&amp;to="&amp;(AG602+50*14400),"📈 4H"),"")</f>
        <v/>
      </c>
      <c r="AG602" s="36" t="str">
        <f aca="false">IF(C602&lt;&gt;"",INT((C602+IF(D602&lt;&gt;"",D602,0)-DATE(1970,1,1))*86400),"")</f>
        <v/>
      </c>
    </row>
    <row r="603" customFormat="false" ht="19.5" hidden="false" customHeight="true" outlineLevel="0" collapsed="false">
      <c r="A603" s="12" t="n">
        <f aca="false">ROW()-4</f>
        <v>599</v>
      </c>
      <c r="B603" s="13"/>
      <c r="C603" s="14"/>
      <c r="D603" s="15"/>
      <c r="E603" s="14"/>
      <c r="F603" s="15"/>
      <c r="G603" s="16"/>
      <c r="H603" s="17"/>
      <c r="I603" s="18"/>
      <c r="J603" s="19"/>
      <c r="K603" s="14"/>
      <c r="L603" s="17"/>
      <c r="M603" s="19"/>
      <c r="N603" s="20"/>
      <c r="O603" s="19"/>
      <c r="P603" s="21"/>
      <c r="Q603" s="22" t="str">
        <f aca="false">IF(L603="","",IF(M603&lt;&gt;"",M603*L603*100,IF(AND(O603&lt;&gt;"",B603&lt;&gt;""),IFERROR(AVERAGEIF($B$5:$B$1004,B603,$M$5:$M$1004)*L603*100,""),"")))</f>
        <v/>
      </c>
      <c r="R603" s="22" t="str">
        <f aca="false">IF(AND(O603&lt;&gt;"",L603&lt;&gt;""),O603*L603*100,"")</f>
        <v/>
      </c>
      <c r="S603" s="23" t="str">
        <f aca="false">IF(AND(P603&lt;&gt;"",L603&lt;&gt;""),P603*L603*100,"")</f>
        <v/>
      </c>
      <c r="T603" s="24" t="str">
        <f aca="false">IF(AND(Q603&lt;&gt;"",R603&lt;&gt;""),R603-Q603,"")</f>
        <v/>
      </c>
      <c r="U603" s="25" t="str">
        <f aca="false">IF(AND(Q603&lt;&gt;"",Q603&lt;&gt;0,T603&lt;&gt;""),T603/Q603,"")</f>
        <v/>
      </c>
      <c r="V603" s="26" t="str">
        <f aca="false">IF(AND(S603&lt;&gt;"",Q603&lt;&gt;""),S603-Q603,"")</f>
        <v/>
      </c>
      <c r="W603" s="27" t="str">
        <f aca="false">IF(AND(Q603&lt;&gt;"",Q603&lt;&gt;0,V603&lt;&gt;""),V603/Q603,"")</f>
        <v/>
      </c>
      <c r="X603" s="28" t="s">
        <v>37</v>
      </c>
      <c r="Y603" s="29" t="str">
        <f aca="false">IF(AND(O603&lt;&gt;"",M603&lt;&gt;"",O603&gt;M603),CONCATENATE("1 : ",TEXT((O603-M603)/M603,"0.00")),IF(AND(O603&lt;&gt;"",M603&lt;&gt;"",O603&lt;M603),CONCATENATE("-1 : ",TEXT((M603-O603)/M603,"0.00")),"—"))</f>
        <v>—</v>
      </c>
      <c r="Z603" s="30" t="str">
        <f aca="false">IF(AND(P603&lt;&gt;"",M603&lt;&gt;"",P603&gt;M603),CONCATENATE("1 : ",TEXT((P603-M603)/M603,"0.00")),"—")</f>
        <v>—</v>
      </c>
      <c r="AA603" s="31" t="str">
        <f aca="false">IF(AND(C603&lt;&gt;"",E603&lt;&gt;""),E603-C603,"")</f>
        <v/>
      </c>
      <c r="AB603" s="17"/>
      <c r="AC603" s="32"/>
      <c r="AD603" s="33"/>
      <c r="AE603" s="34" t="str">
        <f aca="false">IF(G603&lt;&gt;"",HYPERLINK("https://www.tradingview.com/chart/?symbol="&amp;G603&amp;"&amp;interval=60&amp;from="&amp;(AG603-10*3600)&amp;"&amp;to="&amp;(AG603+50*3600),"📈 1H"),"")</f>
        <v/>
      </c>
      <c r="AF603" s="35" t="str">
        <f aca="false">IF(G603&lt;&gt;"",HYPERLINK("https://www.tradingview.com/chart/?symbol="&amp;G603&amp;"&amp;interval=240&amp;from="&amp;(AG603-10*14400)&amp;"&amp;to="&amp;(AG603+50*14400),"📈 4H"),"")</f>
        <v/>
      </c>
      <c r="AG603" s="36" t="str">
        <f aca="false">IF(C603&lt;&gt;"",INT((C603+IF(D603&lt;&gt;"",D603,0)-DATE(1970,1,1))*86400),"")</f>
        <v/>
      </c>
    </row>
    <row r="604" customFormat="false" ht="19.5" hidden="false" customHeight="true" outlineLevel="0" collapsed="false">
      <c r="A604" s="37" t="n">
        <f aca="false">ROW()-4</f>
        <v>600</v>
      </c>
      <c r="B604" s="38"/>
      <c r="C604" s="39"/>
      <c r="D604" s="40"/>
      <c r="E604" s="39"/>
      <c r="F604" s="40"/>
      <c r="G604" s="41"/>
      <c r="H604" s="42"/>
      <c r="I604" s="43"/>
      <c r="J604" s="44"/>
      <c r="K604" s="39"/>
      <c r="L604" s="42"/>
      <c r="M604" s="44"/>
      <c r="N604" s="45"/>
      <c r="O604" s="44"/>
      <c r="P604" s="46"/>
      <c r="Q604" s="47" t="str">
        <f aca="false">IF(L604="","",IF(M604&lt;&gt;"",M604*L604*100,IF(AND(O604&lt;&gt;"",B604&lt;&gt;""),IFERROR(AVERAGEIF($B$5:$B$1004,B604,$M$5:$M$1004)*L604*100,""),"")))</f>
        <v/>
      </c>
      <c r="R604" s="47" t="str">
        <f aca="false">IF(AND(O604&lt;&gt;"",L604&lt;&gt;""),O604*L604*100,"")</f>
        <v/>
      </c>
      <c r="S604" s="48" t="str">
        <f aca="false">IF(AND(P604&lt;&gt;"",L604&lt;&gt;""),P604*L604*100,"")</f>
        <v/>
      </c>
      <c r="T604" s="49" t="str">
        <f aca="false">IF(AND(Q604&lt;&gt;"",R604&lt;&gt;""),R604-Q604,"")</f>
        <v/>
      </c>
      <c r="U604" s="50" t="str">
        <f aca="false">IF(AND(Q604&lt;&gt;"",Q604&lt;&gt;0,T604&lt;&gt;""),T604/Q604,"")</f>
        <v/>
      </c>
      <c r="V604" s="51" t="str">
        <f aca="false">IF(AND(S604&lt;&gt;"",Q604&lt;&gt;""),S604-Q604,"")</f>
        <v/>
      </c>
      <c r="W604" s="52" t="str">
        <f aca="false">IF(AND(Q604&lt;&gt;"",Q604&lt;&gt;0,V604&lt;&gt;""),V604/Q604,"")</f>
        <v/>
      </c>
      <c r="X604" s="53" t="s">
        <v>37</v>
      </c>
      <c r="Y604" s="54" t="str">
        <f aca="false">IF(AND(O604&lt;&gt;"",M604&lt;&gt;"",O604&gt;M604),CONCATENATE("1 : ",TEXT((O604-M604)/M604,"0.00")),IF(AND(O604&lt;&gt;"",M604&lt;&gt;"",O604&lt;M604),CONCATENATE("-1 : ",TEXT((M604-O604)/M604,"0.00")),"—"))</f>
        <v>—</v>
      </c>
      <c r="Z604" s="55" t="str">
        <f aca="false">IF(AND(P604&lt;&gt;"",M604&lt;&gt;"",P604&gt;M604),CONCATENATE("1 : ",TEXT((P604-M604)/M604,"0.00")),"—")</f>
        <v>—</v>
      </c>
      <c r="AA604" s="56" t="str">
        <f aca="false">IF(AND(C604&lt;&gt;"",E604&lt;&gt;""),E604-C604,"")</f>
        <v/>
      </c>
      <c r="AB604" s="42"/>
      <c r="AC604" s="57"/>
      <c r="AD604" s="58"/>
      <c r="AE604" s="59" t="str">
        <f aca="false">IF(G604&lt;&gt;"",HYPERLINK("https://www.tradingview.com/chart/?symbol="&amp;G604&amp;"&amp;interval=60&amp;from="&amp;(AG604-10*3600)&amp;"&amp;to="&amp;(AG604+50*3600),"📈 1H"),"")</f>
        <v/>
      </c>
      <c r="AF604" s="60" t="str">
        <f aca="false">IF(G604&lt;&gt;"",HYPERLINK("https://www.tradingview.com/chart/?symbol="&amp;G604&amp;"&amp;interval=240&amp;from="&amp;(AG604-10*14400)&amp;"&amp;to="&amp;(AG604+50*14400),"📈 4H"),"")</f>
        <v/>
      </c>
      <c r="AG604" s="36" t="str">
        <f aca="false">IF(C604&lt;&gt;"",INT((C604+IF(D604&lt;&gt;"",D604,0)-DATE(1970,1,1))*86400),"")</f>
        <v/>
      </c>
    </row>
    <row r="605" customFormat="false" ht="19.5" hidden="false" customHeight="true" outlineLevel="0" collapsed="false">
      <c r="A605" s="12" t="n">
        <f aca="false">ROW()-4</f>
        <v>601</v>
      </c>
      <c r="B605" s="13"/>
      <c r="C605" s="14"/>
      <c r="D605" s="15"/>
      <c r="E605" s="14"/>
      <c r="F605" s="15"/>
      <c r="G605" s="16"/>
      <c r="H605" s="17"/>
      <c r="I605" s="18"/>
      <c r="J605" s="19"/>
      <c r="K605" s="14"/>
      <c r="L605" s="17"/>
      <c r="M605" s="19"/>
      <c r="N605" s="20"/>
      <c r="O605" s="19"/>
      <c r="P605" s="21"/>
      <c r="Q605" s="22" t="str">
        <f aca="false">IF(L605="","",IF(M605&lt;&gt;"",M605*L605*100,IF(AND(O605&lt;&gt;"",B605&lt;&gt;""),IFERROR(AVERAGEIF($B$5:$B$1004,B605,$M$5:$M$1004)*L605*100,""),"")))</f>
        <v/>
      </c>
      <c r="R605" s="22" t="str">
        <f aca="false">IF(AND(O605&lt;&gt;"",L605&lt;&gt;""),O605*L605*100,"")</f>
        <v/>
      </c>
      <c r="S605" s="23" t="str">
        <f aca="false">IF(AND(P605&lt;&gt;"",L605&lt;&gt;""),P605*L605*100,"")</f>
        <v/>
      </c>
      <c r="T605" s="24" t="str">
        <f aca="false">IF(AND(Q605&lt;&gt;"",R605&lt;&gt;""),R605-Q605,"")</f>
        <v/>
      </c>
      <c r="U605" s="25" t="str">
        <f aca="false">IF(AND(Q605&lt;&gt;"",Q605&lt;&gt;0,T605&lt;&gt;""),T605/Q605,"")</f>
        <v/>
      </c>
      <c r="V605" s="26" t="str">
        <f aca="false">IF(AND(S605&lt;&gt;"",Q605&lt;&gt;""),S605-Q605,"")</f>
        <v/>
      </c>
      <c r="W605" s="27" t="str">
        <f aca="false">IF(AND(Q605&lt;&gt;"",Q605&lt;&gt;0,V605&lt;&gt;""),V605/Q605,"")</f>
        <v/>
      </c>
      <c r="X605" s="28" t="s">
        <v>37</v>
      </c>
      <c r="Y605" s="29" t="str">
        <f aca="false">IF(AND(O605&lt;&gt;"",M605&lt;&gt;"",O605&gt;M605),CONCATENATE("1 : ",TEXT((O605-M605)/M605,"0.00")),IF(AND(O605&lt;&gt;"",M605&lt;&gt;"",O605&lt;M605),CONCATENATE("-1 : ",TEXT((M605-O605)/M605,"0.00")),"—"))</f>
        <v>—</v>
      </c>
      <c r="Z605" s="30" t="str">
        <f aca="false">IF(AND(P605&lt;&gt;"",M605&lt;&gt;"",P605&gt;M605),CONCATENATE("1 : ",TEXT((P605-M605)/M605,"0.00")),"—")</f>
        <v>—</v>
      </c>
      <c r="AA605" s="31" t="str">
        <f aca="false">IF(AND(C605&lt;&gt;"",E605&lt;&gt;""),E605-C605,"")</f>
        <v/>
      </c>
      <c r="AB605" s="17"/>
      <c r="AC605" s="32"/>
      <c r="AD605" s="33"/>
      <c r="AE605" s="34" t="str">
        <f aca="false">IF(G605&lt;&gt;"",HYPERLINK("https://www.tradingview.com/chart/?symbol="&amp;G605&amp;"&amp;interval=60&amp;from="&amp;(AG605-10*3600)&amp;"&amp;to="&amp;(AG605+50*3600),"📈 1H"),"")</f>
        <v/>
      </c>
      <c r="AF605" s="35" t="str">
        <f aca="false">IF(G605&lt;&gt;"",HYPERLINK("https://www.tradingview.com/chart/?symbol="&amp;G605&amp;"&amp;interval=240&amp;from="&amp;(AG605-10*14400)&amp;"&amp;to="&amp;(AG605+50*14400),"📈 4H"),"")</f>
        <v/>
      </c>
      <c r="AG605" s="36" t="str">
        <f aca="false">IF(C605&lt;&gt;"",INT((C605+IF(D605&lt;&gt;"",D605,0)-DATE(1970,1,1))*86400),"")</f>
        <v/>
      </c>
    </row>
    <row r="606" customFormat="false" ht="19.5" hidden="false" customHeight="true" outlineLevel="0" collapsed="false">
      <c r="A606" s="37" t="n">
        <f aca="false">ROW()-4</f>
        <v>602</v>
      </c>
      <c r="B606" s="38"/>
      <c r="C606" s="39"/>
      <c r="D606" s="40"/>
      <c r="E606" s="39"/>
      <c r="F606" s="40"/>
      <c r="G606" s="41"/>
      <c r="H606" s="42"/>
      <c r="I606" s="43"/>
      <c r="J606" s="44"/>
      <c r="K606" s="39"/>
      <c r="L606" s="42"/>
      <c r="M606" s="44"/>
      <c r="N606" s="45"/>
      <c r="O606" s="44"/>
      <c r="P606" s="46"/>
      <c r="Q606" s="47" t="str">
        <f aca="false">IF(L606="","",IF(M606&lt;&gt;"",M606*L606*100,IF(AND(O606&lt;&gt;"",B606&lt;&gt;""),IFERROR(AVERAGEIF($B$5:$B$1004,B606,$M$5:$M$1004)*L606*100,""),"")))</f>
        <v/>
      </c>
      <c r="R606" s="47" t="str">
        <f aca="false">IF(AND(O606&lt;&gt;"",L606&lt;&gt;""),O606*L606*100,"")</f>
        <v/>
      </c>
      <c r="S606" s="48" t="str">
        <f aca="false">IF(AND(P606&lt;&gt;"",L606&lt;&gt;""),P606*L606*100,"")</f>
        <v/>
      </c>
      <c r="T606" s="49" t="str">
        <f aca="false">IF(AND(Q606&lt;&gt;"",R606&lt;&gt;""),R606-Q606,"")</f>
        <v/>
      </c>
      <c r="U606" s="50" t="str">
        <f aca="false">IF(AND(Q606&lt;&gt;"",Q606&lt;&gt;0,T606&lt;&gt;""),T606/Q606,"")</f>
        <v/>
      </c>
      <c r="V606" s="51" t="str">
        <f aca="false">IF(AND(S606&lt;&gt;"",Q606&lt;&gt;""),S606-Q606,"")</f>
        <v/>
      </c>
      <c r="W606" s="52" t="str">
        <f aca="false">IF(AND(Q606&lt;&gt;"",Q606&lt;&gt;0,V606&lt;&gt;""),V606/Q606,"")</f>
        <v/>
      </c>
      <c r="X606" s="53" t="s">
        <v>37</v>
      </c>
      <c r="Y606" s="54" t="str">
        <f aca="false">IF(AND(O606&lt;&gt;"",M606&lt;&gt;"",O606&gt;M606),CONCATENATE("1 : ",TEXT((O606-M606)/M606,"0.00")),IF(AND(O606&lt;&gt;"",M606&lt;&gt;"",O606&lt;M606),CONCATENATE("-1 : ",TEXT((M606-O606)/M606,"0.00")),"—"))</f>
        <v>—</v>
      </c>
      <c r="Z606" s="55" t="str">
        <f aca="false">IF(AND(P606&lt;&gt;"",M606&lt;&gt;"",P606&gt;M606),CONCATENATE("1 : ",TEXT((P606-M606)/M606,"0.00")),"—")</f>
        <v>—</v>
      </c>
      <c r="AA606" s="56" t="str">
        <f aca="false">IF(AND(C606&lt;&gt;"",E606&lt;&gt;""),E606-C606,"")</f>
        <v/>
      </c>
      <c r="AB606" s="42"/>
      <c r="AC606" s="57"/>
      <c r="AD606" s="58"/>
      <c r="AE606" s="59" t="str">
        <f aca="false">IF(G606&lt;&gt;"",HYPERLINK("https://www.tradingview.com/chart/?symbol="&amp;G606&amp;"&amp;interval=60&amp;from="&amp;(AG606-10*3600)&amp;"&amp;to="&amp;(AG606+50*3600),"📈 1H"),"")</f>
        <v/>
      </c>
      <c r="AF606" s="60" t="str">
        <f aca="false">IF(G606&lt;&gt;"",HYPERLINK("https://www.tradingview.com/chart/?symbol="&amp;G606&amp;"&amp;interval=240&amp;from="&amp;(AG606-10*14400)&amp;"&amp;to="&amp;(AG606+50*14400),"📈 4H"),"")</f>
        <v/>
      </c>
      <c r="AG606" s="36" t="str">
        <f aca="false">IF(C606&lt;&gt;"",INT((C606+IF(D606&lt;&gt;"",D606,0)-DATE(1970,1,1))*86400),"")</f>
        <v/>
      </c>
    </row>
    <row r="607" customFormat="false" ht="19.5" hidden="false" customHeight="true" outlineLevel="0" collapsed="false">
      <c r="A607" s="12" t="n">
        <f aca="false">ROW()-4</f>
        <v>603</v>
      </c>
      <c r="B607" s="13"/>
      <c r="C607" s="14"/>
      <c r="D607" s="15"/>
      <c r="E607" s="14"/>
      <c r="F607" s="15"/>
      <c r="G607" s="16"/>
      <c r="H607" s="17"/>
      <c r="I607" s="18"/>
      <c r="J607" s="19"/>
      <c r="K607" s="14"/>
      <c r="L607" s="17"/>
      <c r="M607" s="19"/>
      <c r="N607" s="20"/>
      <c r="O607" s="19"/>
      <c r="P607" s="21"/>
      <c r="Q607" s="22" t="str">
        <f aca="false">IF(L607="","",IF(M607&lt;&gt;"",M607*L607*100,IF(AND(O607&lt;&gt;"",B607&lt;&gt;""),IFERROR(AVERAGEIF($B$5:$B$1004,B607,$M$5:$M$1004)*L607*100,""),"")))</f>
        <v/>
      </c>
      <c r="R607" s="22" t="str">
        <f aca="false">IF(AND(O607&lt;&gt;"",L607&lt;&gt;""),O607*L607*100,"")</f>
        <v/>
      </c>
      <c r="S607" s="23" t="str">
        <f aca="false">IF(AND(P607&lt;&gt;"",L607&lt;&gt;""),P607*L607*100,"")</f>
        <v/>
      </c>
      <c r="T607" s="24" t="str">
        <f aca="false">IF(AND(Q607&lt;&gt;"",R607&lt;&gt;""),R607-Q607,"")</f>
        <v/>
      </c>
      <c r="U607" s="25" t="str">
        <f aca="false">IF(AND(Q607&lt;&gt;"",Q607&lt;&gt;0,T607&lt;&gt;""),T607/Q607,"")</f>
        <v/>
      </c>
      <c r="V607" s="26" t="str">
        <f aca="false">IF(AND(S607&lt;&gt;"",Q607&lt;&gt;""),S607-Q607,"")</f>
        <v/>
      </c>
      <c r="W607" s="27" t="str">
        <f aca="false">IF(AND(Q607&lt;&gt;"",Q607&lt;&gt;0,V607&lt;&gt;""),V607/Q607,"")</f>
        <v/>
      </c>
      <c r="X607" s="28" t="s">
        <v>37</v>
      </c>
      <c r="Y607" s="29" t="str">
        <f aca="false">IF(AND(O607&lt;&gt;"",M607&lt;&gt;"",O607&gt;M607),CONCATENATE("1 : ",TEXT((O607-M607)/M607,"0.00")),IF(AND(O607&lt;&gt;"",M607&lt;&gt;"",O607&lt;M607),CONCATENATE("-1 : ",TEXT((M607-O607)/M607,"0.00")),"—"))</f>
        <v>—</v>
      </c>
      <c r="Z607" s="30" t="str">
        <f aca="false">IF(AND(P607&lt;&gt;"",M607&lt;&gt;"",P607&gt;M607),CONCATENATE("1 : ",TEXT((P607-M607)/M607,"0.00")),"—")</f>
        <v>—</v>
      </c>
      <c r="AA607" s="31" t="str">
        <f aca="false">IF(AND(C607&lt;&gt;"",E607&lt;&gt;""),E607-C607,"")</f>
        <v/>
      </c>
      <c r="AB607" s="17"/>
      <c r="AC607" s="32"/>
      <c r="AD607" s="33"/>
      <c r="AE607" s="34" t="str">
        <f aca="false">IF(G607&lt;&gt;"",HYPERLINK("https://www.tradingview.com/chart/?symbol="&amp;G607&amp;"&amp;interval=60&amp;from="&amp;(AG607-10*3600)&amp;"&amp;to="&amp;(AG607+50*3600),"📈 1H"),"")</f>
        <v/>
      </c>
      <c r="AF607" s="35" t="str">
        <f aca="false">IF(G607&lt;&gt;"",HYPERLINK("https://www.tradingview.com/chart/?symbol="&amp;G607&amp;"&amp;interval=240&amp;from="&amp;(AG607-10*14400)&amp;"&amp;to="&amp;(AG607+50*14400),"📈 4H"),"")</f>
        <v/>
      </c>
      <c r="AG607" s="36" t="str">
        <f aca="false">IF(C607&lt;&gt;"",INT((C607+IF(D607&lt;&gt;"",D607,0)-DATE(1970,1,1))*86400),"")</f>
        <v/>
      </c>
    </row>
    <row r="608" customFormat="false" ht="19.5" hidden="false" customHeight="true" outlineLevel="0" collapsed="false">
      <c r="A608" s="37" t="n">
        <f aca="false">ROW()-4</f>
        <v>604</v>
      </c>
      <c r="B608" s="38"/>
      <c r="C608" s="39"/>
      <c r="D608" s="40"/>
      <c r="E608" s="39"/>
      <c r="F608" s="40"/>
      <c r="G608" s="41"/>
      <c r="H608" s="42"/>
      <c r="I608" s="43"/>
      <c r="J608" s="44"/>
      <c r="K608" s="39"/>
      <c r="L608" s="42"/>
      <c r="M608" s="44"/>
      <c r="N608" s="45"/>
      <c r="O608" s="44"/>
      <c r="P608" s="46"/>
      <c r="Q608" s="47" t="str">
        <f aca="false">IF(L608="","",IF(M608&lt;&gt;"",M608*L608*100,IF(AND(O608&lt;&gt;"",B608&lt;&gt;""),IFERROR(AVERAGEIF($B$5:$B$1004,B608,$M$5:$M$1004)*L608*100,""),"")))</f>
        <v/>
      </c>
      <c r="R608" s="47" t="str">
        <f aca="false">IF(AND(O608&lt;&gt;"",L608&lt;&gt;""),O608*L608*100,"")</f>
        <v/>
      </c>
      <c r="S608" s="48" t="str">
        <f aca="false">IF(AND(P608&lt;&gt;"",L608&lt;&gt;""),P608*L608*100,"")</f>
        <v/>
      </c>
      <c r="T608" s="49" t="str">
        <f aca="false">IF(AND(Q608&lt;&gt;"",R608&lt;&gt;""),R608-Q608,"")</f>
        <v/>
      </c>
      <c r="U608" s="50" t="str">
        <f aca="false">IF(AND(Q608&lt;&gt;"",Q608&lt;&gt;0,T608&lt;&gt;""),T608/Q608,"")</f>
        <v/>
      </c>
      <c r="V608" s="51" t="str">
        <f aca="false">IF(AND(S608&lt;&gt;"",Q608&lt;&gt;""),S608-Q608,"")</f>
        <v/>
      </c>
      <c r="W608" s="52" t="str">
        <f aca="false">IF(AND(Q608&lt;&gt;"",Q608&lt;&gt;0,V608&lt;&gt;""),V608/Q608,"")</f>
        <v/>
      </c>
      <c r="X608" s="53" t="s">
        <v>37</v>
      </c>
      <c r="Y608" s="54" t="str">
        <f aca="false">IF(AND(O608&lt;&gt;"",M608&lt;&gt;"",O608&gt;M608),CONCATENATE("1 : ",TEXT((O608-M608)/M608,"0.00")),IF(AND(O608&lt;&gt;"",M608&lt;&gt;"",O608&lt;M608),CONCATENATE("-1 : ",TEXT((M608-O608)/M608,"0.00")),"—"))</f>
        <v>—</v>
      </c>
      <c r="Z608" s="55" t="str">
        <f aca="false">IF(AND(P608&lt;&gt;"",M608&lt;&gt;"",P608&gt;M608),CONCATENATE("1 : ",TEXT((P608-M608)/M608,"0.00")),"—")</f>
        <v>—</v>
      </c>
      <c r="AA608" s="56" t="str">
        <f aca="false">IF(AND(C608&lt;&gt;"",E608&lt;&gt;""),E608-C608,"")</f>
        <v/>
      </c>
      <c r="AB608" s="42"/>
      <c r="AC608" s="57"/>
      <c r="AD608" s="58"/>
      <c r="AE608" s="59" t="str">
        <f aca="false">IF(G608&lt;&gt;"",HYPERLINK("https://www.tradingview.com/chart/?symbol="&amp;G608&amp;"&amp;interval=60&amp;from="&amp;(AG608-10*3600)&amp;"&amp;to="&amp;(AG608+50*3600),"📈 1H"),"")</f>
        <v/>
      </c>
      <c r="AF608" s="60" t="str">
        <f aca="false">IF(G608&lt;&gt;"",HYPERLINK("https://www.tradingview.com/chart/?symbol="&amp;G608&amp;"&amp;interval=240&amp;from="&amp;(AG608-10*14400)&amp;"&amp;to="&amp;(AG608+50*14400),"📈 4H"),"")</f>
        <v/>
      </c>
      <c r="AG608" s="36" t="str">
        <f aca="false">IF(C608&lt;&gt;"",INT((C608+IF(D608&lt;&gt;"",D608,0)-DATE(1970,1,1))*86400),"")</f>
        <v/>
      </c>
    </row>
    <row r="609" customFormat="false" ht="19.5" hidden="false" customHeight="true" outlineLevel="0" collapsed="false">
      <c r="A609" s="12" t="n">
        <f aca="false">ROW()-4</f>
        <v>605</v>
      </c>
      <c r="B609" s="13"/>
      <c r="C609" s="14"/>
      <c r="D609" s="15"/>
      <c r="E609" s="14"/>
      <c r="F609" s="15"/>
      <c r="G609" s="16"/>
      <c r="H609" s="17"/>
      <c r="I609" s="18"/>
      <c r="J609" s="19"/>
      <c r="K609" s="14"/>
      <c r="L609" s="17"/>
      <c r="M609" s="19"/>
      <c r="N609" s="20"/>
      <c r="O609" s="19"/>
      <c r="P609" s="21"/>
      <c r="Q609" s="22" t="str">
        <f aca="false">IF(L609="","",IF(M609&lt;&gt;"",M609*L609*100,IF(AND(O609&lt;&gt;"",B609&lt;&gt;""),IFERROR(AVERAGEIF($B$5:$B$1004,B609,$M$5:$M$1004)*L609*100,""),"")))</f>
        <v/>
      </c>
      <c r="R609" s="22" t="str">
        <f aca="false">IF(AND(O609&lt;&gt;"",L609&lt;&gt;""),O609*L609*100,"")</f>
        <v/>
      </c>
      <c r="S609" s="23" t="str">
        <f aca="false">IF(AND(P609&lt;&gt;"",L609&lt;&gt;""),P609*L609*100,"")</f>
        <v/>
      </c>
      <c r="T609" s="24" t="str">
        <f aca="false">IF(AND(Q609&lt;&gt;"",R609&lt;&gt;""),R609-Q609,"")</f>
        <v/>
      </c>
      <c r="U609" s="25" t="str">
        <f aca="false">IF(AND(Q609&lt;&gt;"",Q609&lt;&gt;0,T609&lt;&gt;""),T609/Q609,"")</f>
        <v/>
      </c>
      <c r="V609" s="26" t="str">
        <f aca="false">IF(AND(S609&lt;&gt;"",Q609&lt;&gt;""),S609-Q609,"")</f>
        <v/>
      </c>
      <c r="W609" s="27" t="str">
        <f aca="false">IF(AND(Q609&lt;&gt;"",Q609&lt;&gt;0,V609&lt;&gt;""),V609/Q609,"")</f>
        <v/>
      </c>
      <c r="X609" s="28" t="s">
        <v>37</v>
      </c>
      <c r="Y609" s="29" t="str">
        <f aca="false">IF(AND(O609&lt;&gt;"",M609&lt;&gt;"",O609&gt;M609),CONCATENATE("1 : ",TEXT((O609-M609)/M609,"0.00")),IF(AND(O609&lt;&gt;"",M609&lt;&gt;"",O609&lt;M609),CONCATENATE("-1 : ",TEXT((M609-O609)/M609,"0.00")),"—"))</f>
        <v>—</v>
      </c>
      <c r="Z609" s="30" t="str">
        <f aca="false">IF(AND(P609&lt;&gt;"",M609&lt;&gt;"",P609&gt;M609),CONCATENATE("1 : ",TEXT((P609-M609)/M609,"0.00")),"—")</f>
        <v>—</v>
      </c>
      <c r="AA609" s="31" t="str">
        <f aca="false">IF(AND(C609&lt;&gt;"",E609&lt;&gt;""),E609-C609,"")</f>
        <v/>
      </c>
      <c r="AB609" s="17"/>
      <c r="AC609" s="32"/>
      <c r="AD609" s="33"/>
      <c r="AE609" s="34" t="str">
        <f aca="false">IF(G609&lt;&gt;"",HYPERLINK("https://www.tradingview.com/chart/?symbol="&amp;G609&amp;"&amp;interval=60&amp;from="&amp;(AG609-10*3600)&amp;"&amp;to="&amp;(AG609+50*3600),"📈 1H"),"")</f>
        <v/>
      </c>
      <c r="AF609" s="35" t="str">
        <f aca="false">IF(G609&lt;&gt;"",HYPERLINK("https://www.tradingview.com/chart/?symbol="&amp;G609&amp;"&amp;interval=240&amp;from="&amp;(AG609-10*14400)&amp;"&amp;to="&amp;(AG609+50*14400),"📈 4H"),"")</f>
        <v/>
      </c>
      <c r="AG609" s="36" t="str">
        <f aca="false">IF(C609&lt;&gt;"",INT((C609+IF(D609&lt;&gt;"",D609,0)-DATE(1970,1,1))*86400),"")</f>
        <v/>
      </c>
    </row>
    <row r="610" customFormat="false" ht="19.5" hidden="false" customHeight="true" outlineLevel="0" collapsed="false">
      <c r="A610" s="37" t="n">
        <f aca="false">ROW()-4</f>
        <v>606</v>
      </c>
      <c r="B610" s="38"/>
      <c r="C610" s="39"/>
      <c r="D610" s="40"/>
      <c r="E610" s="39"/>
      <c r="F610" s="40"/>
      <c r="G610" s="41"/>
      <c r="H610" s="42"/>
      <c r="I610" s="43"/>
      <c r="J610" s="44"/>
      <c r="K610" s="39"/>
      <c r="L610" s="42"/>
      <c r="M610" s="44"/>
      <c r="N610" s="45"/>
      <c r="O610" s="44"/>
      <c r="P610" s="46"/>
      <c r="Q610" s="47" t="str">
        <f aca="false">IF(L610="","",IF(M610&lt;&gt;"",M610*L610*100,IF(AND(O610&lt;&gt;"",B610&lt;&gt;""),IFERROR(AVERAGEIF($B$5:$B$1004,B610,$M$5:$M$1004)*L610*100,""),"")))</f>
        <v/>
      </c>
      <c r="R610" s="47" t="str">
        <f aca="false">IF(AND(O610&lt;&gt;"",L610&lt;&gt;""),O610*L610*100,"")</f>
        <v/>
      </c>
      <c r="S610" s="48" t="str">
        <f aca="false">IF(AND(P610&lt;&gt;"",L610&lt;&gt;""),P610*L610*100,"")</f>
        <v/>
      </c>
      <c r="T610" s="49" t="str">
        <f aca="false">IF(AND(Q610&lt;&gt;"",R610&lt;&gt;""),R610-Q610,"")</f>
        <v/>
      </c>
      <c r="U610" s="50" t="str">
        <f aca="false">IF(AND(Q610&lt;&gt;"",Q610&lt;&gt;0,T610&lt;&gt;""),T610/Q610,"")</f>
        <v/>
      </c>
      <c r="V610" s="51" t="str">
        <f aca="false">IF(AND(S610&lt;&gt;"",Q610&lt;&gt;""),S610-Q610,"")</f>
        <v/>
      </c>
      <c r="W610" s="52" t="str">
        <f aca="false">IF(AND(Q610&lt;&gt;"",Q610&lt;&gt;0,V610&lt;&gt;""),V610/Q610,"")</f>
        <v/>
      </c>
      <c r="X610" s="53" t="s">
        <v>37</v>
      </c>
      <c r="Y610" s="54" t="str">
        <f aca="false">IF(AND(O610&lt;&gt;"",M610&lt;&gt;"",O610&gt;M610),CONCATENATE("1 : ",TEXT((O610-M610)/M610,"0.00")),IF(AND(O610&lt;&gt;"",M610&lt;&gt;"",O610&lt;M610),CONCATENATE("-1 : ",TEXT((M610-O610)/M610,"0.00")),"—"))</f>
        <v>—</v>
      </c>
      <c r="Z610" s="55" t="str">
        <f aca="false">IF(AND(P610&lt;&gt;"",M610&lt;&gt;"",P610&gt;M610),CONCATENATE("1 : ",TEXT((P610-M610)/M610,"0.00")),"—")</f>
        <v>—</v>
      </c>
      <c r="AA610" s="56" t="str">
        <f aca="false">IF(AND(C610&lt;&gt;"",E610&lt;&gt;""),E610-C610,"")</f>
        <v/>
      </c>
      <c r="AB610" s="42"/>
      <c r="AC610" s="57"/>
      <c r="AD610" s="58"/>
      <c r="AE610" s="59" t="str">
        <f aca="false">IF(G610&lt;&gt;"",HYPERLINK("https://www.tradingview.com/chart/?symbol="&amp;G610&amp;"&amp;interval=60&amp;from="&amp;(AG610-10*3600)&amp;"&amp;to="&amp;(AG610+50*3600),"📈 1H"),"")</f>
        <v/>
      </c>
      <c r="AF610" s="60" t="str">
        <f aca="false">IF(G610&lt;&gt;"",HYPERLINK("https://www.tradingview.com/chart/?symbol="&amp;G610&amp;"&amp;interval=240&amp;from="&amp;(AG610-10*14400)&amp;"&amp;to="&amp;(AG610+50*14400),"📈 4H"),"")</f>
        <v/>
      </c>
      <c r="AG610" s="36" t="str">
        <f aca="false">IF(C610&lt;&gt;"",INT((C610+IF(D610&lt;&gt;"",D610,0)-DATE(1970,1,1))*86400),"")</f>
        <v/>
      </c>
    </row>
    <row r="611" customFormat="false" ht="19.5" hidden="false" customHeight="true" outlineLevel="0" collapsed="false">
      <c r="A611" s="12" t="n">
        <f aca="false">ROW()-4</f>
        <v>607</v>
      </c>
      <c r="B611" s="13"/>
      <c r="C611" s="14"/>
      <c r="D611" s="15"/>
      <c r="E611" s="14"/>
      <c r="F611" s="15"/>
      <c r="G611" s="16"/>
      <c r="H611" s="17"/>
      <c r="I611" s="18"/>
      <c r="J611" s="19"/>
      <c r="K611" s="14"/>
      <c r="L611" s="17"/>
      <c r="M611" s="19"/>
      <c r="N611" s="20"/>
      <c r="O611" s="19"/>
      <c r="P611" s="21"/>
      <c r="Q611" s="22" t="str">
        <f aca="false">IF(L611="","",IF(M611&lt;&gt;"",M611*L611*100,IF(AND(O611&lt;&gt;"",B611&lt;&gt;""),IFERROR(AVERAGEIF($B$5:$B$1004,B611,$M$5:$M$1004)*L611*100,""),"")))</f>
        <v/>
      </c>
      <c r="R611" s="22" t="str">
        <f aca="false">IF(AND(O611&lt;&gt;"",L611&lt;&gt;""),O611*L611*100,"")</f>
        <v/>
      </c>
      <c r="S611" s="23" t="str">
        <f aca="false">IF(AND(P611&lt;&gt;"",L611&lt;&gt;""),P611*L611*100,"")</f>
        <v/>
      </c>
      <c r="T611" s="24" t="str">
        <f aca="false">IF(AND(Q611&lt;&gt;"",R611&lt;&gt;""),R611-Q611,"")</f>
        <v/>
      </c>
      <c r="U611" s="25" t="str">
        <f aca="false">IF(AND(Q611&lt;&gt;"",Q611&lt;&gt;0,T611&lt;&gt;""),T611/Q611,"")</f>
        <v/>
      </c>
      <c r="V611" s="26" t="str">
        <f aca="false">IF(AND(S611&lt;&gt;"",Q611&lt;&gt;""),S611-Q611,"")</f>
        <v/>
      </c>
      <c r="W611" s="27" t="str">
        <f aca="false">IF(AND(Q611&lt;&gt;"",Q611&lt;&gt;0,V611&lt;&gt;""),V611/Q611,"")</f>
        <v/>
      </c>
      <c r="X611" s="28" t="s">
        <v>37</v>
      </c>
      <c r="Y611" s="29" t="str">
        <f aca="false">IF(AND(O611&lt;&gt;"",M611&lt;&gt;"",O611&gt;M611),CONCATENATE("1 : ",TEXT((O611-M611)/M611,"0.00")),IF(AND(O611&lt;&gt;"",M611&lt;&gt;"",O611&lt;M611),CONCATENATE("-1 : ",TEXT((M611-O611)/M611,"0.00")),"—"))</f>
        <v>—</v>
      </c>
      <c r="Z611" s="30" t="str">
        <f aca="false">IF(AND(P611&lt;&gt;"",M611&lt;&gt;"",P611&gt;M611),CONCATENATE("1 : ",TEXT((P611-M611)/M611,"0.00")),"—")</f>
        <v>—</v>
      </c>
      <c r="AA611" s="31" t="str">
        <f aca="false">IF(AND(C611&lt;&gt;"",E611&lt;&gt;""),E611-C611,"")</f>
        <v/>
      </c>
      <c r="AB611" s="17"/>
      <c r="AC611" s="32"/>
      <c r="AD611" s="33"/>
      <c r="AE611" s="34" t="str">
        <f aca="false">IF(G611&lt;&gt;"",HYPERLINK("https://www.tradingview.com/chart/?symbol="&amp;G611&amp;"&amp;interval=60&amp;from="&amp;(AG611-10*3600)&amp;"&amp;to="&amp;(AG611+50*3600),"📈 1H"),"")</f>
        <v/>
      </c>
      <c r="AF611" s="35" t="str">
        <f aca="false">IF(G611&lt;&gt;"",HYPERLINK("https://www.tradingview.com/chart/?symbol="&amp;G611&amp;"&amp;interval=240&amp;from="&amp;(AG611-10*14400)&amp;"&amp;to="&amp;(AG611+50*14400),"📈 4H"),"")</f>
        <v/>
      </c>
      <c r="AG611" s="36" t="str">
        <f aca="false">IF(C611&lt;&gt;"",INT((C611+IF(D611&lt;&gt;"",D611,0)-DATE(1970,1,1))*86400),"")</f>
        <v/>
      </c>
    </row>
    <row r="612" customFormat="false" ht="19.5" hidden="false" customHeight="true" outlineLevel="0" collapsed="false">
      <c r="A612" s="37" t="n">
        <f aca="false">ROW()-4</f>
        <v>608</v>
      </c>
      <c r="B612" s="38"/>
      <c r="C612" s="39"/>
      <c r="D612" s="40"/>
      <c r="E612" s="39"/>
      <c r="F612" s="40"/>
      <c r="G612" s="41"/>
      <c r="H612" s="42"/>
      <c r="I612" s="43"/>
      <c r="J612" s="44"/>
      <c r="K612" s="39"/>
      <c r="L612" s="42"/>
      <c r="M612" s="44"/>
      <c r="N612" s="45"/>
      <c r="O612" s="44"/>
      <c r="P612" s="46"/>
      <c r="Q612" s="47" t="str">
        <f aca="false">IF(L612="","",IF(M612&lt;&gt;"",M612*L612*100,IF(AND(O612&lt;&gt;"",B612&lt;&gt;""),IFERROR(AVERAGEIF($B$5:$B$1004,B612,$M$5:$M$1004)*L612*100,""),"")))</f>
        <v/>
      </c>
      <c r="R612" s="47" t="str">
        <f aca="false">IF(AND(O612&lt;&gt;"",L612&lt;&gt;""),O612*L612*100,"")</f>
        <v/>
      </c>
      <c r="S612" s="48" t="str">
        <f aca="false">IF(AND(P612&lt;&gt;"",L612&lt;&gt;""),P612*L612*100,"")</f>
        <v/>
      </c>
      <c r="T612" s="49" t="str">
        <f aca="false">IF(AND(Q612&lt;&gt;"",R612&lt;&gt;""),R612-Q612,"")</f>
        <v/>
      </c>
      <c r="U612" s="50" t="str">
        <f aca="false">IF(AND(Q612&lt;&gt;"",Q612&lt;&gt;0,T612&lt;&gt;""),T612/Q612,"")</f>
        <v/>
      </c>
      <c r="V612" s="51" t="str">
        <f aca="false">IF(AND(S612&lt;&gt;"",Q612&lt;&gt;""),S612-Q612,"")</f>
        <v/>
      </c>
      <c r="W612" s="52" t="str">
        <f aca="false">IF(AND(Q612&lt;&gt;"",Q612&lt;&gt;0,V612&lt;&gt;""),V612/Q612,"")</f>
        <v/>
      </c>
      <c r="X612" s="53" t="s">
        <v>37</v>
      </c>
      <c r="Y612" s="54" t="str">
        <f aca="false">IF(AND(O612&lt;&gt;"",M612&lt;&gt;"",O612&gt;M612),CONCATENATE("1 : ",TEXT((O612-M612)/M612,"0.00")),IF(AND(O612&lt;&gt;"",M612&lt;&gt;"",O612&lt;M612),CONCATENATE("-1 : ",TEXT((M612-O612)/M612,"0.00")),"—"))</f>
        <v>—</v>
      </c>
      <c r="Z612" s="55" t="str">
        <f aca="false">IF(AND(P612&lt;&gt;"",M612&lt;&gt;"",P612&gt;M612),CONCATENATE("1 : ",TEXT((P612-M612)/M612,"0.00")),"—")</f>
        <v>—</v>
      </c>
      <c r="AA612" s="56" t="str">
        <f aca="false">IF(AND(C612&lt;&gt;"",E612&lt;&gt;""),E612-C612,"")</f>
        <v/>
      </c>
      <c r="AB612" s="42"/>
      <c r="AC612" s="57"/>
      <c r="AD612" s="58"/>
      <c r="AE612" s="59" t="str">
        <f aca="false">IF(G612&lt;&gt;"",HYPERLINK("https://www.tradingview.com/chart/?symbol="&amp;G612&amp;"&amp;interval=60&amp;from="&amp;(AG612-10*3600)&amp;"&amp;to="&amp;(AG612+50*3600),"📈 1H"),"")</f>
        <v/>
      </c>
      <c r="AF612" s="60" t="str">
        <f aca="false">IF(G612&lt;&gt;"",HYPERLINK("https://www.tradingview.com/chart/?symbol="&amp;G612&amp;"&amp;interval=240&amp;from="&amp;(AG612-10*14400)&amp;"&amp;to="&amp;(AG612+50*14400),"📈 4H"),"")</f>
        <v/>
      </c>
      <c r="AG612" s="36" t="str">
        <f aca="false">IF(C612&lt;&gt;"",INT((C612+IF(D612&lt;&gt;"",D612,0)-DATE(1970,1,1))*86400),"")</f>
        <v/>
      </c>
    </row>
    <row r="613" customFormat="false" ht="19.5" hidden="false" customHeight="true" outlineLevel="0" collapsed="false">
      <c r="A613" s="12" t="n">
        <f aca="false">ROW()-4</f>
        <v>609</v>
      </c>
      <c r="B613" s="13"/>
      <c r="C613" s="14"/>
      <c r="D613" s="15"/>
      <c r="E613" s="14"/>
      <c r="F613" s="15"/>
      <c r="G613" s="16"/>
      <c r="H613" s="17"/>
      <c r="I613" s="18"/>
      <c r="J613" s="19"/>
      <c r="K613" s="14"/>
      <c r="L613" s="17"/>
      <c r="M613" s="19"/>
      <c r="N613" s="20"/>
      <c r="O613" s="19"/>
      <c r="P613" s="21"/>
      <c r="Q613" s="22" t="str">
        <f aca="false">IF(L613="","",IF(M613&lt;&gt;"",M613*L613*100,IF(AND(O613&lt;&gt;"",B613&lt;&gt;""),IFERROR(AVERAGEIF($B$5:$B$1004,B613,$M$5:$M$1004)*L613*100,""),"")))</f>
        <v/>
      </c>
      <c r="R613" s="22" t="str">
        <f aca="false">IF(AND(O613&lt;&gt;"",L613&lt;&gt;""),O613*L613*100,"")</f>
        <v/>
      </c>
      <c r="S613" s="23" t="str">
        <f aca="false">IF(AND(P613&lt;&gt;"",L613&lt;&gt;""),P613*L613*100,"")</f>
        <v/>
      </c>
      <c r="T613" s="24" t="str">
        <f aca="false">IF(AND(Q613&lt;&gt;"",R613&lt;&gt;""),R613-Q613,"")</f>
        <v/>
      </c>
      <c r="U613" s="25" t="str">
        <f aca="false">IF(AND(Q613&lt;&gt;"",Q613&lt;&gt;0,T613&lt;&gt;""),T613/Q613,"")</f>
        <v/>
      </c>
      <c r="V613" s="26" t="str">
        <f aca="false">IF(AND(S613&lt;&gt;"",Q613&lt;&gt;""),S613-Q613,"")</f>
        <v/>
      </c>
      <c r="W613" s="27" t="str">
        <f aca="false">IF(AND(Q613&lt;&gt;"",Q613&lt;&gt;0,V613&lt;&gt;""),V613/Q613,"")</f>
        <v/>
      </c>
      <c r="X613" s="28" t="s">
        <v>37</v>
      </c>
      <c r="Y613" s="29" t="str">
        <f aca="false">IF(AND(O613&lt;&gt;"",M613&lt;&gt;"",O613&gt;M613),CONCATENATE("1 : ",TEXT((O613-M613)/M613,"0.00")),IF(AND(O613&lt;&gt;"",M613&lt;&gt;"",O613&lt;M613),CONCATENATE("-1 : ",TEXT((M613-O613)/M613,"0.00")),"—"))</f>
        <v>—</v>
      </c>
      <c r="Z613" s="30" t="str">
        <f aca="false">IF(AND(P613&lt;&gt;"",M613&lt;&gt;"",P613&gt;M613),CONCATENATE("1 : ",TEXT((P613-M613)/M613,"0.00")),"—")</f>
        <v>—</v>
      </c>
      <c r="AA613" s="31" t="str">
        <f aca="false">IF(AND(C613&lt;&gt;"",E613&lt;&gt;""),E613-C613,"")</f>
        <v/>
      </c>
      <c r="AB613" s="17"/>
      <c r="AC613" s="32"/>
      <c r="AD613" s="33"/>
      <c r="AE613" s="34" t="str">
        <f aca="false">IF(G613&lt;&gt;"",HYPERLINK("https://www.tradingview.com/chart/?symbol="&amp;G613&amp;"&amp;interval=60&amp;from="&amp;(AG613-10*3600)&amp;"&amp;to="&amp;(AG613+50*3600),"📈 1H"),"")</f>
        <v/>
      </c>
      <c r="AF613" s="35" t="str">
        <f aca="false">IF(G613&lt;&gt;"",HYPERLINK("https://www.tradingview.com/chart/?symbol="&amp;G613&amp;"&amp;interval=240&amp;from="&amp;(AG613-10*14400)&amp;"&amp;to="&amp;(AG613+50*14400),"📈 4H"),"")</f>
        <v/>
      </c>
      <c r="AG613" s="36" t="str">
        <f aca="false">IF(C613&lt;&gt;"",INT((C613+IF(D613&lt;&gt;"",D613,0)-DATE(1970,1,1))*86400),"")</f>
        <v/>
      </c>
    </row>
    <row r="614" customFormat="false" ht="19.5" hidden="false" customHeight="true" outlineLevel="0" collapsed="false">
      <c r="A614" s="37" t="n">
        <f aca="false">ROW()-4</f>
        <v>610</v>
      </c>
      <c r="B614" s="38"/>
      <c r="C614" s="39"/>
      <c r="D614" s="40"/>
      <c r="E614" s="39"/>
      <c r="F614" s="40"/>
      <c r="G614" s="41"/>
      <c r="H614" s="42"/>
      <c r="I614" s="43"/>
      <c r="J614" s="44"/>
      <c r="K614" s="39"/>
      <c r="L614" s="42"/>
      <c r="M614" s="44"/>
      <c r="N614" s="45"/>
      <c r="O614" s="44"/>
      <c r="P614" s="46"/>
      <c r="Q614" s="47" t="str">
        <f aca="false">IF(L614="","",IF(M614&lt;&gt;"",M614*L614*100,IF(AND(O614&lt;&gt;"",B614&lt;&gt;""),IFERROR(AVERAGEIF($B$5:$B$1004,B614,$M$5:$M$1004)*L614*100,""),"")))</f>
        <v/>
      </c>
      <c r="R614" s="47" t="str">
        <f aca="false">IF(AND(O614&lt;&gt;"",L614&lt;&gt;""),O614*L614*100,"")</f>
        <v/>
      </c>
      <c r="S614" s="48" t="str">
        <f aca="false">IF(AND(P614&lt;&gt;"",L614&lt;&gt;""),P614*L614*100,"")</f>
        <v/>
      </c>
      <c r="T614" s="49" t="str">
        <f aca="false">IF(AND(Q614&lt;&gt;"",R614&lt;&gt;""),R614-Q614,"")</f>
        <v/>
      </c>
      <c r="U614" s="50" t="str">
        <f aca="false">IF(AND(Q614&lt;&gt;"",Q614&lt;&gt;0,T614&lt;&gt;""),T614/Q614,"")</f>
        <v/>
      </c>
      <c r="V614" s="51" t="str">
        <f aca="false">IF(AND(S614&lt;&gt;"",Q614&lt;&gt;""),S614-Q614,"")</f>
        <v/>
      </c>
      <c r="W614" s="52" t="str">
        <f aca="false">IF(AND(Q614&lt;&gt;"",Q614&lt;&gt;0,V614&lt;&gt;""),V614/Q614,"")</f>
        <v/>
      </c>
      <c r="X614" s="53" t="s">
        <v>37</v>
      </c>
      <c r="Y614" s="54" t="str">
        <f aca="false">IF(AND(O614&lt;&gt;"",M614&lt;&gt;"",O614&gt;M614),CONCATENATE("1 : ",TEXT((O614-M614)/M614,"0.00")),IF(AND(O614&lt;&gt;"",M614&lt;&gt;"",O614&lt;M614),CONCATENATE("-1 : ",TEXT((M614-O614)/M614,"0.00")),"—"))</f>
        <v>—</v>
      </c>
      <c r="Z614" s="55" t="str">
        <f aca="false">IF(AND(P614&lt;&gt;"",M614&lt;&gt;"",P614&gt;M614),CONCATENATE("1 : ",TEXT((P614-M614)/M614,"0.00")),"—")</f>
        <v>—</v>
      </c>
      <c r="AA614" s="56" t="str">
        <f aca="false">IF(AND(C614&lt;&gt;"",E614&lt;&gt;""),E614-C614,"")</f>
        <v/>
      </c>
      <c r="AB614" s="42"/>
      <c r="AC614" s="57"/>
      <c r="AD614" s="58"/>
      <c r="AE614" s="59" t="str">
        <f aca="false">IF(G614&lt;&gt;"",HYPERLINK("https://www.tradingview.com/chart/?symbol="&amp;G614&amp;"&amp;interval=60&amp;from="&amp;(AG614-10*3600)&amp;"&amp;to="&amp;(AG614+50*3600),"📈 1H"),"")</f>
        <v/>
      </c>
      <c r="AF614" s="60" t="str">
        <f aca="false">IF(G614&lt;&gt;"",HYPERLINK("https://www.tradingview.com/chart/?symbol="&amp;G614&amp;"&amp;interval=240&amp;from="&amp;(AG614-10*14400)&amp;"&amp;to="&amp;(AG614+50*14400),"📈 4H"),"")</f>
        <v/>
      </c>
      <c r="AG614" s="36" t="str">
        <f aca="false">IF(C614&lt;&gt;"",INT((C614+IF(D614&lt;&gt;"",D614,0)-DATE(1970,1,1))*86400),"")</f>
        <v/>
      </c>
    </row>
    <row r="615" customFormat="false" ht="19.5" hidden="false" customHeight="true" outlineLevel="0" collapsed="false">
      <c r="A615" s="12" t="n">
        <f aca="false">ROW()-4</f>
        <v>611</v>
      </c>
      <c r="B615" s="13"/>
      <c r="C615" s="14"/>
      <c r="D615" s="15"/>
      <c r="E615" s="14"/>
      <c r="F615" s="15"/>
      <c r="G615" s="16"/>
      <c r="H615" s="17"/>
      <c r="I615" s="18"/>
      <c r="J615" s="19"/>
      <c r="K615" s="14"/>
      <c r="L615" s="17"/>
      <c r="M615" s="19"/>
      <c r="N615" s="20"/>
      <c r="O615" s="19"/>
      <c r="P615" s="21"/>
      <c r="Q615" s="22" t="str">
        <f aca="false">IF(L615="","",IF(M615&lt;&gt;"",M615*L615*100,IF(AND(O615&lt;&gt;"",B615&lt;&gt;""),IFERROR(AVERAGEIF($B$5:$B$1004,B615,$M$5:$M$1004)*L615*100,""),"")))</f>
        <v/>
      </c>
      <c r="R615" s="22" t="str">
        <f aca="false">IF(AND(O615&lt;&gt;"",L615&lt;&gt;""),O615*L615*100,"")</f>
        <v/>
      </c>
      <c r="S615" s="23" t="str">
        <f aca="false">IF(AND(P615&lt;&gt;"",L615&lt;&gt;""),P615*L615*100,"")</f>
        <v/>
      </c>
      <c r="T615" s="24" t="str">
        <f aca="false">IF(AND(Q615&lt;&gt;"",R615&lt;&gt;""),R615-Q615,"")</f>
        <v/>
      </c>
      <c r="U615" s="25" t="str">
        <f aca="false">IF(AND(Q615&lt;&gt;"",Q615&lt;&gt;0,T615&lt;&gt;""),T615/Q615,"")</f>
        <v/>
      </c>
      <c r="V615" s="26" t="str">
        <f aca="false">IF(AND(S615&lt;&gt;"",Q615&lt;&gt;""),S615-Q615,"")</f>
        <v/>
      </c>
      <c r="W615" s="27" t="str">
        <f aca="false">IF(AND(Q615&lt;&gt;"",Q615&lt;&gt;0,V615&lt;&gt;""),V615/Q615,"")</f>
        <v/>
      </c>
      <c r="X615" s="28" t="s">
        <v>37</v>
      </c>
      <c r="Y615" s="29" t="str">
        <f aca="false">IF(AND(O615&lt;&gt;"",M615&lt;&gt;"",O615&gt;M615),CONCATENATE("1 : ",TEXT((O615-M615)/M615,"0.00")),IF(AND(O615&lt;&gt;"",M615&lt;&gt;"",O615&lt;M615),CONCATENATE("-1 : ",TEXT((M615-O615)/M615,"0.00")),"—"))</f>
        <v>—</v>
      </c>
      <c r="Z615" s="30" t="str">
        <f aca="false">IF(AND(P615&lt;&gt;"",M615&lt;&gt;"",P615&gt;M615),CONCATENATE("1 : ",TEXT((P615-M615)/M615,"0.00")),"—")</f>
        <v>—</v>
      </c>
      <c r="AA615" s="31" t="str">
        <f aca="false">IF(AND(C615&lt;&gt;"",E615&lt;&gt;""),E615-C615,"")</f>
        <v/>
      </c>
      <c r="AB615" s="17"/>
      <c r="AC615" s="32"/>
      <c r="AD615" s="33"/>
      <c r="AE615" s="34" t="str">
        <f aca="false">IF(G615&lt;&gt;"",HYPERLINK("https://www.tradingview.com/chart/?symbol="&amp;G615&amp;"&amp;interval=60&amp;from="&amp;(AG615-10*3600)&amp;"&amp;to="&amp;(AG615+50*3600),"📈 1H"),"")</f>
        <v/>
      </c>
      <c r="AF615" s="35" t="str">
        <f aca="false">IF(G615&lt;&gt;"",HYPERLINK("https://www.tradingview.com/chart/?symbol="&amp;G615&amp;"&amp;interval=240&amp;from="&amp;(AG615-10*14400)&amp;"&amp;to="&amp;(AG615+50*14400),"📈 4H"),"")</f>
        <v/>
      </c>
      <c r="AG615" s="36" t="str">
        <f aca="false">IF(C615&lt;&gt;"",INT((C615+IF(D615&lt;&gt;"",D615,0)-DATE(1970,1,1))*86400),"")</f>
        <v/>
      </c>
    </row>
    <row r="616" customFormat="false" ht="19.5" hidden="false" customHeight="true" outlineLevel="0" collapsed="false">
      <c r="A616" s="37" t="n">
        <f aca="false">ROW()-4</f>
        <v>612</v>
      </c>
      <c r="B616" s="38"/>
      <c r="C616" s="39"/>
      <c r="D616" s="40"/>
      <c r="E616" s="39"/>
      <c r="F616" s="40"/>
      <c r="G616" s="41"/>
      <c r="H616" s="42"/>
      <c r="I616" s="43"/>
      <c r="J616" s="44"/>
      <c r="K616" s="39"/>
      <c r="L616" s="42"/>
      <c r="M616" s="44"/>
      <c r="N616" s="45"/>
      <c r="O616" s="44"/>
      <c r="P616" s="46"/>
      <c r="Q616" s="47" t="str">
        <f aca="false">IF(L616="","",IF(M616&lt;&gt;"",M616*L616*100,IF(AND(O616&lt;&gt;"",B616&lt;&gt;""),IFERROR(AVERAGEIF($B$5:$B$1004,B616,$M$5:$M$1004)*L616*100,""),"")))</f>
        <v/>
      </c>
      <c r="R616" s="47" t="str">
        <f aca="false">IF(AND(O616&lt;&gt;"",L616&lt;&gt;""),O616*L616*100,"")</f>
        <v/>
      </c>
      <c r="S616" s="48" t="str">
        <f aca="false">IF(AND(P616&lt;&gt;"",L616&lt;&gt;""),P616*L616*100,"")</f>
        <v/>
      </c>
      <c r="T616" s="49" t="str">
        <f aca="false">IF(AND(Q616&lt;&gt;"",R616&lt;&gt;""),R616-Q616,"")</f>
        <v/>
      </c>
      <c r="U616" s="50" t="str">
        <f aca="false">IF(AND(Q616&lt;&gt;"",Q616&lt;&gt;0,T616&lt;&gt;""),T616/Q616,"")</f>
        <v/>
      </c>
      <c r="V616" s="51" t="str">
        <f aca="false">IF(AND(S616&lt;&gt;"",Q616&lt;&gt;""),S616-Q616,"")</f>
        <v/>
      </c>
      <c r="W616" s="52" t="str">
        <f aca="false">IF(AND(Q616&lt;&gt;"",Q616&lt;&gt;0,V616&lt;&gt;""),V616/Q616,"")</f>
        <v/>
      </c>
      <c r="X616" s="53" t="s">
        <v>37</v>
      </c>
      <c r="Y616" s="54" t="str">
        <f aca="false">IF(AND(O616&lt;&gt;"",M616&lt;&gt;"",O616&gt;M616),CONCATENATE("1 : ",TEXT((O616-M616)/M616,"0.00")),IF(AND(O616&lt;&gt;"",M616&lt;&gt;"",O616&lt;M616),CONCATENATE("-1 : ",TEXT((M616-O616)/M616,"0.00")),"—"))</f>
        <v>—</v>
      </c>
      <c r="Z616" s="55" t="str">
        <f aca="false">IF(AND(P616&lt;&gt;"",M616&lt;&gt;"",P616&gt;M616),CONCATENATE("1 : ",TEXT((P616-M616)/M616,"0.00")),"—")</f>
        <v>—</v>
      </c>
      <c r="AA616" s="56" t="str">
        <f aca="false">IF(AND(C616&lt;&gt;"",E616&lt;&gt;""),E616-C616,"")</f>
        <v/>
      </c>
      <c r="AB616" s="42"/>
      <c r="AC616" s="57"/>
      <c r="AD616" s="58"/>
      <c r="AE616" s="59" t="str">
        <f aca="false">IF(G616&lt;&gt;"",HYPERLINK("https://www.tradingview.com/chart/?symbol="&amp;G616&amp;"&amp;interval=60&amp;from="&amp;(AG616-10*3600)&amp;"&amp;to="&amp;(AG616+50*3600),"📈 1H"),"")</f>
        <v/>
      </c>
      <c r="AF616" s="60" t="str">
        <f aca="false">IF(G616&lt;&gt;"",HYPERLINK("https://www.tradingview.com/chart/?symbol="&amp;G616&amp;"&amp;interval=240&amp;from="&amp;(AG616-10*14400)&amp;"&amp;to="&amp;(AG616+50*14400),"📈 4H"),"")</f>
        <v/>
      </c>
      <c r="AG616" s="36" t="str">
        <f aca="false">IF(C616&lt;&gt;"",INT((C616+IF(D616&lt;&gt;"",D616,0)-DATE(1970,1,1))*86400),"")</f>
        <v/>
      </c>
    </row>
    <row r="617" customFormat="false" ht="19.5" hidden="false" customHeight="true" outlineLevel="0" collapsed="false">
      <c r="A617" s="12" t="n">
        <f aca="false">ROW()-4</f>
        <v>613</v>
      </c>
      <c r="B617" s="13"/>
      <c r="C617" s="14"/>
      <c r="D617" s="15"/>
      <c r="E617" s="14"/>
      <c r="F617" s="15"/>
      <c r="G617" s="16"/>
      <c r="H617" s="17"/>
      <c r="I617" s="18"/>
      <c r="J617" s="19"/>
      <c r="K617" s="14"/>
      <c r="L617" s="17"/>
      <c r="M617" s="19"/>
      <c r="N617" s="20"/>
      <c r="O617" s="19"/>
      <c r="P617" s="21"/>
      <c r="Q617" s="22" t="str">
        <f aca="false">IF(L617="","",IF(M617&lt;&gt;"",M617*L617*100,IF(AND(O617&lt;&gt;"",B617&lt;&gt;""),IFERROR(AVERAGEIF($B$5:$B$1004,B617,$M$5:$M$1004)*L617*100,""),"")))</f>
        <v/>
      </c>
      <c r="R617" s="22" t="str">
        <f aca="false">IF(AND(O617&lt;&gt;"",L617&lt;&gt;""),O617*L617*100,"")</f>
        <v/>
      </c>
      <c r="S617" s="23" t="str">
        <f aca="false">IF(AND(P617&lt;&gt;"",L617&lt;&gt;""),P617*L617*100,"")</f>
        <v/>
      </c>
      <c r="T617" s="24" t="str">
        <f aca="false">IF(AND(Q617&lt;&gt;"",R617&lt;&gt;""),R617-Q617,"")</f>
        <v/>
      </c>
      <c r="U617" s="25" t="str">
        <f aca="false">IF(AND(Q617&lt;&gt;"",Q617&lt;&gt;0,T617&lt;&gt;""),T617/Q617,"")</f>
        <v/>
      </c>
      <c r="V617" s="26" t="str">
        <f aca="false">IF(AND(S617&lt;&gt;"",Q617&lt;&gt;""),S617-Q617,"")</f>
        <v/>
      </c>
      <c r="W617" s="27" t="str">
        <f aca="false">IF(AND(Q617&lt;&gt;"",Q617&lt;&gt;0,V617&lt;&gt;""),V617/Q617,"")</f>
        <v/>
      </c>
      <c r="X617" s="28" t="s">
        <v>37</v>
      </c>
      <c r="Y617" s="29" t="str">
        <f aca="false">IF(AND(O617&lt;&gt;"",M617&lt;&gt;"",O617&gt;M617),CONCATENATE("1 : ",TEXT((O617-M617)/M617,"0.00")),IF(AND(O617&lt;&gt;"",M617&lt;&gt;"",O617&lt;M617),CONCATENATE("-1 : ",TEXT((M617-O617)/M617,"0.00")),"—"))</f>
        <v>—</v>
      </c>
      <c r="Z617" s="30" t="str">
        <f aca="false">IF(AND(P617&lt;&gt;"",M617&lt;&gt;"",P617&gt;M617),CONCATENATE("1 : ",TEXT((P617-M617)/M617,"0.00")),"—")</f>
        <v>—</v>
      </c>
      <c r="AA617" s="31" t="str">
        <f aca="false">IF(AND(C617&lt;&gt;"",E617&lt;&gt;""),E617-C617,"")</f>
        <v/>
      </c>
      <c r="AB617" s="17"/>
      <c r="AC617" s="32"/>
      <c r="AD617" s="33"/>
      <c r="AE617" s="34" t="str">
        <f aca="false">IF(G617&lt;&gt;"",HYPERLINK("https://www.tradingview.com/chart/?symbol="&amp;G617&amp;"&amp;interval=60&amp;from="&amp;(AG617-10*3600)&amp;"&amp;to="&amp;(AG617+50*3600),"📈 1H"),"")</f>
        <v/>
      </c>
      <c r="AF617" s="35" t="str">
        <f aca="false">IF(G617&lt;&gt;"",HYPERLINK("https://www.tradingview.com/chart/?symbol="&amp;G617&amp;"&amp;interval=240&amp;from="&amp;(AG617-10*14400)&amp;"&amp;to="&amp;(AG617+50*14400),"📈 4H"),"")</f>
        <v/>
      </c>
      <c r="AG617" s="36" t="str">
        <f aca="false">IF(C617&lt;&gt;"",INT((C617+IF(D617&lt;&gt;"",D617,0)-DATE(1970,1,1))*86400),"")</f>
        <v/>
      </c>
    </row>
    <row r="618" customFormat="false" ht="19.5" hidden="false" customHeight="true" outlineLevel="0" collapsed="false">
      <c r="A618" s="37" t="n">
        <f aca="false">ROW()-4</f>
        <v>614</v>
      </c>
      <c r="B618" s="38"/>
      <c r="C618" s="39"/>
      <c r="D618" s="40"/>
      <c r="E618" s="39"/>
      <c r="F618" s="40"/>
      <c r="G618" s="41"/>
      <c r="H618" s="42"/>
      <c r="I618" s="43"/>
      <c r="J618" s="44"/>
      <c r="K618" s="39"/>
      <c r="L618" s="42"/>
      <c r="M618" s="44"/>
      <c r="N618" s="45"/>
      <c r="O618" s="44"/>
      <c r="P618" s="46"/>
      <c r="Q618" s="47" t="str">
        <f aca="false">IF(L618="","",IF(M618&lt;&gt;"",M618*L618*100,IF(AND(O618&lt;&gt;"",B618&lt;&gt;""),IFERROR(AVERAGEIF($B$5:$B$1004,B618,$M$5:$M$1004)*L618*100,""),"")))</f>
        <v/>
      </c>
      <c r="R618" s="47" t="str">
        <f aca="false">IF(AND(O618&lt;&gt;"",L618&lt;&gt;""),O618*L618*100,"")</f>
        <v/>
      </c>
      <c r="S618" s="48" t="str">
        <f aca="false">IF(AND(P618&lt;&gt;"",L618&lt;&gt;""),P618*L618*100,"")</f>
        <v/>
      </c>
      <c r="T618" s="49" t="str">
        <f aca="false">IF(AND(Q618&lt;&gt;"",R618&lt;&gt;""),R618-Q618,"")</f>
        <v/>
      </c>
      <c r="U618" s="50" t="str">
        <f aca="false">IF(AND(Q618&lt;&gt;"",Q618&lt;&gt;0,T618&lt;&gt;""),T618/Q618,"")</f>
        <v/>
      </c>
      <c r="V618" s="51" t="str">
        <f aca="false">IF(AND(S618&lt;&gt;"",Q618&lt;&gt;""),S618-Q618,"")</f>
        <v/>
      </c>
      <c r="W618" s="52" t="str">
        <f aca="false">IF(AND(Q618&lt;&gt;"",Q618&lt;&gt;0,V618&lt;&gt;""),V618/Q618,"")</f>
        <v/>
      </c>
      <c r="X618" s="53" t="s">
        <v>37</v>
      </c>
      <c r="Y618" s="54" t="str">
        <f aca="false">IF(AND(O618&lt;&gt;"",M618&lt;&gt;"",O618&gt;M618),CONCATENATE("1 : ",TEXT((O618-M618)/M618,"0.00")),IF(AND(O618&lt;&gt;"",M618&lt;&gt;"",O618&lt;M618),CONCATENATE("-1 : ",TEXT((M618-O618)/M618,"0.00")),"—"))</f>
        <v>—</v>
      </c>
      <c r="Z618" s="55" t="str">
        <f aca="false">IF(AND(P618&lt;&gt;"",M618&lt;&gt;"",P618&gt;M618),CONCATENATE("1 : ",TEXT((P618-M618)/M618,"0.00")),"—")</f>
        <v>—</v>
      </c>
      <c r="AA618" s="56" t="str">
        <f aca="false">IF(AND(C618&lt;&gt;"",E618&lt;&gt;""),E618-C618,"")</f>
        <v/>
      </c>
      <c r="AB618" s="42"/>
      <c r="AC618" s="57"/>
      <c r="AD618" s="58"/>
      <c r="AE618" s="59" t="str">
        <f aca="false">IF(G618&lt;&gt;"",HYPERLINK("https://www.tradingview.com/chart/?symbol="&amp;G618&amp;"&amp;interval=60&amp;from="&amp;(AG618-10*3600)&amp;"&amp;to="&amp;(AG618+50*3600),"📈 1H"),"")</f>
        <v/>
      </c>
      <c r="AF618" s="60" t="str">
        <f aca="false">IF(G618&lt;&gt;"",HYPERLINK("https://www.tradingview.com/chart/?symbol="&amp;G618&amp;"&amp;interval=240&amp;from="&amp;(AG618-10*14400)&amp;"&amp;to="&amp;(AG618+50*14400),"📈 4H"),"")</f>
        <v/>
      </c>
      <c r="AG618" s="36" t="str">
        <f aca="false">IF(C618&lt;&gt;"",INT((C618+IF(D618&lt;&gt;"",D618,0)-DATE(1970,1,1))*86400),"")</f>
        <v/>
      </c>
    </row>
    <row r="619" customFormat="false" ht="19.5" hidden="false" customHeight="true" outlineLevel="0" collapsed="false">
      <c r="A619" s="12" t="n">
        <f aca="false">ROW()-4</f>
        <v>615</v>
      </c>
      <c r="B619" s="13"/>
      <c r="C619" s="14"/>
      <c r="D619" s="15"/>
      <c r="E619" s="14"/>
      <c r="F619" s="15"/>
      <c r="G619" s="16"/>
      <c r="H619" s="17"/>
      <c r="I619" s="18"/>
      <c r="J619" s="19"/>
      <c r="K619" s="14"/>
      <c r="L619" s="17"/>
      <c r="M619" s="19"/>
      <c r="N619" s="20"/>
      <c r="O619" s="19"/>
      <c r="P619" s="21"/>
      <c r="Q619" s="22" t="str">
        <f aca="false">IF(L619="","",IF(M619&lt;&gt;"",M619*L619*100,IF(AND(O619&lt;&gt;"",B619&lt;&gt;""),IFERROR(AVERAGEIF($B$5:$B$1004,B619,$M$5:$M$1004)*L619*100,""),"")))</f>
        <v/>
      </c>
      <c r="R619" s="22" t="str">
        <f aca="false">IF(AND(O619&lt;&gt;"",L619&lt;&gt;""),O619*L619*100,"")</f>
        <v/>
      </c>
      <c r="S619" s="23" t="str">
        <f aca="false">IF(AND(P619&lt;&gt;"",L619&lt;&gt;""),P619*L619*100,"")</f>
        <v/>
      </c>
      <c r="T619" s="24" t="str">
        <f aca="false">IF(AND(Q619&lt;&gt;"",R619&lt;&gt;""),R619-Q619,"")</f>
        <v/>
      </c>
      <c r="U619" s="25" t="str">
        <f aca="false">IF(AND(Q619&lt;&gt;"",Q619&lt;&gt;0,T619&lt;&gt;""),T619/Q619,"")</f>
        <v/>
      </c>
      <c r="V619" s="26" t="str">
        <f aca="false">IF(AND(S619&lt;&gt;"",Q619&lt;&gt;""),S619-Q619,"")</f>
        <v/>
      </c>
      <c r="W619" s="27" t="str">
        <f aca="false">IF(AND(Q619&lt;&gt;"",Q619&lt;&gt;0,V619&lt;&gt;""),V619/Q619,"")</f>
        <v/>
      </c>
      <c r="X619" s="28" t="s">
        <v>37</v>
      </c>
      <c r="Y619" s="29" t="str">
        <f aca="false">IF(AND(O619&lt;&gt;"",M619&lt;&gt;"",O619&gt;M619),CONCATENATE("1 : ",TEXT((O619-M619)/M619,"0.00")),IF(AND(O619&lt;&gt;"",M619&lt;&gt;"",O619&lt;M619),CONCATENATE("-1 : ",TEXT((M619-O619)/M619,"0.00")),"—"))</f>
        <v>—</v>
      </c>
      <c r="Z619" s="30" t="str">
        <f aca="false">IF(AND(P619&lt;&gt;"",M619&lt;&gt;"",P619&gt;M619),CONCATENATE("1 : ",TEXT((P619-M619)/M619,"0.00")),"—")</f>
        <v>—</v>
      </c>
      <c r="AA619" s="31" t="str">
        <f aca="false">IF(AND(C619&lt;&gt;"",E619&lt;&gt;""),E619-C619,"")</f>
        <v/>
      </c>
      <c r="AB619" s="17"/>
      <c r="AC619" s="32"/>
      <c r="AD619" s="33"/>
      <c r="AE619" s="34" t="str">
        <f aca="false">IF(G619&lt;&gt;"",HYPERLINK("https://www.tradingview.com/chart/?symbol="&amp;G619&amp;"&amp;interval=60&amp;from="&amp;(AG619-10*3600)&amp;"&amp;to="&amp;(AG619+50*3600),"📈 1H"),"")</f>
        <v/>
      </c>
      <c r="AF619" s="35" t="str">
        <f aca="false">IF(G619&lt;&gt;"",HYPERLINK("https://www.tradingview.com/chart/?symbol="&amp;G619&amp;"&amp;interval=240&amp;from="&amp;(AG619-10*14400)&amp;"&amp;to="&amp;(AG619+50*14400),"📈 4H"),"")</f>
        <v/>
      </c>
      <c r="AG619" s="36" t="str">
        <f aca="false">IF(C619&lt;&gt;"",INT((C619+IF(D619&lt;&gt;"",D619,0)-DATE(1970,1,1))*86400),"")</f>
        <v/>
      </c>
    </row>
    <row r="620" customFormat="false" ht="19.5" hidden="false" customHeight="true" outlineLevel="0" collapsed="false">
      <c r="A620" s="37" t="n">
        <f aca="false">ROW()-4</f>
        <v>616</v>
      </c>
      <c r="B620" s="38"/>
      <c r="C620" s="39"/>
      <c r="D620" s="40"/>
      <c r="E620" s="39"/>
      <c r="F620" s="40"/>
      <c r="G620" s="41"/>
      <c r="H620" s="42"/>
      <c r="I620" s="43"/>
      <c r="J620" s="44"/>
      <c r="K620" s="39"/>
      <c r="L620" s="42"/>
      <c r="M620" s="44"/>
      <c r="N620" s="45"/>
      <c r="O620" s="44"/>
      <c r="P620" s="46"/>
      <c r="Q620" s="47" t="str">
        <f aca="false">IF(L620="","",IF(M620&lt;&gt;"",M620*L620*100,IF(AND(O620&lt;&gt;"",B620&lt;&gt;""),IFERROR(AVERAGEIF($B$5:$B$1004,B620,$M$5:$M$1004)*L620*100,""),"")))</f>
        <v/>
      </c>
      <c r="R620" s="47" t="str">
        <f aca="false">IF(AND(O620&lt;&gt;"",L620&lt;&gt;""),O620*L620*100,"")</f>
        <v/>
      </c>
      <c r="S620" s="48" t="str">
        <f aca="false">IF(AND(P620&lt;&gt;"",L620&lt;&gt;""),P620*L620*100,"")</f>
        <v/>
      </c>
      <c r="T620" s="49" t="str">
        <f aca="false">IF(AND(Q620&lt;&gt;"",R620&lt;&gt;""),R620-Q620,"")</f>
        <v/>
      </c>
      <c r="U620" s="50" t="str">
        <f aca="false">IF(AND(Q620&lt;&gt;"",Q620&lt;&gt;0,T620&lt;&gt;""),T620/Q620,"")</f>
        <v/>
      </c>
      <c r="V620" s="51" t="str">
        <f aca="false">IF(AND(S620&lt;&gt;"",Q620&lt;&gt;""),S620-Q620,"")</f>
        <v/>
      </c>
      <c r="W620" s="52" t="str">
        <f aca="false">IF(AND(Q620&lt;&gt;"",Q620&lt;&gt;0,V620&lt;&gt;""),V620/Q620,"")</f>
        <v/>
      </c>
      <c r="X620" s="53" t="s">
        <v>37</v>
      </c>
      <c r="Y620" s="54" t="str">
        <f aca="false">IF(AND(O620&lt;&gt;"",M620&lt;&gt;"",O620&gt;M620),CONCATENATE("1 : ",TEXT((O620-M620)/M620,"0.00")),IF(AND(O620&lt;&gt;"",M620&lt;&gt;"",O620&lt;M620),CONCATENATE("-1 : ",TEXT((M620-O620)/M620,"0.00")),"—"))</f>
        <v>—</v>
      </c>
      <c r="Z620" s="55" t="str">
        <f aca="false">IF(AND(P620&lt;&gt;"",M620&lt;&gt;"",P620&gt;M620),CONCATENATE("1 : ",TEXT((P620-M620)/M620,"0.00")),"—")</f>
        <v>—</v>
      </c>
      <c r="AA620" s="56" t="str">
        <f aca="false">IF(AND(C620&lt;&gt;"",E620&lt;&gt;""),E620-C620,"")</f>
        <v/>
      </c>
      <c r="AB620" s="42"/>
      <c r="AC620" s="57"/>
      <c r="AD620" s="58"/>
      <c r="AE620" s="59" t="str">
        <f aca="false">IF(G620&lt;&gt;"",HYPERLINK("https://www.tradingview.com/chart/?symbol="&amp;G620&amp;"&amp;interval=60&amp;from="&amp;(AG620-10*3600)&amp;"&amp;to="&amp;(AG620+50*3600),"📈 1H"),"")</f>
        <v/>
      </c>
      <c r="AF620" s="60" t="str">
        <f aca="false">IF(G620&lt;&gt;"",HYPERLINK("https://www.tradingview.com/chart/?symbol="&amp;G620&amp;"&amp;interval=240&amp;from="&amp;(AG620-10*14400)&amp;"&amp;to="&amp;(AG620+50*14400),"📈 4H"),"")</f>
        <v/>
      </c>
      <c r="AG620" s="36" t="str">
        <f aca="false">IF(C620&lt;&gt;"",INT((C620+IF(D620&lt;&gt;"",D620,0)-DATE(1970,1,1))*86400),"")</f>
        <v/>
      </c>
    </row>
    <row r="621" customFormat="false" ht="19.5" hidden="false" customHeight="true" outlineLevel="0" collapsed="false">
      <c r="A621" s="12" t="n">
        <f aca="false">ROW()-4</f>
        <v>617</v>
      </c>
      <c r="B621" s="13"/>
      <c r="C621" s="14"/>
      <c r="D621" s="15"/>
      <c r="E621" s="14"/>
      <c r="F621" s="15"/>
      <c r="G621" s="16"/>
      <c r="H621" s="17"/>
      <c r="I621" s="18"/>
      <c r="J621" s="19"/>
      <c r="K621" s="14"/>
      <c r="L621" s="17"/>
      <c r="M621" s="19"/>
      <c r="N621" s="20"/>
      <c r="O621" s="19"/>
      <c r="P621" s="21"/>
      <c r="Q621" s="22" t="str">
        <f aca="false">IF(L621="","",IF(M621&lt;&gt;"",M621*L621*100,IF(AND(O621&lt;&gt;"",B621&lt;&gt;""),IFERROR(AVERAGEIF($B$5:$B$1004,B621,$M$5:$M$1004)*L621*100,""),"")))</f>
        <v/>
      </c>
      <c r="R621" s="22" t="str">
        <f aca="false">IF(AND(O621&lt;&gt;"",L621&lt;&gt;""),O621*L621*100,"")</f>
        <v/>
      </c>
      <c r="S621" s="23" t="str">
        <f aca="false">IF(AND(P621&lt;&gt;"",L621&lt;&gt;""),P621*L621*100,"")</f>
        <v/>
      </c>
      <c r="T621" s="24" t="str">
        <f aca="false">IF(AND(Q621&lt;&gt;"",R621&lt;&gt;""),R621-Q621,"")</f>
        <v/>
      </c>
      <c r="U621" s="25" t="str">
        <f aca="false">IF(AND(Q621&lt;&gt;"",Q621&lt;&gt;0,T621&lt;&gt;""),T621/Q621,"")</f>
        <v/>
      </c>
      <c r="V621" s="26" t="str">
        <f aca="false">IF(AND(S621&lt;&gt;"",Q621&lt;&gt;""),S621-Q621,"")</f>
        <v/>
      </c>
      <c r="W621" s="27" t="str">
        <f aca="false">IF(AND(Q621&lt;&gt;"",Q621&lt;&gt;0,V621&lt;&gt;""),V621/Q621,"")</f>
        <v/>
      </c>
      <c r="X621" s="28" t="s">
        <v>37</v>
      </c>
      <c r="Y621" s="29" t="str">
        <f aca="false">IF(AND(O621&lt;&gt;"",M621&lt;&gt;"",O621&gt;M621),CONCATENATE("1 : ",TEXT((O621-M621)/M621,"0.00")),IF(AND(O621&lt;&gt;"",M621&lt;&gt;"",O621&lt;M621),CONCATENATE("-1 : ",TEXT((M621-O621)/M621,"0.00")),"—"))</f>
        <v>—</v>
      </c>
      <c r="Z621" s="30" t="str">
        <f aca="false">IF(AND(P621&lt;&gt;"",M621&lt;&gt;"",P621&gt;M621),CONCATENATE("1 : ",TEXT((P621-M621)/M621,"0.00")),"—")</f>
        <v>—</v>
      </c>
      <c r="AA621" s="31" t="str">
        <f aca="false">IF(AND(C621&lt;&gt;"",E621&lt;&gt;""),E621-C621,"")</f>
        <v/>
      </c>
      <c r="AB621" s="17"/>
      <c r="AC621" s="32"/>
      <c r="AD621" s="33"/>
      <c r="AE621" s="34" t="str">
        <f aca="false">IF(G621&lt;&gt;"",HYPERLINK("https://www.tradingview.com/chart/?symbol="&amp;G621&amp;"&amp;interval=60&amp;from="&amp;(AG621-10*3600)&amp;"&amp;to="&amp;(AG621+50*3600),"📈 1H"),"")</f>
        <v/>
      </c>
      <c r="AF621" s="35" t="str">
        <f aca="false">IF(G621&lt;&gt;"",HYPERLINK("https://www.tradingview.com/chart/?symbol="&amp;G621&amp;"&amp;interval=240&amp;from="&amp;(AG621-10*14400)&amp;"&amp;to="&amp;(AG621+50*14400),"📈 4H"),"")</f>
        <v/>
      </c>
      <c r="AG621" s="36" t="str">
        <f aca="false">IF(C621&lt;&gt;"",INT((C621+IF(D621&lt;&gt;"",D621,0)-DATE(1970,1,1))*86400),"")</f>
        <v/>
      </c>
    </row>
    <row r="622" customFormat="false" ht="19.5" hidden="false" customHeight="true" outlineLevel="0" collapsed="false">
      <c r="A622" s="37" t="n">
        <f aca="false">ROW()-4</f>
        <v>618</v>
      </c>
      <c r="B622" s="38"/>
      <c r="C622" s="39"/>
      <c r="D622" s="40"/>
      <c r="E622" s="39"/>
      <c r="F622" s="40"/>
      <c r="G622" s="41"/>
      <c r="H622" s="42"/>
      <c r="I622" s="43"/>
      <c r="J622" s="44"/>
      <c r="K622" s="39"/>
      <c r="L622" s="42"/>
      <c r="M622" s="44"/>
      <c r="N622" s="45"/>
      <c r="O622" s="44"/>
      <c r="P622" s="46"/>
      <c r="Q622" s="47" t="str">
        <f aca="false">IF(L622="","",IF(M622&lt;&gt;"",M622*L622*100,IF(AND(O622&lt;&gt;"",B622&lt;&gt;""),IFERROR(AVERAGEIF($B$5:$B$1004,B622,$M$5:$M$1004)*L622*100,""),"")))</f>
        <v/>
      </c>
      <c r="R622" s="47" t="str">
        <f aca="false">IF(AND(O622&lt;&gt;"",L622&lt;&gt;""),O622*L622*100,"")</f>
        <v/>
      </c>
      <c r="S622" s="48" t="str">
        <f aca="false">IF(AND(P622&lt;&gt;"",L622&lt;&gt;""),P622*L622*100,"")</f>
        <v/>
      </c>
      <c r="T622" s="49" t="str">
        <f aca="false">IF(AND(Q622&lt;&gt;"",R622&lt;&gt;""),R622-Q622,"")</f>
        <v/>
      </c>
      <c r="U622" s="50" t="str">
        <f aca="false">IF(AND(Q622&lt;&gt;"",Q622&lt;&gt;0,T622&lt;&gt;""),T622/Q622,"")</f>
        <v/>
      </c>
      <c r="V622" s="51" t="str">
        <f aca="false">IF(AND(S622&lt;&gt;"",Q622&lt;&gt;""),S622-Q622,"")</f>
        <v/>
      </c>
      <c r="W622" s="52" t="str">
        <f aca="false">IF(AND(Q622&lt;&gt;"",Q622&lt;&gt;0,V622&lt;&gt;""),V622/Q622,"")</f>
        <v/>
      </c>
      <c r="X622" s="53" t="s">
        <v>37</v>
      </c>
      <c r="Y622" s="54" t="str">
        <f aca="false">IF(AND(O622&lt;&gt;"",M622&lt;&gt;"",O622&gt;M622),CONCATENATE("1 : ",TEXT((O622-M622)/M622,"0.00")),IF(AND(O622&lt;&gt;"",M622&lt;&gt;"",O622&lt;M622),CONCATENATE("-1 : ",TEXT((M622-O622)/M622,"0.00")),"—"))</f>
        <v>—</v>
      </c>
      <c r="Z622" s="55" t="str">
        <f aca="false">IF(AND(P622&lt;&gt;"",M622&lt;&gt;"",P622&gt;M622),CONCATENATE("1 : ",TEXT((P622-M622)/M622,"0.00")),"—")</f>
        <v>—</v>
      </c>
      <c r="AA622" s="56" t="str">
        <f aca="false">IF(AND(C622&lt;&gt;"",E622&lt;&gt;""),E622-C622,"")</f>
        <v/>
      </c>
      <c r="AB622" s="42"/>
      <c r="AC622" s="57"/>
      <c r="AD622" s="58"/>
      <c r="AE622" s="59" t="str">
        <f aca="false">IF(G622&lt;&gt;"",HYPERLINK("https://www.tradingview.com/chart/?symbol="&amp;G622&amp;"&amp;interval=60&amp;from="&amp;(AG622-10*3600)&amp;"&amp;to="&amp;(AG622+50*3600),"📈 1H"),"")</f>
        <v/>
      </c>
      <c r="AF622" s="60" t="str">
        <f aca="false">IF(G622&lt;&gt;"",HYPERLINK("https://www.tradingview.com/chart/?symbol="&amp;G622&amp;"&amp;interval=240&amp;from="&amp;(AG622-10*14400)&amp;"&amp;to="&amp;(AG622+50*14400),"📈 4H"),"")</f>
        <v/>
      </c>
      <c r="AG622" s="36" t="str">
        <f aca="false">IF(C622&lt;&gt;"",INT((C622+IF(D622&lt;&gt;"",D622,0)-DATE(1970,1,1))*86400),"")</f>
        <v/>
      </c>
    </row>
    <row r="623" customFormat="false" ht="19.5" hidden="false" customHeight="true" outlineLevel="0" collapsed="false">
      <c r="A623" s="12" t="n">
        <f aca="false">ROW()-4</f>
        <v>619</v>
      </c>
      <c r="B623" s="13"/>
      <c r="C623" s="14"/>
      <c r="D623" s="15"/>
      <c r="E623" s="14"/>
      <c r="F623" s="15"/>
      <c r="G623" s="16"/>
      <c r="H623" s="17"/>
      <c r="I623" s="18"/>
      <c r="J623" s="19"/>
      <c r="K623" s="14"/>
      <c r="L623" s="17"/>
      <c r="M623" s="19"/>
      <c r="N623" s="20"/>
      <c r="O623" s="19"/>
      <c r="P623" s="21"/>
      <c r="Q623" s="22" t="str">
        <f aca="false">IF(L623="","",IF(M623&lt;&gt;"",M623*L623*100,IF(AND(O623&lt;&gt;"",B623&lt;&gt;""),IFERROR(AVERAGEIF($B$5:$B$1004,B623,$M$5:$M$1004)*L623*100,""),"")))</f>
        <v/>
      </c>
      <c r="R623" s="22" t="str">
        <f aca="false">IF(AND(O623&lt;&gt;"",L623&lt;&gt;""),O623*L623*100,"")</f>
        <v/>
      </c>
      <c r="S623" s="23" t="str">
        <f aca="false">IF(AND(P623&lt;&gt;"",L623&lt;&gt;""),P623*L623*100,"")</f>
        <v/>
      </c>
      <c r="T623" s="24" t="str">
        <f aca="false">IF(AND(Q623&lt;&gt;"",R623&lt;&gt;""),R623-Q623,"")</f>
        <v/>
      </c>
      <c r="U623" s="25" t="str">
        <f aca="false">IF(AND(Q623&lt;&gt;"",Q623&lt;&gt;0,T623&lt;&gt;""),T623/Q623,"")</f>
        <v/>
      </c>
      <c r="V623" s="26" t="str">
        <f aca="false">IF(AND(S623&lt;&gt;"",Q623&lt;&gt;""),S623-Q623,"")</f>
        <v/>
      </c>
      <c r="W623" s="27" t="str">
        <f aca="false">IF(AND(Q623&lt;&gt;"",Q623&lt;&gt;0,V623&lt;&gt;""),V623/Q623,"")</f>
        <v/>
      </c>
      <c r="X623" s="28" t="s">
        <v>37</v>
      </c>
      <c r="Y623" s="29" t="str">
        <f aca="false">IF(AND(O623&lt;&gt;"",M623&lt;&gt;"",O623&gt;M623),CONCATENATE("1 : ",TEXT((O623-M623)/M623,"0.00")),IF(AND(O623&lt;&gt;"",M623&lt;&gt;"",O623&lt;M623),CONCATENATE("-1 : ",TEXT((M623-O623)/M623,"0.00")),"—"))</f>
        <v>—</v>
      </c>
      <c r="Z623" s="30" t="str">
        <f aca="false">IF(AND(P623&lt;&gt;"",M623&lt;&gt;"",P623&gt;M623),CONCATENATE("1 : ",TEXT((P623-M623)/M623,"0.00")),"—")</f>
        <v>—</v>
      </c>
      <c r="AA623" s="31" t="str">
        <f aca="false">IF(AND(C623&lt;&gt;"",E623&lt;&gt;""),E623-C623,"")</f>
        <v/>
      </c>
      <c r="AB623" s="17"/>
      <c r="AC623" s="32"/>
      <c r="AD623" s="33"/>
      <c r="AE623" s="34" t="str">
        <f aca="false">IF(G623&lt;&gt;"",HYPERLINK("https://www.tradingview.com/chart/?symbol="&amp;G623&amp;"&amp;interval=60&amp;from="&amp;(AG623-10*3600)&amp;"&amp;to="&amp;(AG623+50*3600),"📈 1H"),"")</f>
        <v/>
      </c>
      <c r="AF623" s="35" t="str">
        <f aca="false">IF(G623&lt;&gt;"",HYPERLINK("https://www.tradingview.com/chart/?symbol="&amp;G623&amp;"&amp;interval=240&amp;from="&amp;(AG623-10*14400)&amp;"&amp;to="&amp;(AG623+50*14400),"📈 4H"),"")</f>
        <v/>
      </c>
      <c r="AG623" s="36" t="str">
        <f aca="false">IF(C623&lt;&gt;"",INT((C623+IF(D623&lt;&gt;"",D623,0)-DATE(1970,1,1))*86400),"")</f>
        <v/>
      </c>
    </row>
    <row r="624" customFormat="false" ht="19.5" hidden="false" customHeight="true" outlineLevel="0" collapsed="false">
      <c r="A624" s="37" t="n">
        <f aca="false">ROW()-4</f>
        <v>620</v>
      </c>
      <c r="B624" s="38"/>
      <c r="C624" s="39"/>
      <c r="D624" s="40"/>
      <c r="E624" s="39"/>
      <c r="F624" s="40"/>
      <c r="G624" s="41"/>
      <c r="H624" s="42"/>
      <c r="I624" s="43"/>
      <c r="J624" s="44"/>
      <c r="K624" s="39"/>
      <c r="L624" s="42"/>
      <c r="M624" s="44"/>
      <c r="N624" s="45"/>
      <c r="O624" s="44"/>
      <c r="P624" s="46"/>
      <c r="Q624" s="47" t="str">
        <f aca="false">IF(L624="","",IF(M624&lt;&gt;"",M624*L624*100,IF(AND(O624&lt;&gt;"",B624&lt;&gt;""),IFERROR(AVERAGEIF($B$5:$B$1004,B624,$M$5:$M$1004)*L624*100,""),"")))</f>
        <v/>
      </c>
      <c r="R624" s="47" t="str">
        <f aca="false">IF(AND(O624&lt;&gt;"",L624&lt;&gt;""),O624*L624*100,"")</f>
        <v/>
      </c>
      <c r="S624" s="48" t="str">
        <f aca="false">IF(AND(P624&lt;&gt;"",L624&lt;&gt;""),P624*L624*100,"")</f>
        <v/>
      </c>
      <c r="T624" s="49" t="str">
        <f aca="false">IF(AND(Q624&lt;&gt;"",R624&lt;&gt;""),R624-Q624,"")</f>
        <v/>
      </c>
      <c r="U624" s="50" t="str">
        <f aca="false">IF(AND(Q624&lt;&gt;"",Q624&lt;&gt;0,T624&lt;&gt;""),T624/Q624,"")</f>
        <v/>
      </c>
      <c r="V624" s="51" t="str">
        <f aca="false">IF(AND(S624&lt;&gt;"",Q624&lt;&gt;""),S624-Q624,"")</f>
        <v/>
      </c>
      <c r="W624" s="52" t="str">
        <f aca="false">IF(AND(Q624&lt;&gt;"",Q624&lt;&gt;0,V624&lt;&gt;""),V624/Q624,"")</f>
        <v/>
      </c>
      <c r="X624" s="53" t="s">
        <v>37</v>
      </c>
      <c r="Y624" s="54" t="str">
        <f aca="false">IF(AND(O624&lt;&gt;"",M624&lt;&gt;"",O624&gt;M624),CONCATENATE("1 : ",TEXT((O624-M624)/M624,"0.00")),IF(AND(O624&lt;&gt;"",M624&lt;&gt;"",O624&lt;M624),CONCATENATE("-1 : ",TEXT((M624-O624)/M624,"0.00")),"—"))</f>
        <v>—</v>
      </c>
      <c r="Z624" s="55" t="str">
        <f aca="false">IF(AND(P624&lt;&gt;"",M624&lt;&gt;"",P624&gt;M624),CONCATENATE("1 : ",TEXT((P624-M624)/M624,"0.00")),"—")</f>
        <v>—</v>
      </c>
      <c r="AA624" s="56" t="str">
        <f aca="false">IF(AND(C624&lt;&gt;"",E624&lt;&gt;""),E624-C624,"")</f>
        <v/>
      </c>
      <c r="AB624" s="42"/>
      <c r="AC624" s="57"/>
      <c r="AD624" s="58"/>
      <c r="AE624" s="59" t="str">
        <f aca="false">IF(G624&lt;&gt;"",HYPERLINK("https://www.tradingview.com/chart/?symbol="&amp;G624&amp;"&amp;interval=60&amp;from="&amp;(AG624-10*3600)&amp;"&amp;to="&amp;(AG624+50*3600),"📈 1H"),"")</f>
        <v/>
      </c>
      <c r="AF624" s="60" t="str">
        <f aca="false">IF(G624&lt;&gt;"",HYPERLINK("https://www.tradingview.com/chart/?symbol="&amp;G624&amp;"&amp;interval=240&amp;from="&amp;(AG624-10*14400)&amp;"&amp;to="&amp;(AG624+50*14400),"📈 4H"),"")</f>
        <v/>
      </c>
      <c r="AG624" s="36" t="str">
        <f aca="false">IF(C624&lt;&gt;"",INT((C624+IF(D624&lt;&gt;"",D624,0)-DATE(1970,1,1))*86400),"")</f>
        <v/>
      </c>
    </row>
    <row r="625" customFormat="false" ht="19.5" hidden="false" customHeight="true" outlineLevel="0" collapsed="false">
      <c r="A625" s="12" t="n">
        <f aca="false">ROW()-4</f>
        <v>621</v>
      </c>
      <c r="B625" s="13"/>
      <c r="C625" s="14"/>
      <c r="D625" s="15"/>
      <c r="E625" s="14"/>
      <c r="F625" s="15"/>
      <c r="G625" s="16"/>
      <c r="H625" s="17"/>
      <c r="I625" s="18"/>
      <c r="J625" s="19"/>
      <c r="K625" s="14"/>
      <c r="L625" s="17"/>
      <c r="M625" s="19"/>
      <c r="N625" s="20"/>
      <c r="O625" s="19"/>
      <c r="P625" s="21"/>
      <c r="Q625" s="22" t="str">
        <f aca="false">IF(L625="","",IF(M625&lt;&gt;"",M625*L625*100,IF(AND(O625&lt;&gt;"",B625&lt;&gt;""),IFERROR(AVERAGEIF($B$5:$B$1004,B625,$M$5:$M$1004)*L625*100,""),"")))</f>
        <v/>
      </c>
      <c r="R625" s="22" t="str">
        <f aca="false">IF(AND(O625&lt;&gt;"",L625&lt;&gt;""),O625*L625*100,"")</f>
        <v/>
      </c>
      <c r="S625" s="23" t="str">
        <f aca="false">IF(AND(P625&lt;&gt;"",L625&lt;&gt;""),P625*L625*100,"")</f>
        <v/>
      </c>
      <c r="T625" s="24" t="str">
        <f aca="false">IF(AND(Q625&lt;&gt;"",R625&lt;&gt;""),R625-Q625,"")</f>
        <v/>
      </c>
      <c r="U625" s="25" t="str">
        <f aca="false">IF(AND(Q625&lt;&gt;"",Q625&lt;&gt;0,T625&lt;&gt;""),T625/Q625,"")</f>
        <v/>
      </c>
      <c r="V625" s="26" t="str">
        <f aca="false">IF(AND(S625&lt;&gt;"",Q625&lt;&gt;""),S625-Q625,"")</f>
        <v/>
      </c>
      <c r="W625" s="27" t="str">
        <f aca="false">IF(AND(Q625&lt;&gt;"",Q625&lt;&gt;0,V625&lt;&gt;""),V625/Q625,"")</f>
        <v/>
      </c>
      <c r="X625" s="28" t="s">
        <v>37</v>
      </c>
      <c r="Y625" s="29" t="str">
        <f aca="false">IF(AND(O625&lt;&gt;"",M625&lt;&gt;"",O625&gt;M625),CONCATENATE("1 : ",TEXT((O625-M625)/M625,"0.00")),IF(AND(O625&lt;&gt;"",M625&lt;&gt;"",O625&lt;M625),CONCATENATE("-1 : ",TEXT((M625-O625)/M625,"0.00")),"—"))</f>
        <v>—</v>
      </c>
      <c r="Z625" s="30" t="str">
        <f aca="false">IF(AND(P625&lt;&gt;"",M625&lt;&gt;"",P625&gt;M625),CONCATENATE("1 : ",TEXT((P625-M625)/M625,"0.00")),"—")</f>
        <v>—</v>
      </c>
      <c r="AA625" s="31" t="str">
        <f aca="false">IF(AND(C625&lt;&gt;"",E625&lt;&gt;""),E625-C625,"")</f>
        <v/>
      </c>
      <c r="AB625" s="17"/>
      <c r="AC625" s="32"/>
      <c r="AD625" s="33"/>
      <c r="AE625" s="34" t="str">
        <f aca="false">IF(G625&lt;&gt;"",HYPERLINK("https://www.tradingview.com/chart/?symbol="&amp;G625&amp;"&amp;interval=60&amp;from="&amp;(AG625-10*3600)&amp;"&amp;to="&amp;(AG625+50*3600),"📈 1H"),"")</f>
        <v/>
      </c>
      <c r="AF625" s="35" t="str">
        <f aca="false">IF(G625&lt;&gt;"",HYPERLINK("https://www.tradingview.com/chart/?symbol="&amp;G625&amp;"&amp;interval=240&amp;from="&amp;(AG625-10*14400)&amp;"&amp;to="&amp;(AG625+50*14400),"📈 4H"),"")</f>
        <v/>
      </c>
      <c r="AG625" s="36" t="str">
        <f aca="false">IF(C625&lt;&gt;"",INT((C625+IF(D625&lt;&gt;"",D625,0)-DATE(1970,1,1))*86400),"")</f>
        <v/>
      </c>
    </row>
    <row r="626" customFormat="false" ht="19.5" hidden="false" customHeight="true" outlineLevel="0" collapsed="false">
      <c r="A626" s="37" t="n">
        <f aca="false">ROW()-4</f>
        <v>622</v>
      </c>
      <c r="B626" s="38"/>
      <c r="C626" s="39"/>
      <c r="D626" s="40"/>
      <c r="E626" s="39"/>
      <c r="F626" s="40"/>
      <c r="G626" s="41"/>
      <c r="H626" s="42"/>
      <c r="I626" s="43"/>
      <c r="J626" s="44"/>
      <c r="K626" s="39"/>
      <c r="L626" s="42"/>
      <c r="M626" s="44"/>
      <c r="N626" s="45"/>
      <c r="O626" s="44"/>
      <c r="P626" s="46"/>
      <c r="Q626" s="47" t="str">
        <f aca="false">IF(L626="","",IF(M626&lt;&gt;"",M626*L626*100,IF(AND(O626&lt;&gt;"",B626&lt;&gt;""),IFERROR(AVERAGEIF($B$5:$B$1004,B626,$M$5:$M$1004)*L626*100,""),"")))</f>
        <v/>
      </c>
      <c r="R626" s="47" t="str">
        <f aca="false">IF(AND(O626&lt;&gt;"",L626&lt;&gt;""),O626*L626*100,"")</f>
        <v/>
      </c>
      <c r="S626" s="48" t="str">
        <f aca="false">IF(AND(P626&lt;&gt;"",L626&lt;&gt;""),P626*L626*100,"")</f>
        <v/>
      </c>
      <c r="T626" s="49" t="str">
        <f aca="false">IF(AND(Q626&lt;&gt;"",R626&lt;&gt;""),R626-Q626,"")</f>
        <v/>
      </c>
      <c r="U626" s="50" t="str">
        <f aca="false">IF(AND(Q626&lt;&gt;"",Q626&lt;&gt;0,T626&lt;&gt;""),T626/Q626,"")</f>
        <v/>
      </c>
      <c r="V626" s="51" t="str">
        <f aca="false">IF(AND(S626&lt;&gt;"",Q626&lt;&gt;""),S626-Q626,"")</f>
        <v/>
      </c>
      <c r="W626" s="52" t="str">
        <f aca="false">IF(AND(Q626&lt;&gt;"",Q626&lt;&gt;0,V626&lt;&gt;""),V626/Q626,"")</f>
        <v/>
      </c>
      <c r="X626" s="53" t="s">
        <v>37</v>
      </c>
      <c r="Y626" s="54" t="str">
        <f aca="false">IF(AND(O626&lt;&gt;"",M626&lt;&gt;"",O626&gt;M626),CONCATENATE("1 : ",TEXT((O626-M626)/M626,"0.00")),IF(AND(O626&lt;&gt;"",M626&lt;&gt;"",O626&lt;M626),CONCATENATE("-1 : ",TEXT((M626-O626)/M626,"0.00")),"—"))</f>
        <v>—</v>
      </c>
      <c r="Z626" s="55" t="str">
        <f aca="false">IF(AND(P626&lt;&gt;"",M626&lt;&gt;"",P626&gt;M626),CONCATENATE("1 : ",TEXT((P626-M626)/M626,"0.00")),"—")</f>
        <v>—</v>
      </c>
      <c r="AA626" s="56" t="str">
        <f aca="false">IF(AND(C626&lt;&gt;"",E626&lt;&gt;""),E626-C626,"")</f>
        <v/>
      </c>
      <c r="AB626" s="42"/>
      <c r="AC626" s="57"/>
      <c r="AD626" s="58"/>
      <c r="AE626" s="59" t="str">
        <f aca="false">IF(G626&lt;&gt;"",HYPERLINK("https://www.tradingview.com/chart/?symbol="&amp;G626&amp;"&amp;interval=60&amp;from="&amp;(AG626-10*3600)&amp;"&amp;to="&amp;(AG626+50*3600),"📈 1H"),"")</f>
        <v/>
      </c>
      <c r="AF626" s="60" t="str">
        <f aca="false">IF(G626&lt;&gt;"",HYPERLINK("https://www.tradingview.com/chart/?symbol="&amp;G626&amp;"&amp;interval=240&amp;from="&amp;(AG626-10*14400)&amp;"&amp;to="&amp;(AG626+50*14400),"📈 4H"),"")</f>
        <v/>
      </c>
      <c r="AG626" s="36" t="str">
        <f aca="false">IF(C626&lt;&gt;"",INT((C626+IF(D626&lt;&gt;"",D626,0)-DATE(1970,1,1))*86400),"")</f>
        <v/>
      </c>
    </row>
    <row r="627" customFormat="false" ht="19.5" hidden="false" customHeight="true" outlineLevel="0" collapsed="false">
      <c r="A627" s="12" t="n">
        <f aca="false">ROW()-4</f>
        <v>623</v>
      </c>
      <c r="B627" s="13"/>
      <c r="C627" s="14"/>
      <c r="D627" s="15"/>
      <c r="E627" s="14"/>
      <c r="F627" s="15"/>
      <c r="G627" s="16"/>
      <c r="H627" s="17"/>
      <c r="I627" s="18"/>
      <c r="J627" s="19"/>
      <c r="K627" s="14"/>
      <c r="L627" s="17"/>
      <c r="M627" s="19"/>
      <c r="N627" s="20"/>
      <c r="O627" s="19"/>
      <c r="P627" s="21"/>
      <c r="Q627" s="22" t="str">
        <f aca="false">IF(L627="","",IF(M627&lt;&gt;"",M627*L627*100,IF(AND(O627&lt;&gt;"",B627&lt;&gt;""),IFERROR(AVERAGEIF($B$5:$B$1004,B627,$M$5:$M$1004)*L627*100,""),"")))</f>
        <v/>
      </c>
      <c r="R627" s="22" t="str">
        <f aca="false">IF(AND(O627&lt;&gt;"",L627&lt;&gt;""),O627*L627*100,"")</f>
        <v/>
      </c>
      <c r="S627" s="23" t="str">
        <f aca="false">IF(AND(P627&lt;&gt;"",L627&lt;&gt;""),P627*L627*100,"")</f>
        <v/>
      </c>
      <c r="T627" s="24" t="str">
        <f aca="false">IF(AND(Q627&lt;&gt;"",R627&lt;&gt;""),R627-Q627,"")</f>
        <v/>
      </c>
      <c r="U627" s="25" t="str">
        <f aca="false">IF(AND(Q627&lt;&gt;"",Q627&lt;&gt;0,T627&lt;&gt;""),T627/Q627,"")</f>
        <v/>
      </c>
      <c r="V627" s="26" t="str">
        <f aca="false">IF(AND(S627&lt;&gt;"",Q627&lt;&gt;""),S627-Q627,"")</f>
        <v/>
      </c>
      <c r="W627" s="27" t="str">
        <f aca="false">IF(AND(Q627&lt;&gt;"",Q627&lt;&gt;0,V627&lt;&gt;""),V627/Q627,"")</f>
        <v/>
      </c>
      <c r="X627" s="28" t="s">
        <v>37</v>
      </c>
      <c r="Y627" s="29" t="str">
        <f aca="false">IF(AND(O627&lt;&gt;"",M627&lt;&gt;"",O627&gt;M627),CONCATENATE("1 : ",TEXT((O627-M627)/M627,"0.00")),IF(AND(O627&lt;&gt;"",M627&lt;&gt;"",O627&lt;M627),CONCATENATE("-1 : ",TEXT((M627-O627)/M627,"0.00")),"—"))</f>
        <v>—</v>
      </c>
      <c r="Z627" s="30" t="str">
        <f aca="false">IF(AND(P627&lt;&gt;"",M627&lt;&gt;"",P627&gt;M627),CONCATENATE("1 : ",TEXT((P627-M627)/M627,"0.00")),"—")</f>
        <v>—</v>
      </c>
      <c r="AA627" s="31" t="str">
        <f aca="false">IF(AND(C627&lt;&gt;"",E627&lt;&gt;""),E627-C627,"")</f>
        <v/>
      </c>
      <c r="AB627" s="17"/>
      <c r="AC627" s="32"/>
      <c r="AD627" s="33"/>
      <c r="AE627" s="34" t="str">
        <f aca="false">IF(G627&lt;&gt;"",HYPERLINK("https://www.tradingview.com/chart/?symbol="&amp;G627&amp;"&amp;interval=60&amp;from="&amp;(AG627-10*3600)&amp;"&amp;to="&amp;(AG627+50*3600),"📈 1H"),"")</f>
        <v/>
      </c>
      <c r="AF627" s="35" t="str">
        <f aca="false">IF(G627&lt;&gt;"",HYPERLINK("https://www.tradingview.com/chart/?symbol="&amp;G627&amp;"&amp;interval=240&amp;from="&amp;(AG627-10*14400)&amp;"&amp;to="&amp;(AG627+50*14400),"📈 4H"),"")</f>
        <v/>
      </c>
      <c r="AG627" s="36" t="str">
        <f aca="false">IF(C627&lt;&gt;"",INT((C627+IF(D627&lt;&gt;"",D627,0)-DATE(1970,1,1))*86400),"")</f>
        <v/>
      </c>
    </row>
    <row r="628" customFormat="false" ht="19.5" hidden="false" customHeight="true" outlineLevel="0" collapsed="false">
      <c r="A628" s="37" t="n">
        <f aca="false">ROW()-4</f>
        <v>624</v>
      </c>
      <c r="B628" s="38"/>
      <c r="C628" s="39"/>
      <c r="D628" s="40"/>
      <c r="E628" s="39"/>
      <c r="F628" s="40"/>
      <c r="G628" s="41"/>
      <c r="H628" s="42"/>
      <c r="I628" s="43"/>
      <c r="J628" s="44"/>
      <c r="K628" s="39"/>
      <c r="L628" s="42"/>
      <c r="M628" s="44"/>
      <c r="N628" s="45"/>
      <c r="O628" s="44"/>
      <c r="P628" s="46"/>
      <c r="Q628" s="47" t="str">
        <f aca="false">IF(L628="","",IF(M628&lt;&gt;"",M628*L628*100,IF(AND(O628&lt;&gt;"",B628&lt;&gt;""),IFERROR(AVERAGEIF($B$5:$B$1004,B628,$M$5:$M$1004)*L628*100,""),"")))</f>
        <v/>
      </c>
      <c r="R628" s="47" t="str">
        <f aca="false">IF(AND(O628&lt;&gt;"",L628&lt;&gt;""),O628*L628*100,"")</f>
        <v/>
      </c>
      <c r="S628" s="48" t="str">
        <f aca="false">IF(AND(P628&lt;&gt;"",L628&lt;&gt;""),P628*L628*100,"")</f>
        <v/>
      </c>
      <c r="T628" s="49" t="str">
        <f aca="false">IF(AND(Q628&lt;&gt;"",R628&lt;&gt;""),R628-Q628,"")</f>
        <v/>
      </c>
      <c r="U628" s="50" t="str">
        <f aca="false">IF(AND(Q628&lt;&gt;"",Q628&lt;&gt;0,T628&lt;&gt;""),T628/Q628,"")</f>
        <v/>
      </c>
      <c r="V628" s="51" t="str">
        <f aca="false">IF(AND(S628&lt;&gt;"",Q628&lt;&gt;""),S628-Q628,"")</f>
        <v/>
      </c>
      <c r="W628" s="52" t="str">
        <f aca="false">IF(AND(Q628&lt;&gt;"",Q628&lt;&gt;0,V628&lt;&gt;""),V628/Q628,"")</f>
        <v/>
      </c>
      <c r="X628" s="53" t="s">
        <v>37</v>
      </c>
      <c r="Y628" s="54" t="str">
        <f aca="false">IF(AND(O628&lt;&gt;"",M628&lt;&gt;"",O628&gt;M628),CONCATENATE("1 : ",TEXT((O628-M628)/M628,"0.00")),IF(AND(O628&lt;&gt;"",M628&lt;&gt;"",O628&lt;M628),CONCATENATE("-1 : ",TEXT((M628-O628)/M628,"0.00")),"—"))</f>
        <v>—</v>
      </c>
      <c r="Z628" s="55" t="str">
        <f aca="false">IF(AND(P628&lt;&gt;"",M628&lt;&gt;"",P628&gt;M628),CONCATENATE("1 : ",TEXT((P628-M628)/M628,"0.00")),"—")</f>
        <v>—</v>
      </c>
      <c r="AA628" s="56" t="str">
        <f aca="false">IF(AND(C628&lt;&gt;"",E628&lt;&gt;""),E628-C628,"")</f>
        <v/>
      </c>
      <c r="AB628" s="42"/>
      <c r="AC628" s="57"/>
      <c r="AD628" s="58"/>
      <c r="AE628" s="59" t="str">
        <f aca="false">IF(G628&lt;&gt;"",HYPERLINK("https://www.tradingview.com/chart/?symbol="&amp;G628&amp;"&amp;interval=60&amp;from="&amp;(AG628-10*3600)&amp;"&amp;to="&amp;(AG628+50*3600),"📈 1H"),"")</f>
        <v/>
      </c>
      <c r="AF628" s="60" t="str">
        <f aca="false">IF(G628&lt;&gt;"",HYPERLINK("https://www.tradingview.com/chart/?symbol="&amp;G628&amp;"&amp;interval=240&amp;from="&amp;(AG628-10*14400)&amp;"&amp;to="&amp;(AG628+50*14400),"📈 4H"),"")</f>
        <v/>
      </c>
      <c r="AG628" s="36" t="str">
        <f aca="false">IF(C628&lt;&gt;"",INT((C628+IF(D628&lt;&gt;"",D628,0)-DATE(1970,1,1))*86400),"")</f>
        <v/>
      </c>
    </row>
    <row r="629" customFormat="false" ht="19.5" hidden="false" customHeight="true" outlineLevel="0" collapsed="false">
      <c r="A629" s="12" t="n">
        <f aca="false">ROW()-4</f>
        <v>625</v>
      </c>
      <c r="B629" s="13"/>
      <c r="C629" s="14"/>
      <c r="D629" s="15"/>
      <c r="E629" s="14"/>
      <c r="F629" s="15"/>
      <c r="G629" s="16"/>
      <c r="H629" s="17"/>
      <c r="I629" s="18"/>
      <c r="J629" s="19"/>
      <c r="K629" s="14"/>
      <c r="L629" s="17"/>
      <c r="M629" s="19"/>
      <c r="N629" s="20"/>
      <c r="O629" s="19"/>
      <c r="P629" s="21"/>
      <c r="Q629" s="22" t="str">
        <f aca="false">IF(L629="","",IF(M629&lt;&gt;"",M629*L629*100,IF(AND(O629&lt;&gt;"",B629&lt;&gt;""),IFERROR(AVERAGEIF($B$5:$B$1004,B629,$M$5:$M$1004)*L629*100,""),"")))</f>
        <v/>
      </c>
      <c r="R629" s="22" t="str">
        <f aca="false">IF(AND(O629&lt;&gt;"",L629&lt;&gt;""),O629*L629*100,"")</f>
        <v/>
      </c>
      <c r="S629" s="23" t="str">
        <f aca="false">IF(AND(P629&lt;&gt;"",L629&lt;&gt;""),P629*L629*100,"")</f>
        <v/>
      </c>
      <c r="T629" s="24" t="str">
        <f aca="false">IF(AND(Q629&lt;&gt;"",R629&lt;&gt;""),R629-Q629,"")</f>
        <v/>
      </c>
      <c r="U629" s="25" t="str">
        <f aca="false">IF(AND(Q629&lt;&gt;"",Q629&lt;&gt;0,T629&lt;&gt;""),T629/Q629,"")</f>
        <v/>
      </c>
      <c r="V629" s="26" t="str">
        <f aca="false">IF(AND(S629&lt;&gt;"",Q629&lt;&gt;""),S629-Q629,"")</f>
        <v/>
      </c>
      <c r="W629" s="27" t="str">
        <f aca="false">IF(AND(Q629&lt;&gt;"",Q629&lt;&gt;0,V629&lt;&gt;""),V629/Q629,"")</f>
        <v/>
      </c>
      <c r="X629" s="28" t="s">
        <v>37</v>
      </c>
      <c r="Y629" s="29" t="str">
        <f aca="false">IF(AND(O629&lt;&gt;"",M629&lt;&gt;"",O629&gt;M629),CONCATENATE("1 : ",TEXT((O629-M629)/M629,"0.00")),IF(AND(O629&lt;&gt;"",M629&lt;&gt;"",O629&lt;M629),CONCATENATE("-1 : ",TEXT((M629-O629)/M629,"0.00")),"—"))</f>
        <v>—</v>
      </c>
      <c r="Z629" s="30" t="str">
        <f aca="false">IF(AND(P629&lt;&gt;"",M629&lt;&gt;"",P629&gt;M629),CONCATENATE("1 : ",TEXT((P629-M629)/M629,"0.00")),"—")</f>
        <v>—</v>
      </c>
      <c r="AA629" s="31" t="str">
        <f aca="false">IF(AND(C629&lt;&gt;"",E629&lt;&gt;""),E629-C629,"")</f>
        <v/>
      </c>
      <c r="AB629" s="17"/>
      <c r="AC629" s="32"/>
      <c r="AD629" s="33"/>
      <c r="AE629" s="34" t="str">
        <f aca="false">IF(G629&lt;&gt;"",HYPERLINK("https://www.tradingview.com/chart/?symbol="&amp;G629&amp;"&amp;interval=60&amp;from="&amp;(AG629-10*3600)&amp;"&amp;to="&amp;(AG629+50*3600),"📈 1H"),"")</f>
        <v/>
      </c>
      <c r="AF629" s="35" t="str">
        <f aca="false">IF(G629&lt;&gt;"",HYPERLINK("https://www.tradingview.com/chart/?symbol="&amp;G629&amp;"&amp;interval=240&amp;from="&amp;(AG629-10*14400)&amp;"&amp;to="&amp;(AG629+50*14400),"📈 4H"),"")</f>
        <v/>
      </c>
      <c r="AG629" s="36" t="str">
        <f aca="false">IF(C629&lt;&gt;"",INT((C629+IF(D629&lt;&gt;"",D629,0)-DATE(1970,1,1))*86400),"")</f>
        <v/>
      </c>
    </row>
    <row r="630" customFormat="false" ht="19.5" hidden="false" customHeight="true" outlineLevel="0" collapsed="false">
      <c r="A630" s="37" t="n">
        <f aca="false">ROW()-4</f>
        <v>626</v>
      </c>
      <c r="B630" s="38"/>
      <c r="C630" s="39"/>
      <c r="D630" s="40"/>
      <c r="E630" s="39"/>
      <c r="F630" s="40"/>
      <c r="G630" s="41"/>
      <c r="H630" s="42"/>
      <c r="I630" s="43"/>
      <c r="J630" s="44"/>
      <c r="K630" s="39"/>
      <c r="L630" s="42"/>
      <c r="M630" s="44"/>
      <c r="N630" s="45"/>
      <c r="O630" s="44"/>
      <c r="P630" s="46"/>
      <c r="Q630" s="47" t="str">
        <f aca="false">IF(L630="","",IF(M630&lt;&gt;"",M630*L630*100,IF(AND(O630&lt;&gt;"",B630&lt;&gt;""),IFERROR(AVERAGEIF($B$5:$B$1004,B630,$M$5:$M$1004)*L630*100,""),"")))</f>
        <v/>
      </c>
      <c r="R630" s="47" t="str">
        <f aca="false">IF(AND(O630&lt;&gt;"",L630&lt;&gt;""),O630*L630*100,"")</f>
        <v/>
      </c>
      <c r="S630" s="48" t="str">
        <f aca="false">IF(AND(P630&lt;&gt;"",L630&lt;&gt;""),P630*L630*100,"")</f>
        <v/>
      </c>
      <c r="T630" s="49" t="str">
        <f aca="false">IF(AND(Q630&lt;&gt;"",R630&lt;&gt;""),R630-Q630,"")</f>
        <v/>
      </c>
      <c r="U630" s="50" t="str">
        <f aca="false">IF(AND(Q630&lt;&gt;"",Q630&lt;&gt;0,T630&lt;&gt;""),T630/Q630,"")</f>
        <v/>
      </c>
      <c r="V630" s="51" t="str">
        <f aca="false">IF(AND(S630&lt;&gt;"",Q630&lt;&gt;""),S630-Q630,"")</f>
        <v/>
      </c>
      <c r="W630" s="52" t="str">
        <f aca="false">IF(AND(Q630&lt;&gt;"",Q630&lt;&gt;0,V630&lt;&gt;""),V630/Q630,"")</f>
        <v/>
      </c>
      <c r="X630" s="53" t="s">
        <v>37</v>
      </c>
      <c r="Y630" s="54" t="str">
        <f aca="false">IF(AND(O630&lt;&gt;"",M630&lt;&gt;"",O630&gt;M630),CONCATENATE("1 : ",TEXT((O630-M630)/M630,"0.00")),IF(AND(O630&lt;&gt;"",M630&lt;&gt;"",O630&lt;M630),CONCATENATE("-1 : ",TEXT((M630-O630)/M630,"0.00")),"—"))</f>
        <v>—</v>
      </c>
      <c r="Z630" s="55" t="str">
        <f aca="false">IF(AND(P630&lt;&gt;"",M630&lt;&gt;"",P630&gt;M630),CONCATENATE("1 : ",TEXT((P630-M630)/M630,"0.00")),"—")</f>
        <v>—</v>
      </c>
      <c r="AA630" s="56" t="str">
        <f aca="false">IF(AND(C630&lt;&gt;"",E630&lt;&gt;""),E630-C630,"")</f>
        <v/>
      </c>
      <c r="AB630" s="42"/>
      <c r="AC630" s="57"/>
      <c r="AD630" s="58"/>
      <c r="AE630" s="59" t="str">
        <f aca="false">IF(G630&lt;&gt;"",HYPERLINK("https://www.tradingview.com/chart/?symbol="&amp;G630&amp;"&amp;interval=60&amp;from="&amp;(AG630-10*3600)&amp;"&amp;to="&amp;(AG630+50*3600),"📈 1H"),"")</f>
        <v/>
      </c>
      <c r="AF630" s="60" t="str">
        <f aca="false">IF(G630&lt;&gt;"",HYPERLINK("https://www.tradingview.com/chart/?symbol="&amp;G630&amp;"&amp;interval=240&amp;from="&amp;(AG630-10*14400)&amp;"&amp;to="&amp;(AG630+50*14400),"📈 4H"),"")</f>
        <v/>
      </c>
      <c r="AG630" s="36" t="str">
        <f aca="false">IF(C630&lt;&gt;"",INT((C630+IF(D630&lt;&gt;"",D630,0)-DATE(1970,1,1))*86400),"")</f>
        <v/>
      </c>
    </row>
    <row r="631" customFormat="false" ht="19.5" hidden="false" customHeight="true" outlineLevel="0" collapsed="false">
      <c r="A631" s="12" t="n">
        <f aca="false">ROW()-4</f>
        <v>627</v>
      </c>
      <c r="B631" s="13"/>
      <c r="C631" s="14"/>
      <c r="D631" s="15"/>
      <c r="E631" s="14"/>
      <c r="F631" s="15"/>
      <c r="G631" s="16"/>
      <c r="H631" s="17"/>
      <c r="I631" s="18"/>
      <c r="J631" s="19"/>
      <c r="K631" s="14"/>
      <c r="L631" s="17"/>
      <c r="M631" s="19"/>
      <c r="N631" s="20"/>
      <c r="O631" s="19"/>
      <c r="P631" s="21"/>
      <c r="Q631" s="22" t="str">
        <f aca="false">IF(L631="","",IF(M631&lt;&gt;"",M631*L631*100,IF(AND(O631&lt;&gt;"",B631&lt;&gt;""),IFERROR(AVERAGEIF($B$5:$B$1004,B631,$M$5:$M$1004)*L631*100,""),"")))</f>
        <v/>
      </c>
      <c r="R631" s="22" t="str">
        <f aca="false">IF(AND(O631&lt;&gt;"",L631&lt;&gt;""),O631*L631*100,"")</f>
        <v/>
      </c>
      <c r="S631" s="23" t="str">
        <f aca="false">IF(AND(P631&lt;&gt;"",L631&lt;&gt;""),P631*L631*100,"")</f>
        <v/>
      </c>
      <c r="T631" s="24" t="str">
        <f aca="false">IF(AND(Q631&lt;&gt;"",R631&lt;&gt;""),R631-Q631,"")</f>
        <v/>
      </c>
      <c r="U631" s="25" t="str">
        <f aca="false">IF(AND(Q631&lt;&gt;"",Q631&lt;&gt;0,T631&lt;&gt;""),T631/Q631,"")</f>
        <v/>
      </c>
      <c r="V631" s="26" t="str">
        <f aca="false">IF(AND(S631&lt;&gt;"",Q631&lt;&gt;""),S631-Q631,"")</f>
        <v/>
      </c>
      <c r="W631" s="27" t="str">
        <f aca="false">IF(AND(Q631&lt;&gt;"",Q631&lt;&gt;0,V631&lt;&gt;""),V631/Q631,"")</f>
        <v/>
      </c>
      <c r="X631" s="28" t="s">
        <v>37</v>
      </c>
      <c r="Y631" s="29" t="str">
        <f aca="false">IF(AND(O631&lt;&gt;"",M631&lt;&gt;"",O631&gt;M631),CONCATENATE("1 : ",TEXT((O631-M631)/M631,"0.00")),IF(AND(O631&lt;&gt;"",M631&lt;&gt;"",O631&lt;M631),CONCATENATE("-1 : ",TEXT((M631-O631)/M631,"0.00")),"—"))</f>
        <v>—</v>
      </c>
      <c r="Z631" s="30" t="str">
        <f aca="false">IF(AND(P631&lt;&gt;"",M631&lt;&gt;"",P631&gt;M631),CONCATENATE("1 : ",TEXT((P631-M631)/M631,"0.00")),"—")</f>
        <v>—</v>
      </c>
      <c r="AA631" s="31" t="str">
        <f aca="false">IF(AND(C631&lt;&gt;"",E631&lt;&gt;""),E631-C631,"")</f>
        <v/>
      </c>
      <c r="AB631" s="17"/>
      <c r="AC631" s="32"/>
      <c r="AD631" s="33"/>
      <c r="AE631" s="34" t="str">
        <f aca="false">IF(G631&lt;&gt;"",HYPERLINK("https://www.tradingview.com/chart/?symbol="&amp;G631&amp;"&amp;interval=60&amp;from="&amp;(AG631-10*3600)&amp;"&amp;to="&amp;(AG631+50*3600),"📈 1H"),"")</f>
        <v/>
      </c>
      <c r="AF631" s="35" t="str">
        <f aca="false">IF(G631&lt;&gt;"",HYPERLINK("https://www.tradingview.com/chart/?symbol="&amp;G631&amp;"&amp;interval=240&amp;from="&amp;(AG631-10*14400)&amp;"&amp;to="&amp;(AG631+50*14400),"📈 4H"),"")</f>
        <v/>
      </c>
      <c r="AG631" s="36" t="str">
        <f aca="false">IF(C631&lt;&gt;"",INT((C631+IF(D631&lt;&gt;"",D631,0)-DATE(1970,1,1))*86400),"")</f>
        <v/>
      </c>
    </row>
    <row r="632" customFormat="false" ht="19.5" hidden="false" customHeight="true" outlineLevel="0" collapsed="false">
      <c r="A632" s="37" t="n">
        <f aca="false">ROW()-4</f>
        <v>628</v>
      </c>
      <c r="B632" s="38"/>
      <c r="C632" s="39"/>
      <c r="D632" s="40"/>
      <c r="E632" s="39"/>
      <c r="F632" s="40"/>
      <c r="G632" s="41"/>
      <c r="H632" s="42"/>
      <c r="I632" s="43"/>
      <c r="J632" s="44"/>
      <c r="K632" s="39"/>
      <c r="L632" s="42"/>
      <c r="M632" s="44"/>
      <c r="N632" s="45"/>
      <c r="O632" s="44"/>
      <c r="P632" s="46"/>
      <c r="Q632" s="47" t="str">
        <f aca="false">IF(L632="","",IF(M632&lt;&gt;"",M632*L632*100,IF(AND(O632&lt;&gt;"",B632&lt;&gt;""),IFERROR(AVERAGEIF($B$5:$B$1004,B632,$M$5:$M$1004)*L632*100,""),"")))</f>
        <v/>
      </c>
      <c r="R632" s="47" t="str">
        <f aca="false">IF(AND(O632&lt;&gt;"",L632&lt;&gt;""),O632*L632*100,"")</f>
        <v/>
      </c>
      <c r="S632" s="48" t="str">
        <f aca="false">IF(AND(P632&lt;&gt;"",L632&lt;&gt;""),P632*L632*100,"")</f>
        <v/>
      </c>
      <c r="T632" s="49" t="str">
        <f aca="false">IF(AND(Q632&lt;&gt;"",R632&lt;&gt;""),R632-Q632,"")</f>
        <v/>
      </c>
      <c r="U632" s="50" t="str">
        <f aca="false">IF(AND(Q632&lt;&gt;"",Q632&lt;&gt;0,T632&lt;&gt;""),T632/Q632,"")</f>
        <v/>
      </c>
      <c r="V632" s="51" t="str">
        <f aca="false">IF(AND(S632&lt;&gt;"",Q632&lt;&gt;""),S632-Q632,"")</f>
        <v/>
      </c>
      <c r="W632" s="52" t="str">
        <f aca="false">IF(AND(Q632&lt;&gt;"",Q632&lt;&gt;0,V632&lt;&gt;""),V632/Q632,"")</f>
        <v/>
      </c>
      <c r="X632" s="53" t="s">
        <v>37</v>
      </c>
      <c r="Y632" s="54" t="str">
        <f aca="false">IF(AND(O632&lt;&gt;"",M632&lt;&gt;"",O632&gt;M632),CONCATENATE("1 : ",TEXT((O632-M632)/M632,"0.00")),IF(AND(O632&lt;&gt;"",M632&lt;&gt;"",O632&lt;M632),CONCATENATE("-1 : ",TEXT((M632-O632)/M632,"0.00")),"—"))</f>
        <v>—</v>
      </c>
      <c r="Z632" s="55" t="str">
        <f aca="false">IF(AND(P632&lt;&gt;"",M632&lt;&gt;"",P632&gt;M632),CONCATENATE("1 : ",TEXT((P632-M632)/M632,"0.00")),"—")</f>
        <v>—</v>
      </c>
      <c r="AA632" s="56" t="str">
        <f aca="false">IF(AND(C632&lt;&gt;"",E632&lt;&gt;""),E632-C632,"")</f>
        <v/>
      </c>
      <c r="AB632" s="42"/>
      <c r="AC632" s="57"/>
      <c r="AD632" s="58"/>
      <c r="AE632" s="59" t="str">
        <f aca="false">IF(G632&lt;&gt;"",HYPERLINK("https://www.tradingview.com/chart/?symbol="&amp;G632&amp;"&amp;interval=60&amp;from="&amp;(AG632-10*3600)&amp;"&amp;to="&amp;(AG632+50*3600),"📈 1H"),"")</f>
        <v/>
      </c>
      <c r="AF632" s="60" t="str">
        <f aca="false">IF(G632&lt;&gt;"",HYPERLINK("https://www.tradingview.com/chart/?symbol="&amp;G632&amp;"&amp;interval=240&amp;from="&amp;(AG632-10*14400)&amp;"&amp;to="&amp;(AG632+50*14400),"📈 4H"),"")</f>
        <v/>
      </c>
      <c r="AG632" s="36" t="str">
        <f aca="false">IF(C632&lt;&gt;"",INT((C632+IF(D632&lt;&gt;"",D632,0)-DATE(1970,1,1))*86400),"")</f>
        <v/>
      </c>
    </row>
    <row r="633" customFormat="false" ht="19.5" hidden="false" customHeight="true" outlineLevel="0" collapsed="false">
      <c r="A633" s="12" t="n">
        <f aca="false">ROW()-4</f>
        <v>629</v>
      </c>
      <c r="B633" s="13"/>
      <c r="C633" s="14"/>
      <c r="D633" s="15"/>
      <c r="E633" s="14"/>
      <c r="F633" s="15"/>
      <c r="G633" s="16"/>
      <c r="H633" s="17"/>
      <c r="I633" s="18"/>
      <c r="J633" s="19"/>
      <c r="K633" s="14"/>
      <c r="L633" s="17"/>
      <c r="M633" s="19"/>
      <c r="N633" s="20"/>
      <c r="O633" s="19"/>
      <c r="P633" s="21"/>
      <c r="Q633" s="22" t="str">
        <f aca="false">IF(L633="","",IF(M633&lt;&gt;"",M633*L633*100,IF(AND(O633&lt;&gt;"",B633&lt;&gt;""),IFERROR(AVERAGEIF($B$5:$B$1004,B633,$M$5:$M$1004)*L633*100,""),"")))</f>
        <v/>
      </c>
      <c r="R633" s="22" t="str">
        <f aca="false">IF(AND(O633&lt;&gt;"",L633&lt;&gt;""),O633*L633*100,"")</f>
        <v/>
      </c>
      <c r="S633" s="23" t="str">
        <f aca="false">IF(AND(P633&lt;&gt;"",L633&lt;&gt;""),P633*L633*100,"")</f>
        <v/>
      </c>
      <c r="T633" s="24" t="str">
        <f aca="false">IF(AND(Q633&lt;&gt;"",R633&lt;&gt;""),R633-Q633,"")</f>
        <v/>
      </c>
      <c r="U633" s="25" t="str">
        <f aca="false">IF(AND(Q633&lt;&gt;"",Q633&lt;&gt;0,T633&lt;&gt;""),T633/Q633,"")</f>
        <v/>
      </c>
      <c r="V633" s="26" t="str">
        <f aca="false">IF(AND(S633&lt;&gt;"",Q633&lt;&gt;""),S633-Q633,"")</f>
        <v/>
      </c>
      <c r="W633" s="27" t="str">
        <f aca="false">IF(AND(Q633&lt;&gt;"",Q633&lt;&gt;0,V633&lt;&gt;""),V633/Q633,"")</f>
        <v/>
      </c>
      <c r="X633" s="28" t="s">
        <v>37</v>
      </c>
      <c r="Y633" s="29" t="str">
        <f aca="false">IF(AND(O633&lt;&gt;"",M633&lt;&gt;"",O633&gt;M633),CONCATENATE("1 : ",TEXT((O633-M633)/M633,"0.00")),IF(AND(O633&lt;&gt;"",M633&lt;&gt;"",O633&lt;M633),CONCATENATE("-1 : ",TEXT((M633-O633)/M633,"0.00")),"—"))</f>
        <v>—</v>
      </c>
      <c r="Z633" s="30" t="str">
        <f aca="false">IF(AND(P633&lt;&gt;"",M633&lt;&gt;"",P633&gt;M633),CONCATENATE("1 : ",TEXT((P633-M633)/M633,"0.00")),"—")</f>
        <v>—</v>
      </c>
      <c r="AA633" s="31" t="str">
        <f aca="false">IF(AND(C633&lt;&gt;"",E633&lt;&gt;""),E633-C633,"")</f>
        <v/>
      </c>
      <c r="AB633" s="17"/>
      <c r="AC633" s="32"/>
      <c r="AD633" s="33"/>
      <c r="AE633" s="34" t="str">
        <f aca="false">IF(G633&lt;&gt;"",HYPERLINK("https://www.tradingview.com/chart/?symbol="&amp;G633&amp;"&amp;interval=60&amp;from="&amp;(AG633-10*3600)&amp;"&amp;to="&amp;(AG633+50*3600),"📈 1H"),"")</f>
        <v/>
      </c>
      <c r="AF633" s="35" t="str">
        <f aca="false">IF(G633&lt;&gt;"",HYPERLINK("https://www.tradingview.com/chart/?symbol="&amp;G633&amp;"&amp;interval=240&amp;from="&amp;(AG633-10*14400)&amp;"&amp;to="&amp;(AG633+50*14400),"📈 4H"),"")</f>
        <v/>
      </c>
      <c r="AG633" s="36" t="str">
        <f aca="false">IF(C633&lt;&gt;"",INT((C633+IF(D633&lt;&gt;"",D633,0)-DATE(1970,1,1))*86400),"")</f>
        <v/>
      </c>
    </row>
    <row r="634" customFormat="false" ht="19.5" hidden="false" customHeight="true" outlineLevel="0" collapsed="false">
      <c r="A634" s="37" t="n">
        <f aca="false">ROW()-4</f>
        <v>630</v>
      </c>
      <c r="B634" s="38"/>
      <c r="C634" s="39"/>
      <c r="D634" s="40"/>
      <c r="E634" s="39"/>
      <c r="F634" s="40"/>
      <c r="G634" s="41"/>
      <c r="H634" s="42"/>
      <c r="I634" s="43"/>
      <c r="J634" s="44"/>
      <c r="K634" s="39"/>
      <c r="L634" s="42"/>
      <c r="M634" s="44"/>
      <c r="N634" s="45"/>
      <c r="O634" s="44"/>
      <c r="P634" s="46"/>
      <c r="Q634" s="47" t="str">
        <f aca="false">IF(L634="","",IF(M634&lt;&gt;"",M634*L634*100,IF(AND(O634&lt;&gt;"",B634&lt;&gt;""),IFERROR(AVERAGEIF($B$5:$B$1004,B634,$M$5:$M$1004)*L634*100,""),"")))</f>
        <v/>
      </c>
      <c r="R634" s="47" t="str">
        <f aca="false">IF(AND(O634&lt;&gt;"",L634&lt;&gt;""),O634*L634*100,"")</f>
        <v/>
      </c>
      <c r="S634" s="48" t="str">
        <f aca="false">IF(AND(P634&lt;&gt;"",L634&lt;&gt;""),P634*L634*100,"")</f>
        <v/>
      </c>
      <c r="T634" s="49" t="str">
        <f aca="false">IF(AND(Q634&lt;&gt;"",R634&lt;&gt;""),R634-Q634,"")</f>
        <v/>
      </c>
      <c r="U634" s="50" t="str">
        <f aca="false">IF(AND(Q634&lt;&gt;"",Q634&lt;&gt;0,T634&lt;&gt;""),T634/Q634,"")</f>
        <v/>
      </c>
      <c r="V634" s="51" t="str">
        <f aca="false">IF(AND(S634&lt;&gt;"",Q634&lt;&gt;""),S634-Q634,"")</f>
        <v/>
      </c>
      <c r="W634" s="52" t="str">
        <f aca="false">IF(AND(Q634&lt;&gt;"",Q634&lt;&gt;0,V634&lt;&gt;""),V634/Q634,"")</f>
        <v/>
      </c>
      <c r="X634" s="53" t="s">
        <v>37</v>
      </c>
      <c r="Y634" s="54" t="str">
        <f aca="false">IF(AND(O634&lt;&gt;"",M634&lt;&gt;"",O634&gt;M634),CONCATENATE("1 : ",TEXT((O634-M634)/M634,"0.00")),IF(AND(O634&lt;&gt;"",M634&lt;&gt;"",O634&lt;M634),CONCATENATE("-1 : ",TEXT((M634-O634)/M634,"0.00")),"—"))</f>
        <v>—</v>
      </c>
      <c r="Z634" s="55" t="str">
        <f aca="false">IF(AND(P634&lt;&gt;"",M634&lt;&gt;"",P634&gt;M634),CONCATENATE("1 : ",TEXT((P634-M634)/M634,"0.00")),"—")</f>
        <v>—</v>
      </c>
      <c r="AA634" s="56" t="str">
        <f aca="false">IF(AND(C634&lt;&gt;"",E634&lt;&gt;""),E634-C634,"")</f>
        <v/>
      </c>
      <c r="AB634" s="42"/>
      <c r="AC634" s="57"/>
      <c r="AD634" s="58"/>
      <c r="AE634" s="59" t="str">
        <f aca="false">IF(G634&lt;&gt;"",HYPERLINK("https://www.tradingview.com/chart/?symbol="&amp;G634&amp;"&amp;interval=60&amp;from="&amp;(AG634-10*3600)&amp;"&amp;to="&amp;(AG634+50*3600),"📈 1H"),"")</f>
        <v/>
      </c>
      <c r="AF634" s="60" t="str">
        <f aca="false">IF(G634&lt;&gt;"",HYPERLINK("https://www.tradingview.com/chart/?symbol="&amp;G634&amp;"&amp;interval=240&amp;from="&amp;(AG634-10*14400)&amp;"&amp;to="&amp;(AG634+50*14400),"📈 4H"),"")</f>
        <v/>
      </c>
      <c r="AG634" s="36" t="str">
        <f aca="false">IF(C634&lt;&gt;"",INT((C634+IF(D634&lt;&gt;"",D634,0)-DATE(1970,1,1))*86400),"")</f>
        <v/>
      </c>
    </row>
    <row r="635" customFormat="false" ht="19.5" hidden="false" customHeight="true" outlineLevel="0" collapsed="false">
      <c r="A635" s="12" t="n">
        <f aca="false">ROW()-4</f>
        <v>631</v>
      </c>
      <c r="B635" s="13"/>
      <c r="C635" s="14"/>
      <c r="D635" s="15"/>
      <c r="E635" s="14"/>
      <c r="F635" s="15"/>
      <c r="G635" s="16"/>
      <c r="H635" s="17"/>
      <c r="I635" s="18"/>
      <c r="J635" s="19"/>
      <c r="K635" s="14"/>
      <c r="L635" s="17"/>
      <c r="M635" s="19"/>
      <c r="N635" s="20"/>
      <c r="O635" s="19"/>
      <c r="P635" s="21"/>
      <c r="Q635" s="22" t="str">
        <f aca="false">IF(L635="","",IF(M635&lt;&gt;"",M635*L635*100,IF(AND(O635&lt;&gt;"",B635&lt;&gt;""),IFERROR(AVERAGEIF($B$5:$B$1004,B635,$M$5:$M$1004)*L635*100,""),"")))</f>
        <v/>
      </c>
      <c r="R635" s="22" t="str">
        <f aca="false">IF(AND(O635&lt;&gt;"",L635&lt;&gt;""),O635*L635*100,"")</f>
        <v/>
      </c>
      <c r="S635" s="23" t="str">
        <f aca="false">IF(AND(P635&lt;&gt;"",L635&lt;&gt;""),P635*L635*100,"")</f>
        <v/>
      </c>
      <c r="T635" s="24" t="str">
        <f aca="false">IF(AND(Q635&lt;&gt;"",R635&lt;&gt;""),R635-Q635,"")</f>
        <v/>
      </c>
      <c r="U635" s="25" t="str">
        <f aca="false">IF(AND(Q635&lt;&gt;"",Q635&lt;&gt;0,T635&lt;&gt;""),T635/Q635,"")</f>
        <v/>
      </c>
      <c r="V635" s="26" t="str">
        <f aca="false">IF(AND(S635&lt;&gt;"",Q635&lt;&gt;""),S635-Q635,"")</f>
        <v/>
      </c>
      <c r="W635" s="27" t="str">
        <f aca="false">IF(AND(Q635&lt;&gt;"",Q635&lt;&gt;0,V635&lt;&gt;""),V635/Q635,"")</f>
        <v/>
      </c>
      <c r="X635" s="28" t="s">
        <v>37</v>
      </c>
      <c r="Y635" s="29" t="str">
        <f aca="false">IF(AND(O635&lt;&gt;"",M635&lt;&gt;"",O635&gt;M635),CONCATENATE("1 : ",TEXT((O635-M635)/M635,"0.00")),IF(AND(O635&lt;&gt;"",M635&lt;&gt;"",O635&lt;M635),CONCATENATE("-1 : ",TEXT((M635-O635)/M635,"0.00")),"—"))</f>
        <v>—</v>
      </c>
      <c r="Z635" s="30" t="str">
        <f aca="false">IF(AND(P635&lt;&gt;"",M635&lt;&gt;"",P635&gt;M635),CONCATENATE("1 : ",TEXT((P635-M635)/M635,"0.00")),"—")</f>
        <v>—</v>
      </c>
      <c r="AA635" s="31" t="str">
        <f aca="false">IF(AND(C635&lt;&gt;"",E635&lt;&gt;""),E635-C635,"")</f>
        <v/>
      </c>
      <c r="AB635" s="17"/>
      <c r="AC635" s="32"/>
      <c r="AD635" s="33"/>
      <c r="AE635" s="34" t="str">
        <f aca="false">IF(G635&lt;&gt;"",HYPERLINK("https://www.tradingview.com/chart/?symbol="&amp;G635&amp;"&amp;interval=60&amp;from="&amp;(AG635-10*3600)&amp;"&amp;to="&amp;(AG635+50*3600),"📈 1H"),"")</f>
        <v/>
      </c>
      <c r="AF635" s="35" t="str">
        <f aca="false">IF(G635&lt;&gt;"",HYPERLINK("https://www.tradingview.com/chart/?symbol="&amp;G635&amp;"&amp;interval=240&amp;from="&amp;(AG635-10*14400)&amp;"&amp;to="&amp;(AG635+50*14400),"📈 4H"),"")</f>
        <v/>
      </c>
      <c r="AG635" s="36" t="str">
        <f aca="false">IF(C635&lt;&gt;"",INT((C635+IF(D635&lt;&gt;"",D635,0)-DATE(1970,1,1))*86400),"")</f>
        <v/>
      </c>
    </row>
    <row r="636" customFormat="false" ht="19.5" hidden="false" customHeight="true" outlineLevel="0" collapsed="false">
      <c r="A636" s="37" t="n">
        <f aca="false">ROW()-4</f>
        <v>632</v>
      </c>
      <c r="B636" s="38"/>
      <c r="C636" s="39"/>
      <c r="D636" s="40"/>
      <c r="E636" s="39"/>
      <c r="F636" s="40"/>
      <c r="G636" s="41"/>
      <c r="H636" s="42"/>
      <c r="I636" s="43"/>
      <c r="J636" s="44"/>
      <c r="K636" s="39"/>
      <c r="L636" s="42"/>
      <c r="M636" s="44"/>
      <c r="N636" s="45"/>
      <c r="O636" s="44"/>
      <c r="P636" s="46"/>
      <c r="Q636" s="47" t="str">
        <f aca="false">IF(L636="","",IF(M636&lt;&gt;"",M636*L636*100,IF(AND(O636&lt;&gt;"",B636&lt;&gt;""),IFERROR(AVERAGEIF($B$5:$B$1004,B636,$M$5:$M$1004)*L636*100,""),"")))</f>
        <v/>
      </c>
      <c r="R636" s="47" t="str">
        <f aca="false">IF(AND(O636&lt;&gt;"",L636&lt;&gt;""),O636*L636*100,"")</f>
        <v/>
      </c>
      <c r="S636" s="48" t="str">
        <f aca="false">IF(AND(P636&lt;&gt;"",L636&lt;&gt;""),P636*L636*100,"")</f>
        <v/>
      </c>
      <c r="T636" s="49" t="str">
        <f aca="false">IF(AND(Q636&lt;&gt;"",R636&lt;&gt;""),R636-Q636,"")</f>
        <v/>
      </c>
      <c r="U636" s="50" t="str">
        <f aca="false">IF(AND(Q636&lt;&gt;"",Q636&lt;&gt;0,T636&lt;&gt;""),T636/Q636,"")</f>
        <v/>
      </c>
      <c r="V636" s="51" t="str">
        <f aca="false">IF(AND(S636&lt;&gt;"",Q636&lt;&gt;""),S636-Q636,"")</f>
        <v/>
      </c>
      <c r="W636" s="52" t="str">
        <f aca="false">IF(AND(Q636&lt;&gt;"",Q636&lt;&gt;0,V636&lt;&gt;""),V636/Q636,"")</f>
        <v/>
      </c>
      <c r="X636" s="53" t="s">
        <v>37</v>
      </c>
      <c r="Y636" s="54" t="str">
        <f aca="false">IF(AND(O636&lt;&gt;"",M636&lt;&gt;"",O636&gt;M636),CONCATENATE("1 : ",TEXT((O636-M636)/M636,"0.00")),IF(AND(O636&lt;&gt;"",M636&lt;&gt;"",O636&lt;M636),CONCATENATE("-1 : ",TEXT((M636-O636)/M636,"0.00")),"—"))</f>
        <v>—</v>
      </c>
      <c r="Z636" s="55" t="str">
        <f aca="false">IF(AND(P636&lt;&gt;"",M636&lt;&gt;"",P636&gt;M636),CONCATENATE("1 : ",TEXT((P636-M636)/M636,"0.00")),"—")</f>
        <v>—</v>
      </c>
      <c r="AA636" s="56" t="str">
        <f aca="false">IF(AND(C636&lt;&gt;"",E636&lt;&gt;""),E636-C636,"")</f>
        <v/>
      </c>
      <c r="AB636" s="42"/>
      <c r="AC636" s="57"/>
      <c r="AD636" s="58"/>
      <c r="AE636" s="59" t="str">
        <f aca="false">IF(G636&lt;&gt;"",HYPERLINK("https://www.tradingview.com/chart/?symbol="&amp;G636&amp;"&amp;interval=60&amp;from="&amp;(AG636-10*3600)&amp;"&amp;to="&amp;(AG636+50*3600),"📈 1H"),"")</f>
        <v/>
      </c>
      <c r="AF636" s="60" t="str">
        <f aca="false">IF(G636&lt;&gt;"",HYPERLINK("https://www.tradingview.com/chart/?symbol="&amp;G636&amp;"&amp;interval=240&amp;from="&amp;(AG636-10*14400)&amp;"&amp;to="&amp;(AG636+50*14400),"📈 4H"),"")</f>
        <v/>
      </c>
      <c r="AG636" s="36" t="str">
        <f aca="false">IF(C636&lt;&gt;"",INT((C636+IF(D636&lt;&gt;"",D636,0)-DATE(1970,1,1))*86400),"")</f>
        <v/>
      </c>
    </row>
    <row r="637" customFormat="false" ht="19.5" hidden="false" customHeight="true" outlineLevel="0" collapsed="false">
      <c r="A637" s="12" t="n">
        <f aca="false">ROW()-4</f>
        <v>633</v>
      </c>
      <c r="B637" s="13"/>
      <c r="C637" s="14"/>
      <c r="D637" s="15"/>
      <c r="E637" s="14"/>
      <c r="F637" s="15"/>
      <c r="G637" s="16"/>
      <c r="H637" s="17"/>
      <c r="I637" s="18"/>
      <c r="J637" s="19"/>
      <c r="K637" s="14"/>
      <c r="L637" s="17"/>
      <c r="M637" s="19"/>
      <c r="N637" s="20"/>
      <c r="O637" s="19"/>
      <c r="P637" s="21"/>
      <c r="Q637" s="22" t="str">
        <f aca="false">IF(L637="","",IF(M637&lt;&gt;"",M637*L637*100,IF(AND(O637&lt;&gt;"",B637&lt;&gt;""),IFERROR(AVERAGEIF($B$5:$B$1004,B637,$M$5:$M$1004)*L637*100,""),"")))</f>
        <v/>
      </c>
      <c r="R637" s="22" t="str">
        <f aca="false">IF(AND(O637&lt;&gt;"",L637&lt;&gt;""),O637*L637*100,"")</f>
        <v/>
      </c>
      <c r="S637" s="23" t="str">
        <f aca="false">IF(AND(P637&lt;&gt;"",L637&lt;&gt;""),P637*L637*100,"")</f>
        <v/>
      </c>
      <c r="T637" s="24" t="str">
        <f aca="false">IF(AND(Q637&lt;&gt;"",R637&lt;&gt;""),R637-Q637,"")</f>
        <v/>
      </c>
      <c r="U637" s="25" t="str">
        <f aca="false">IF(AND(Q637&lt;&gt;"",Q637&lt;&gt;0,T637&lt;&gt;""),T637/Q637,"")</f>
        <v/>
      </c>
      <c r="V637" s="26" t="str">
        <f aca="false">IF(AND(S637&lt;&gt;"",Q637&lt;&gt;""),S637-Q637,"")</f>
        <v/>
      </c>
      <c r="W637" s="27" t="str">
        <f aca="false">IF(AND(Q637&lt;&gt;"",Q637&lt;&gt;0,V637&lt;&gt;""),V637/Q637,"")</f>
        <v/>
      </c>
      <c r="X637" s="28" t="s">
        <v>37</v>
      </c>
      <c r="Y637" s="29" t="str">
        <f aca="false">IF(AND(O637&lt;&gt;"",M637&lt;&gt;"",O637&gt;M637),CONCATENATE("1 : ",TEXT((O637-M637)/M637,"0.00")),IF(AND(O637&lt;&gt;"",M637&lt;&gt;"",O637&lt;M637),CONCATENATE("-1 : ",TEXT((M637-O637)/M637,"0.00")),"—"))</f>
        <v>—</v>
      </c>
      <c r="Z637" s="30" t="str">
        <f aca="false">IF(AND(P637&lt;&gt;"",M637&lt;&gt;"",P637&gt;M637),CONCATENATE("1 : ",TEXT((P637-M637)/M637,"0.00")),"—")</f>
        <v>—</v>
      </c>
      <c r="AA637" s="31" t="str">
        <f aca="false">IF(AND(C637&lt;&gt;"",E637&lt;&gt;""),E637-C637,"")</f>
        <v/>
      </c>
      <c r="AB637" s="17"/>
      <c r="AC637" s="32"/>
      <c r="AD637" s="33"/>
      <c r="AE637" s="34" t="str">
        <f aca="false">IF(G637&lt;&gt;"",HYPERLINK("https://www.tradingview.com/chart/?symbol="&amp;G637&amp;"&amp;interval=60&amp;from="&amp;(AG637-10*3600)&amp;"&amp;to="&amp;(AG637+50*3600),"📈 1H"),"")</f>
        <v/>
      </c>
      <c r="AF637" s="35" t="str">
        <f aca="false">IF(G637&lt;&gt;"",HYPERLINK("https://www.tradingview.com/chart/?symbol="&amp;G637&amp;"&amp;interval=240&amp;from="&amp;(AG637-10*14400)&amp;"&amp;to="&amp;(AG637+50*14400),"📈 4H"),"")</f>
        <v/>
      </c>
      <c r="AG637" s="36" t="str">
        <f aca="false">IF(C637&lt;&gt;"",INT((C637+IF(D637&lt;&gt;"",D637,0)-DATE(1970,1,1))*86400),"")</f>
        <v/>
      </c>
    </row>
    <row r="638" customFormat="false" ht="19.5" hidden="false" customHeight="true" outlineLevel="0" collapsed="false">
      <c r="A638" s="37" t="n">
        <f aca="false">ROW()-4</f>
        <v>634</v>
      </c>
      <c r="B638" s="38"/>
      <c r="C638" s="39"/>
      <c r="D638" s="40"/>
      <c r="E638" s="39"/>
      <c r="F638" s="40"/>
      <c r="G638" s="41"/>
      <c r="H638" s="42"/>
      <c r="I638" s="43"/>
      <c r="J638" s="44"/>
      <c r="K638" s="39"/>
      <c r="L638" s="42"/>
      <c r="M638" s="44"/>
      <c r="N638" s="45"/>
      <c r="O638" s="44"/>
      <c r="P638" s="46"/>
      <c r="Q638" s="47" t="str">
        <f aca="false">IF(L638="","",IF(M638&lt;&gt;"",M638*L638*100,IF(AND(O638&lt;&gt;"",B638&lt;&gt;""),IFERROR(AVERAGEIF($B$5:$B$1004,B638,$M$5:$M$1004)*L638*100,""),"")))</f>
        <v/>
      </c>
      <c r="R638" s="47" t="str">
        <f aca="false">IF(AND(O638&lt;&gt;"",L638&lt;&gt;""),O638*L638*100,"")</f>
        <v/>
      </c>
      <c r="S638" s="48" t="str">
        <f aca="false">IF(AND(P638&lt;&gt;"",L638&lt;&gt;""),P638*L638*100,"")</f>
        <v/>
      </c>
      <c r="T638" s="49" t="str">
        <f aca="false">IF(AND(Q638&lt;&gt;"",R638&lt;&gt;""),R638-Q638,"")</f>
        <v/>
      </c>
      <c r="U638" s="50" t="str">
        <f aca="false">IF(AND(Q638&lt;&gt;"",Q638&lt;&gt;0,T638&lt;&gt;""),T638/Q638,"")</f>
        <v/>
      </c>
      <c r="V638" s="51" t="str">
        <f aca="false">IF(AND(S638&lt;&gt;"",Q638&lt;&gt;""),S638-Q638,"")</f>
        <v/>
      </c>
      <c r="W638" s="52" t="str">
        <f aca="false">IF(AND(Q638&lt;&gt;"",Q638&lt;&gt;0,V638&lt;&gt;""),V638/Q638,"")</f>
        <v/>
      </c>
      <c r="X638" s="53" t="s">
        <v>37</v>
      </c>
      <c r="Y638" s="54" t="str">
        <f aca="false">IF(AND(O638&lt;&gt;"",M638&lt;&gt;"",O638&gt;M638),CONCATENATE("1 : ",TEXT((O638-M638)/M638,"0.00")),IF(AND(O638&lt;&gt;"",M638&lt;&gt;"",O638&lt;M638),CONCATENATE("-1 : ",TEXT((M638-O638)/M638,"0.00")),"—"))</f>
        <v>—</v>
      </c>
      <c r="Z638" s="55" t="str">
        <f aca="false">IF(AND(P638&lt;&gt;"",M638&lt;&gt;"",P638&gt;M638),CONCATENATE("1 : ",TEXT((P638-M638)/M638,"0.00")),"—")</f>
        <v>—</v>
      </c>
      <c r="AA638" s="56" t="str">
        <f aca="false">IF(AND(C638&lt;&gt;"",E638&lt;&gt;""),E638-C638,"")</f>
        <v/>
      </c>
      <c r="AB638" s="42"/>
      <c r="AC638" s="57"/>
      <c r="AD638" s="58"/>
      <c r="AE638" s="59" t="str">
        <f aca="false">IF(G638&lt;&gt;"",HYPERLINK("https://www.tradingview.com/chart/?symbol="&amp;G638&amp;"&amp;interval=60&amp;from="&amp;(AG638-10*3600)&amp;"&amp;to="&amp;(AG638+50*3600),"📈 1H"),"")</f>
        <v/>
      </c>
      <c r="AF638" s="60" t="str">
        <f aca="false">IF(G638&lt;&gt;"",HYPERLINK("https://www.tradingview.com/chart/?symbol="&amp;G638&amp;"&amp;interval=240&amp;from="&amp;(AG638-10*14400)&amp;"&amp;to="&amp;(AG638+50*14400),"📈 4H"),"")</f>
        <v/>
      </c>
      <c r="AG638" s="36" t="str">
        <f aca="false">IF(C638&lt;&gt;"",INT((C638+IF(D638&lt;&gt;"",D638,0)-DATE(1970,1,1))*86400),"")</f>
        <v/>
      </c>
    </row>
    <row r="639" customFormat="false" ht="19.5" hidden="false" customHeight="true" outlineLevel="0" collapsed="false">
      <c r="A639" s="12" t="n">
        <f aca="false">ROW()-4</f>
        <v>635</v>
      </c>
      <c r="B639" s="13"/>
      <c r="C639" s="14"/>
      <c r="D639" s="15"/>
      <c r="E639" s="14"/>
      <c r="F639" s="15"/>
      <c r="G639" s="16"/>
      <c r="H639" s="17"/>
      <c r="I639" s="18"/>
      <c r="J639" s="19"/>
      <c r="K639" s="14"/>
      <c r="L639" s="17"/>
      <c r="M639" s="19"/>
      <c r="N639" s="20"/>
      <c r="O639" s="19"/>
      <c r="P639" s="21"/>
      <c r="Q639" s="22" t="str">
        <f aca="false">IF(L639="","",IF(M639&lt;&gt;"",M639*L639*100,IF(AND(O639&lt;&gt;"",B639&lt;&gt;""),IFERROR(AVERAGEIF($B$5:$B$1004,B639,$M$5:$M$1004)*L639*100,""),"")))</f>
        <v/>
      </c>
      <c r="R639" s="22" t="str">
        <f aca="false">IF(AND(O639&lt;&gt;"",L639&lt;&gt;""),O639*L639*100,"")</f>
        <v/>
      </c>
      <c r="S639" s="23" t="str">
        <f aca="false">IF(AND(P639&lt;&gt;"",L639&lt;&gt;""),P639*L639*100,"")</f>
        <v/>
      </c>
      <c r="T639" s="24" t="str">
        <f aca="false">IF(AND(Q639&lt;&gt;"",R639&lt;&gt;""),R639-Q639,"")</f>
        <v/>
      </c>
      <c r="U639" s="25" t="str">
        <f aca="false">IF(AND(Q639&lt;&gt;"",Q639&lt;&gt;0,T639&lt;&gt;""),T639/Q639,"")</f>
        <v/>
      </c>
      <c r="V639" s="26" t="str">
        <f aca="false">IF(AND(S639&lt;&gt;"",Q639&lt;&gt;""),S639-Q639,"")</f>
        <v/>
      </c>
      <c r="W639" s="27" t="str">
        <f aca="false">IF(AND(Q639&lt;&gt;"",Q639&lt;&gt;0,V639&lt;&gt;""),V639/Q639,"")</f>
        <v/>
      </c>
      <c r="X639" s="28" t="s">
        <v>37</v>
      </c>
      <c r="Y639" s="29" t="str">
        <f aca="false">IF(AND(O639&lt;&gt;"",M639&lt;&gt;"",O639&gt;M639),CONCATENATE("1 : ",TEXT((O639-M639)/M639,"0.00")),IF(AND(O639&lt;&gt;"",M639&lt;&gt;"",O639&lt;M639),CONCATENATE("-1 : ",TEXT((M639-O639)/M639,"0.00")),"—"))</f>
        <v>—</v>
      </c>
      <c r="Z639" s="30" t="str">
        <f aca="false">IF(AND(P639&lt;&gt;"",M639&lt;&gt;"",P639&gt;M639),CONCATENATE("1 : ",TEXT((P639-M639)/M639,"0.00")),"—")</f>
        <v>—</v>
      </c>
      <c r="AA639" s="31" t="str">
        <f aca="false">IF(AND(C639&lt;&gt;"",E639&lt;&gt;""),E639-C639,"")</f>
        <v/>
      </c>
      <c r="AB639" s="17"/>
      <c r="AC639" s="32"/>
      <c r="AD639" s="33"/>
      <c r="AE639" s="34" t="str">
        <f aca="false">IF(G639&lt;&gt;"",HYPERLINK("https://www.tradingview.com/chart/?symbol="&amp;G639&amp;"&amp;interval=60&amp;from="&amp;(AG639-10*3600)&amp;"&amp;to="&amp;(AG639+50*3600),"📈 1H"),"")</f>
        <v/>
      </c>
      <c r="AF639" s="35" t="str">
        <f aca="false">IF(G639&lt;&gt;"",HYPERLINK("https://www.tradingview.com/chart/?symbol="&amp;G639&amp;"&amp;interval=240&amp;from="&amp;(AG639-10*14400)&amp;"&amp;to="&amp;(AG639+50*14400),"📈 4H"),"")</f>
        <v/>
      </c>
      <c r="AG639" s="36" t="str">
        <f aca="false">IF(C639&lt;&gt;"",INT((C639+IF(D639&lt;&gt;"",D639,0)-DATE(1970,1,1))*86400),"")</f>
        <v/>
      </c>
    </row>
    <row r="640" customFormat="false" ht="19.5" hidden="false" customHeight="true" outlineLevel="0" collapsed="false">
      <c r="A640" s="37" t="n">
        <f aca="false">ROW()-4</f>
        <v>636</v>
      </c>
      <c r="B640" s="38"/>
      <c r="C640" s="39"/>
      <c r="D640" s="40"/>
      <c r="E640" s="39"/>
      <c r="F640" s="40"/>
      <c r="G640" s="41"/>
      <c r="H640" s="42"/>
      <c r="I640" s="43"/>
      <c r="J640" s="44"/>
      <c r="K640" s="39"/>
      <c r="L640" s="42"/>
      <c r="M640" s="44"/>
      <c r="N640" s="45"/>
      <c r="O640" s="44"/>
      <c r="P640" s="46"/>
      <c r="Q640" s="47" t="str">
        <f aca="false">IF(L640="","",IF(M640&lt;&gt;"",M640*L640*100,IF(AND(O640&lt;&gt;"",B640&lt;&gt;""),IFERROR(AVERAGEIF($B$5:$B$1004,B640,$M$5:$M$1004)*L640*100,""),"")))</f>
        <v/>
      </c>
      <c r="R640" s="47" t="str">
        <f aca="false">IF(AND(O640&lt;&gt;"",L640&lt;&gt;""),O640*L640*100,"")</f>
        <v/>
      </c>
      <c r="S640" s="48" t="str">
        <f aca="false">IF(AND(P640&lt;&gt;"",L640&lt;&gt;""),P640*L640*100,"")</f>
        <v/>
      </c>
      <c r="T640" s="49" t="str">
        <f aca="false">IF(AND(Q640&lt;&gt;"",R640&lt;&gt;""),R640-Q640,"")</f>
        <v/>
      </c>
      <c r="U640" s="50" t="str">
        <f aca="false">IF(AND(Q640&lt;&gt;"",Q640&lt;&gt;0,T640&lt;&gt;""),T640/Q640,"")</f>
        <v/>
      </c>
      <c r="V640" s="51" t="str">
        <f aca="false">IF(AND(S640&lt;&gt;"",Q640&lt;&gt;""),S640-Q640,"")</f>
        <v/>
      </c>
      <c r="W640" s="52" t="str">
        <f aca="false">IF(AND(Q640&lt;&gt;"",Q640&lt;&gt;0,V640&lt;&gt;""),V640/Q640,"")</f>
        <v/>
      </c>
      <c r="X640" s="53" t="s">
        <v>37</v>
      </c>
      <c r="Y640" s="54" t="str">
        <f aca="false">IF(AND(O640&lt;&gt;"",M640&lt;&gt;"",O640&gt;M640),CONCATENATE("1 : ",TEXT((O640-M640)/M640,"0.00")),IF(AND(O640&lt;&gt;"",M640&lt;&gt;"",O640&lt;M640),CONCATENATE("-1 : ",TEXT((M640-O640)/M640,"0.00")),"—"))</f>
        <v>—</v>
      </c>
      <c r="Z640" s="55" t="str">
        <f aca="false">IF(AND(P640&lt;&gt;"",M640&lt;&gt;"",P640&gt;M640),CONCATENATE("1 : ",TEXT((P640-M640)/M640,"0.00")),"—")</f>
        <v>—</v>
      </c>
      <c r="AA640" s="56" t="str">
        <f aca="false">IF(AND(C640&lt;&gt;"",E640&lt;&gt;""),E640-C640,"")</f>
        <v/>
      </c>
      <c r="AB640" s="42"/>
      <c r="AC640" s="57"/>
      <c r="AD640" s="58"/>
      <c r="AE640" s="59" t="str">
        <f aca="false">IF(G640&lt;&gt;"",HYPERLINK("https://www.tradingview.com/chart/?symbol="&amp;G640&amp;"&amp;interval=60&amp;from="&amp;(AG640-10*3600)&amp;"&amp;to="&amp;(AG640+50*3600),"📈 1H"),"")</f>
        <v/>
      </c>
      <c r="AF640" s="60" t="str">
        <f aca="false">IF(G640&lt;&gt;"",HYPERLINK("https://www.tradingview.com/chart/?symbol="&amp;G640&amp;"&amp;interval=240&amp;from="&amp;(AG640-10*14400)&amp;"&amp;to="&amp;(AG640+50*14400),"📈 4H"),"")</f>
        <v/>
      </c>
      <c r="AG640" s="36" t="str">
        <f aca="false">IF(C640&lt;&gt;"",INT((C640+IF(D640&lt;&gt;"",D640,0)-DATE(1970,1,1))*86400),"")</f>
        <v/>
      </c>
    </row>
    <row r="641" customFormat="false" ht="19.5" hidden="false" customHeight="true" outlineLevel="0" collapsed="false">
      <c r="A641" s="12" t="n">
        <f aca="false">ROW()-4</f>
        <v>637</v>
      </c>
      <c r="B641" s="13"/>
      <c r="C641" s="14"/>
      <c r="D641" s="15"/>
      <c r="E641" s="14"/>
      <c r="F641" s="15"/>
      <c r="G641" s="16"/>
      <c r="H641" s="17"/>
      <c r="I641" s="18"/>
      <c r="J641" s="19"/>
      <c r="K641" s="14"/>
      <c r="L641" s="17"/>
      <c r="M641" s="19"/>
      <c r="N641" s="20"/>
      <c r="O641" s="19"/>
      <c r="P641" s="21"/>
      <c r="Q641" s="22" t="str">
        <f aca="false">IF(L641="","",IF(M641&lt;&gt;"",M641*L641*100,IF(AND(O641&lt;&gt;"",B641&lt;&gt;""),IFERROR(AVERAGEIF($B$5:$B$1004,B641,$M$5:$M$1004)*L641*100,""),"")))</f>
        <v/>
      </c>
      <c r="R641" s="22" t="str">
        <f aca="false">IF(AND(O641&lt;&gt;"",L641&lt;&gt;""),O641*L641*100,"")</f>
        <v/>
      </c>
      <c r="S641" s="23" t="str">
        <f aca="false">IF(AND(P641&lt;&gt;"",L641&lt;&gt;""),P641*L641*100,"")</f>
        <v/>
      </c>
      <c r="T641" s="24" t="str">
        <f aca="false">IF(AND(Q641&lt;&gt;"",R641&lt;&gt;""),R641-Q641,"")</f>
        <v/>
      </c>
      <c r="U641" s="25" t="str">
        <f aca="false">IF(AND(Q641&lt;&gt;"",Q641&lt;&gt;0,T641&lt;&gt;""),T641/Q641,"")</f>
        <v/>
      </c>
      <c r="V641" s="26" t="str">
        <f aca="false">IF(AND(S641&lt;&gt;"",Q641&lt;&gt;""),S641-Q641,"")</f>
        <v/>
      </c>
      <c r="W641" s="27" t="str">
        <f aca="false">IF(AND(Q641&lt;&gt;"",Q641&lt;&gt;0,V641&lt;&gt;""),V641/Q641,"")</f>
        <v/>
      </c>
      <c r="X641" s="28" t="s">
        <v>37</v>
      </c>
      <c r="Y641" s="29" t="str">
        <f aca="false">IF(AND(O641&lt;&gt;"",M641&lt;&gt;"",O641&gt;M641),CONCATENATE("1 : ",TEXT((O641-M641)/M641,"0.00")),IF(AND(O641&lt;&gt;"",M641&lt;&gt;"",O641&lt;M641),CONCATENATE("-1 : ",TEXT((M641-O641)/M641,"0.00")),"—"))</f>
        <v>—</v>
      </c>
      <c r="Z641" s="30" t="str">
        <f aca="false">IF(AND(P641&lt;&gt;"",M641&lt;&gt;"",P641&gt;M641),CONCATENATE("1 : ",TEXT((P641-M641)/M641,"0.00")),"—")</f>
        <v>—</v>
      </c>
      <c r="AA641" s="31" t="str">
        <f aca="false">IF(AND(C641&lt;&gt;"",E641&lt;&gt;""),E641-C641,"")</f>
        <v/>
      </c>
      <c r="AB641" s="17"/>
      <c r="AC641" s="32"/>
      <c r="AD641" s="33"/>
      <c r="AE641" s="34" t="str">
        <f aca="false">IF(G641&lt;&gt;"",HYPERLINK("https://www.tradingview.com/chart/?symbol="&amp;G641&amp;"&amp;interval=60&amp;from="&amp;(AG641-10*3600)&amp;"&amp;to="&amp;(AG641+50*3600),"📈 1H"),"")</f>
        <v/>
      </c>
      <c r="AF641" s="35" t="str">
        <f aca="false">IF(G641&lt;&gt;"",HYPERLINK("https://www.tradingview.com/chart/?symbol="&amp;G641&amp;"&amp;interval=240&amp;from="&amp;(AG641-10*14400)&amp;"&amp;to="&amp;(AG641+50*14400),"📈 4H"),"")</f>
        <v/>
      </c>
      <c r="AG641" s="36" t="str">
        <f aca="false">IF(C641&lt;&gt;"",INT((C641+IF(D641&lt;&gt;"",D641,0)-DATE(1970,1,1))*86400),"")</f>
        <v/>
      </c>
    </row>
    <row r="642" customFormat="false" ht="19.5" hidden="false" customHeight="true" outlineLevel="0" collapsed="false">
      <c r="A642" s="37" t="n">
        <f aca="false">ROW()-4</f>
        <v>638</v>
      </c>
      <c r="B642" s="38"/>
      <c r="C642" s="39"/>
      <c r="D642" s="40"/>
      <c r="E642" s="39"/>
      <c r="F642" s="40"/>
      <c r="G642" s="41"/>
      <c r="H642" s="42"/>
      <c r="I642" s="43"/>
      <c r="J642" s="44"/>
      <c r="K642" s="39"/>
      <c r="L642" s="42"/>
      <c r="M642" s="44"/>
      <c r="N642" s="45"/>
      <c r="O642" s="44"/>
      <c r="P642" s="46"/>
      <c r="Q642" s="47" t="str">
        <f aca="false">IF(L642="","",IF(M642&lt;&gt;"",M642*L642*100,IF(AND(O642&lt;&gt;"",B642&lt;&gt;""),IFERROR(AVERAGEIF($B$5:$B$1004,B642,$M$5:$M$1004)*L642*100,""),"")))</f>
        <v/>
      </c>
      <c r="R642" s="47" t="str">
        <f aca="false">IF(AND(O642&lt;&gt;"",L642&lt;&gt;""),O642*L642*100,"")</f>
        <v/>
      </c>
      <c r="S642" s="48" t="str">
        <f aca="false">IF(AND(P642&lt;&gt;"",L642&lt;&gt;""),P642*L642*100,"")</f>
        <v/>
      </c>
      <c r="T642" s="49" t="str">
        <f aca="false">IF(AND(Q642&lt;&gt;"",R642&lt;&gt;""),R642-Q642,"")</f>
        <v/>
      </c>
      <c r="U642" s="50" t="str">
        <f aca="false">IF(AND(Q642&lt;&gt;"",Q642&lt;&gt;0,T642&lt;&gt;""),T642/Q642,"")</f>
        <v/>
      </c>
      <c r="V642" s="51" t="str">
        <f aca="false">IF(AND(S642&lt;&gt;"",Q642&lt;&gt;""),S642-Q642,"")</f>
        <v/>
      </c>
      <c r="W642" s="52" t="str">
        <f aca="false">IF(AND(Q642&lt;&gt;"",Q642&lt;&gt;0,V642&lt;&gt;""),V642/Q642,"")</f>
        <v/>
      </c>
      <c r="X642" s="53" t="s">
        <v>37</v>
      </c>
      <c r="Y642" s="54" t="str">
        <f aca="false">IF(AND(O642&lt;&gt;"",M642&lt;&gt;"",O642&gt;M642),CONCATENATE("1 : ",TEXT((O642-M642)/M642,"0.00")),IF(AND(O642&lt;&gt;"",M642&lt;&gt;"",O642&lt;M642),CONCATENATE("-1 : ",TEXT((M642-O642)/M642,"0.00")),"—"))</f>
        <v>—</v>
      </c>
      <c r="Z642" s="55" t="str">
        <f aca="false">IF(AND(P642&lt;&gt;"",M642&lt;&gt;"",P642&gt;M642),CONCATENATE("1 : ",TEXT((P642-M642)/M642,"0.00")),"—")</f>
        <v>—</v>
      </c>
      <c r="AA642" s="56" t="str">
        <f aca="false">IF(AND(C642&lt;&gt;"",E642&lt;&gt;""),E642-C642,"")</f>
        <v/>
      </c>
      <c r="AB642" s="42"/>
      <c r="AC642" s="57"/>
      <c r="AD642" s="58"/>
      <c r="AE642" s="59" t="str">
        <f aca="false">IF(G642&lt;&gt;"",HYPERLINK("https://www.tradingview.com/chart/?symbol="&amp;G642&amp;"&amp;interval=60&amp;from="&amp;(AG642-10*3600)&amp;"&amp;to="&amp;(AG642+50*3600),"📈 1H"),"")</f>
        <v/>
      </c>
      <c r="AF642" s="60" t="str">
        <f aca="false">IF(G642&lt;&gt;"",HYPERLINK("https://www.tradingview.com/chart/?symbol="&amp;G642&amp;"&amp;interval=240&amp;from="&amp;(AG642-10*14400)&amp;"&amp;to="&amp;(AG642+50*14400),"📈 4H"),"")</f>
        <v/>
      </c>
      <c r="AG642" s="36" t="str">
        <f aca="false">IF(C642&lt;&gt;"",INT((C642+IF(D642&lt;&gt;"",D642,0)-DATE(1970,1,1))*86400),"")</f>
        <v/>
      </c>
    </row>
    <row r="643" customFormat="false" ht="19.5" hidden="false" customHeight="true" outlineLevel="0" collapsed="false">
      <c r="A643" s="12" t="n">
        <f aca="false">ROW()-4</f>
        <v>639</v>
      </c>
      <c r="B643" s="13"/>
      <c r="C643" s="14"/>
      <c r="D643" s="15"/>
      <c r="E643" s="14"/>
      <c r="F643" s="15"/>
      <c r="G643" s="16"/>
      <c r="H643" s="17"/>
      <c r="I643" s="18"/>
      <c r="J643" s="19"/>
      <c r="K643" s="14"/>
      <c r="L643" s="17"/>
      <c r="M643" s="19"/>
      <c r="N643" s="20"/>
      <c r="O643" s="19"/>
      <c r="P643" s="21"/>
      <c r="Q643" s="22" t="str">
        <f aca="false">IF(L643="","",IF(M643&lt;&gt;"",M643*L643*100,IF(AND(O643&lt;&gt;"",B643&lt;&gt;""),IFERROR(AVERAGEIF($B$5:$B$1004,B643,$M$5:$M$1004)*L643*100,""),"")))</f>
        <v/>
      </c>
      <c r="R643" s="22" t="str">
        <f aca="false">IF(AND(O643&lt;&gt;"",L643&lt;&gt;""),O643*L643*100,"")</f>
        <v/>
      </c>
      <c r="S643" s="23" t="str">
        <f aca="false">IF(AND(P643&lt;&gt;"",L643&lt;&gt;""),P643*L643*100,"")</f>
        <v/>
      </c>
      <c r="T643" s="24" t="str">
        <f aca="false">IF(AND(Q643&lt;&gt;"",R643&lt;&gt;""),R643-Q643,"")</f>
        <v/>
      </c>
      <c r="U643" s="25" t="str">
        <f aca="false">IF(AND(Q643&lt;&gt;"",Q643&lt;&gt;0,T643&lt;&gt;""),T643/Q643,"")</f>
        <v/>
      </c>
      <c r="V643" s="26" t="str">
        <f aca="false">IF(AND(S643&lt;&gt;"",Q643&lt;&gt;""),S643-Q643,"")</f>
        <v/>
      </c>
      <c r="W643" s="27" t="str">
        <f aca="false">IF(AND(Q643&lt;&gt;"",Q643&lt;&gt;0,V643&lt;&gt;""),V643/Q643,"")</f>
        <v/>
      </c>
      <c r="X643" s="28" t="s">
        <v>37</v>
      </c>
      <c r="Y643" s="29" t="str">
        <f aca="false">IF(AND(O643&lt;&gt;"",M643&lt;&gt;"",O643&gt;M643),CONCATENATE("1 : ",TEXT((O643-M643)/M643,"0.00")),IF(AND(O643&lt;&gt;"",M643&lt;&gt;"",O643&lt;M643),CONCATENATE("-1 : ",TEXT((M643-O643)/M643,"0.00")),"—"))</f>
        <v>—</v>
      </c>
      <c r="Z643" s="30" t="str">
        <f aca="false">IF(AND(P643&lt;&gt;"",M643&lt;&gt;"",P643&gt;M643),CONCATENATE("1 : ",TEXT((P643-M643)/M643,"0.00")),"—")</f>
        <v>—</v>
      </c>
      <c r="AA643" s="31" t="str">
        <f aca="false">IF(AND(C643&lt;&gt;"",E643&lt;&gt;""),E643-C643,"")</f>
        <v/>
      </c>
      <c r="AB643" s="17"/>
      <c r="AC643" s="32"/>
      <c r="AD643" s="33"/>
      <c r="AE643" s="34" t="str">
        <f aca="false">IF(G643&lt;&gt;"",HYPERLINK("https://www.tradingview.com/chart/?symbol="&amp;G643&amp;"&amp;interval=60&amp;from="&amp;(AG643-10*3600)&amp;"&amp;to="&amp;(AG643+50*3600),"📈 1H"),"")</f>
        <v/>
      </c>
      <c r="AF643" s="35" t="str">
        <f aca="false">IF(G643&lt;&gt;"",HYPERLINK("https://www.tradingview.com/chart/?symbol="&amp;G643&amp;"&amp;interval=240&amp;from="&amp;(AG643-10*14400)&amp;"&amp;to="&amp;(AG643+50*14400),"📈 4H"),"")</f>
        <v/>
      </c>
      <c r="AG643" s="36" t="str">
        <f aca="false">IF(C643&lt;&gt;"",INT((C643+IF(D643&lt;&gt;"",D643,0)-DATE(1970,1,1))*86400),"")</f>
        <v/>
      </c>
    </row>
    <row r="644" customFormat="false" ht="19.5" hidden="false" customHeight="true" outlineLevel="0" collapsed="false">
      <c r="A644" s="37" t="n">
        <f aca="false">ROW()-4</f>
        <v>640</v>
      </c>
      <c r="B644" s="38"/>
      <c r="C644" s="39"/>
      <c r="D644" s="40"/>
      <c r="E644" s="39"/>
      <c r="F644" s="40"/>
      <c r="G644" s="41"/>
      <c r="H644" s="42"/>
      <c r="I644" s="43"/>
      <c r="J644" s="44"/>
      <c r="K644" s="39"/>
      <c r="L644" s="42"/>
      <c r="M644" s="44"/>
      <c r="N644" s="45"/>
      <c r="O644" s="44"/>
      <c r="P644" s="46"/>
      <c r="Q644" s="47" t="str">
        <f aca="false">IF(L644="","",IF(M644&lt;&gt;"",M644*L644*100,IF(AND(O644&lt;&gt;"",B644&lt;&gt;""),IFERROR(AVERAGEIF($B$5:$B$1004,B644,$M$5:$M$1004)*L644*100,""),"")))</f>
        <v/>
      </c>
      <c r="R644" s="47" t="str">
        <f aca="false">IF(AND(O644&lt;&gt;"",L644&lt;&gt;""),O644*L644*100,"")</f>
        <v/>
      </c>
      <c r="S644" s="48" t="str">
        <f aca="false">IF(AND(P644&lt;&gt;"",L644&lt;&gt;""),P644*L644*100,"")</f>
        <v/>
      </c>
      <c r="T644" s="49" t="str">
        <f aca="false">IF(AND(Q644&lt;&gt;"",R644&lt;&gt;""),R644-Q644,"")</f>
        <v/>
      </c>
      <c r="U644" s="50" t="str">
        <f aca="false">IF(AND(Q644&lt;&gt;"",Q644&lt;&gt;0,T644&lt;&gt;""),T644/Q644,"")</f>
        <v/>
      </c>
      <c r="V644" s="51" t="str">
        <f aca="false">IF(AND(S644&lt;&gt;"",Q644&lt;&gt;""),S644-Q644,"")</f>
        <v/>
      </c>
      <c r="W644" s="52" t="str">
        <f aca="false">IF(AND(Q644&lt;&gt;"",Q644&lt;&gt;0,V644&lt;&gt;""),V644/Q644,"")</f>
        <v/>
      </c>
      <c r="X644" s="53" t="s">
        <v>37</v>
      </c>
      <c r="Y644" s="54" t="str">
        <f aca="false">IF(AND(O644&lt;&gt;"",M644&lt;&gt;"",O644&gt;M644),CONCATENATE("1 : ",TEXT((O644-M644)/M644,"0.00")),IF(AND(O644&lt;&gt;"",M644&lt;&gt;"",O644&lt;M644),CONCATENATE("-1 : ",TEXT((M644-O644)/M644,"0.00")),"—"))</f>
        <v>—</v>
      </c>
      <c r="Z644" s="55" t="str">
        <f aca="false">IF(AND(P644&lt;&gt;"",M644&lt;&gt;"",P644&gt;M644),CONCATENATE("1 : ",TEXT((P644-M644)/M644,"0.00")),"—")</f>
        <v>—</v>
      </c>
      <c r="AA644" s="56" t="str">
        <f aca="false">IF(AND(C644&lt;&gt;"",E644&lt;&gt;""),E644-C644,"")</f>
        <v/>
      </c>
      <c r="AB644" s="42"/>
      <c r="AC644" s="57"/>
      <c r="AD644" s="58"/>
      <c r="AE644" s="59" t="str">
        <f aca="false">IF(G644&lt;&gt;"",HYPERLINK("https://www.tradingview.com/chart/?symbol="&amp;G644&amp;"&amp;interval=60&amp;from="&amp;(AG644-10*3600)&amp;"&amp;to="&amp;(AG644+50*3600),"📈 1H"),"")</f>
        <v/>
      </c>
      <c r="AF644" s="60" t="str">
        <f aca="false">IF(G644&lt;&gt;"",HYPERLINK("https://www.tradingview.com/chart/?symbol="&amp;G644&amp;"&amp;interval=240&amp;from="&amp;(AG644-10*14400)&amp;"&amp;to="&amp;(AG644+50*14400),"📈 4H"),"")</f>
        <v/>
      </c>
      <c r="AG644" s="36" t="str">
        <f aca="false">IF(C644&lt;&gt;"",INT((C644+IF(D644&lt;&gt;"",D644,0)-DATE(1970,1,1))*86400),"")</f>
        <v/>
      </c>
    </row>
    <row r="645" customFormat="false" ht="19.5" hidden="false" customHeight="true" outlineLevel="0" collapsed="false">
      <c r="A645" s="12" t="n">
        <f aca="false">ROW()-4</f>
        <v>641</v>
      </c>
      <c r="B645" s="13"/>
      <c r="C645" s="14"/>
      <c r="D645" s="15"/>
      <c r="E645" s="14"/>
      <c r="F645" s="15"/>
      <c r="G645" s="16"/>
      <c r="H645" s="17"/>
      <c r="I645" s="18"/>
      <c r="J645" s="19"/>
      <c r="K645" s="14"/>
      <c r="L645" s="17"/>
      <c r="M645" s="19"/>
      <c r="N645" s="20"/>
      <c r="O645" s="19"/>
      <c r="P645" s="21"/>
      <c r="Q645" s="22" t="str">
        <f aca="false">IF(L645="","",IF(M645&lt;&gt;"",M645*L645*100,IF(AND(O645&lt;&gt;"",B645&lt;&gt;""),IFERROR(AVERAGEIF($B$5:$B$1004,B645,$M$5:$M$1004)*L645*100,""),"")))</f>
        <v/>
      </c>
      <c r="R645" s="22" t="str">
        <f aca="false">IF(AND(O645&lt;&gt;"",L645&lt;&gt;""),O645*L645*100,"")</f>
        <v/>
      </c>
      <c r="S645" s="23" t="str">
        <f aca="false">IF(AND(P645&lt;&gt;"",L645&lt;&gt;""),P645*L645*100,"")</f>
        <v/>
      </c>
      <c r="T645" s="24" t="str">
        <f aca="false">IF(AND(Q645&lt;&gt;"",R645&lt;&gt;""),R645-Q645,"")</f>
        <v/>
      </c>
      <c r="U645" s="25" t="str">
        <f aca="false">IF(AND(Q645&lt;&gt;"",Q645&lt;&gt;0,T645&lt;&gt;""),T645/Q645,"")</f>
        <v/>
      </c>
      <c r="V645" s="26" t="str">
        <f aca="false">IF(AND(S645&lt;&gt;"",Q645&lt;&gt;""),S645-Q645,"")</f>
        <v/>
      </c>
      <c r="W645" s="27" t="str">
        <f aca="false">IF(AND(Q645&lt;&gt;"",Q645&lt;&gt;0,V645&lt;&gt;""),V645/Q645,"")</f>
        <v/>
      </c>
      <c r="X645" s="28" t="s">
        <v>37</v>
      </c>
      <c r="Y645" s="29" t="str">
        <f aca="false">IF(AND(O645&lt;&gt;"",M645&lt;&gt;"",O645&gt;M645),CONCATENATE("1 : ",TEXT((O645-M645)/M645,"0.00")),IF(AND(O645&lt;&gt;"",M645&lt;&gt;"",O645&lt;M645),CONCATENATE("-1 : ",TEXT((M645-O645)/M645,"0.00")),"—"))</f>
        <v>—</v>
      </c>
      <c r="Z645" s="30" t="str">
        <f aca="false">IF(AND(P645&lt;&gt;"",M645&lt;&gt;"",P645&gt;M645),CONCATENATE("1 : ",TEXT((P645-M645)/M645,"0.00")),"—")</f>
        <v>—</v>
      </c>
      <c r="AA645" s="31" t="str">
        <f aca="false">IF(AND(C645&lt;&gt;"",E645&lt;&gt;""),E645-C645,"")</f>
        <v/>
      </c>
      <c r="AB645" s="17"/>
      <c r="AC645" s="32"/>
      <c r="AD645" s="33"/>
      <c r="AE645" s="34" t="str">
        <f aca="false">IF(G645&lt;&gt;"",HYPERLINK("https://www.tradingview.com/chart/?symbol="&amp;G645&amp;"&amp;interval=60&amp;from="&amp;(AG645-10*3600)&amp;"&amp;to="&amp;(AG645+50*3600),"📈 1H"),"")</f>
        <v/>
      </c>
      <c r="AF645" s="35" t="str">
        <f aca="false">IF(G645&lt;&gt;"",HYPERLINK("https://www.tradingview.com/chart/?symbol="&amp;G645&amp;"&amp;interval=240&amp;from="&amp;(AG645-10*14400)&amp;"&amp;to="&amp;(AG645+50*14400),"📈 4H"),"")</f>
        <v/>
      </c>
      <c r="AG645" s="36" t="str">
        <f aca="false">IF(C645&lt;&gt;"",INT((C645+IF(D645&lt;&gt;"",D645,0)-DATE(1970,1,1))*86400),"")</f>
        <v/>
      </c>
    </row>
    <row r="646" customFormat="false" ht="19.5" hidden="false" customHeight="true" outlineLevel="0" collapsed="false">
      <c r="A646" s="37" t="n">
        <f aca="false">ROW()-4</f>
        <v>642</v>
      </c>
      <c r="B646" s="38"/>
      <c r="C646" s="39"/>
      <c r="D646" s="40"/>
      <c r="E646" s="39"/>
      <c r="F646" s="40"/>
      <c r="G646" s="41"/>
      <c r="H646" s="42"/>
      <c r="I646" s="43"/>
      <c r="J646" s="44"/>
      <c r="K646" s="39"/>
      <c r="L646" s="42"/>
      <c r="M646" s="44"/>
      <c r="N646" s="45"/>
      <c r="O646" s="44"/>
      <c r="P646" s="46"/>
      <c r="Q646" s="47" t="str">
        <f aca="false">IF(L646="","",IF(M646&lt;&gt;"",M646*L646*100,IF(AND(O646&lt;&gt;"",B646&lt;&gt;""),IFERROR(AVERAGEIF($B$5:$B$1004,B646,$M$5:$M$1004)*L646*100,""),"")))</f>
        <v/>
      </c>
      <c r="R646" s="47" t="str">
        <f aca="false">IF(AND(O646&lt;&gt;"",L646&lt;&gt;""),O646*L646*100,"")</f>
        <v/>
      </c>
      <c r="S646" s="48" t="str">
        <f aca="false">IF(AND(P646&lt;&gt;"",L646&lt;&gt;""),P646*L646*100,"")</f>
        <v/>
      </c>
      <c r="T646" s="49" t="str">
        <f aca="false">IF(AND(Q646&lt;&gt;"",R646&lt;&gt;""),R646-Q646,"")</f>
        <v/>
      </c>
      <c r="U646" s="50" t="str">
        <f aca="false">IF(AND(Q646&lt;&gt;"",Q646&lt;&gt;0,T646&lt;&gt;""),T646/Q646,"")</f>
        <v/>
      </c>
      <c r="V646" s="51" t="str">
        <f aca="false">IF(AND(S646&lt;&gt;"",Q646&lt;&gt;""),S646-Q646,"")</f>
        <v/>
      </c>
      <c r="W646" s="52" t="str">
        <f aca="false">IF(AND(Q646&lt;&gt;"",Q646&lt;&gt;0,V646&lt;&gt;""),V646/Q646,"")</f>
        <v/>
      </c>
      <c r="X646" s="53" t="s">
        <v>37</v>
      </c>
      <c r="Y646" s="54" t="str">
        <f aca="false">IF(AND(O646&lt;&gt;"",M646&lt;&gt;"",O646&gt;M646),CONCATENATE("1 : ",TEXT((O646-M646)/M646,"0.00")),IF(AND(O646&lt;&gt;"",M646&lt;&gt;"",O646&lt;M646),CONCATENATE("-1 : ",TEXT((M646-O646)/M646,"0.00")),"—"))</f>
        <v>—</v>
      </c>
      <c r="Z646" s="55" t="str">
        <f aca="false">IF(AND(P646&lt;&gt;"",M646&lt;&gt;"",P646&gt;M646),CONCATENATE("1 : ",TEXT((P646-M646)/M646,"0.00")),"—")</f>
        <v>—</v>
      </c>
      <c r="AA646" s="56" t="str">
        <f aca="false">IF(AND(C646&lt;&gt;"",E646&lt;&gt;""),E646-C646,"")</f>
        <v/>
      </c>
      <c r="AB646" s="42"/>
      <c r="AC646" s="57"/>
      <c r="AD646" s="58"/>
      <c r="AE646" s="59" t="str">
        <f aca="false">IF(G646&lt;&gt;"",HYPERLINK("https://www.tradingview.com/chart/?symbol="&amp;G646&amp;"&amp;interval=60&amp;from="&amp;(AG646-10*3600)&amp;"&amp;to="&amp;(AG646+50*3600),"📈 1H"),"")</f>
        <v/>
      </c>
      <c r="AF646" s="60" t="str">
        <f aca="false">IF(G646&lt;&gt;"",HYPERLINK("https://www.tradingview.com/chart/?symbol="&amp;G646&amp;"&amp;interval=240&amp;from="&amp;(AG646-10*14400)&amp;"&amp;to="&amp;(AG646+50*14400),"📈 4H"),"")</f>
        <v/>
      </c>
      <c r="AG646" s="36" t="str">
        <f aca="false">IF(C646&lt;&gt;"",INT((C646+IF(D646&lt;&gt;"",D646,0)-DATE(1970,1,1))*86400),"")</f>
        <v/>
      </c>
    </row>
    <row r="647" customFormat="false" ht="19.5" hidden="false" customHeight="true" outlineLevel="0" collapsed="false">
      <c r="A647" s="12" t="n">
        <f aca="false">ROW()-4</f>
        <v>643</v>
      </c>
      <c r="B647" s="13"/>
      <c r="C647" s="14"/>
      <c r="D647" s="15"/>
      <c r="E647" s="14"/>
      <c r="F647" s="15"/>
      <c r="G647" s="16"/>
      <c r="H647" s="17"/>
      <c r="I647" s="18"/>
      <c r="J647" s="19"/>
      <c r="K647" s="14"/>
      <c r="L647" s="17"/>
      <c r="M647" s="19"/>
      <c r="N647" s="20"/>
      <c r="O647" s="19"/>
      <c r="P647" s="21"/>
      <c r="Q647" s="22" t="str">
        <f aca="false">IF(L647="","",IF(M647&lt;&gt;"",M647*L647*100,IF(AND(O647&lt;&gt;"",B647&lt;&gt;""),IFERROR(AVERAGEIF($B$5:$B$1004,B647,$M$5:$M$1004)*L647*100,""),"")))</f>
        <v/>
      </c>
      <c r="R647" s="22" t="str">
        <f aca="false">IF(AND(O647&lt;&gt;"",L647&lt;&gt;""),O647*L647*100,"")</f>
        <v/>
      </c>
      <c r="S647" s="23" t="str">
        <f aca="false">IF(AND(P647&lt;&gt;"",L647&lt;&gt;""),P647*L647*100,"")</f>
        <v/>
      </c>
      <c r="T647" s="24" t="str">
        <f aca="false">IF(AND(Q647&lt;&gt;"",R647&lt;&gt;""),R647-Q647,"")</f>
        <v/>
      </c>
      <c r="U647" s="25" t="str">
        <f aca="false">IF(AND(Q647&lt;&gt;"",Q647&lt;&gt;0,T647&lt;&gt;""),T647/Q647,"")</f>
        <v/>
      </c>
      <c r="V647" s="26" t="str">
        <f aca="false">IF(AND(S647&lt;&gt;"",Q647&lt;&gt;""),S647-Q647,"")</f>
        <v/>
      </c>
      <c r="W647" s="27" t="str">
        <f aca="false">IF(AND(Q647&lt;&gt;"",Q647&lt;&gt;0,V647&lt;&gt;""),V647/Q647,"")</f>
        <v/>
      </c>
      <c r="X647" s="28" t="s">
        <v>37</v>
      </c>
      <c r="Y647" s="29" t="str">
        <f aca="false">IF(AND(O647&lt;&gt;"",M647&lt;&gt;"",O647&gt;M647),CONCATENATE("1 : ",TEXT((O647-M647)/M647,"0.00")),IF(AND(O647&lt;&gt;"",M647&lt;&gt;"",O647&lt;M647),CONCATENATE("-1 : ",TEXT((M647-O647)/M647,"0.00")),"—"))</f>
        <v>—</v>
      </c>
      <c r="Z647" s="30" t="str">
        <f aca="false">IF(AND(P647&lt;&gt;"",M647&lt;&gt;"",P647&gt;M647),CONCATENATE("1 : ",TEXT((P647-M647)/M647,"0.00")),"—")</f>
        <v>—</v>
      </c>
      <c r="AA647" s="31" t="str">
        <f aca="false">IF(AND(C647&lt;&gt;"",E647&lt;&gt;""),E647-C647,"")</f>
        <v/>
      </c>
      <c r="AB647" s="17"/>
      <c r="AC647" s="32"/>
      <c r="AD647" s="33"/>
      <c r="AE647" s="34" t="str">
        <f aca="false">IF(G647&lt;&gt;"",HYPERLINK("https://www.tradingview.com/chart/?symbol="&amp;G647&amp;"&amp;interval=60&amp;from="&amp;(AG647-10*3600)&amp;"&amp;to="&amp;(AG647+50*3600),"📈 1H"),"")</f>
        <v/>
      </c>
      <c r="AF647" s="35" t="str">
        <f aca="false">IF(G647&lt;&gt;"",HYPERLINK("https://www.tradingview.com/chart/?symbol="&amp;G647&amp;"&amp;interval=240&amp;from="&amp;(AG647-10*14400)&amp;"&amp;to="&amp;(AG647+50*14400),"📈 4H"),"")</f>
        <v/>
      </c>
      <c r="AG647" s="36" t="str">
        <f aca="false">IF(C647&lt;&gt;"",INT((C647+IF(D647&lt;&gt;"",D647,0)-DATE(1970,1,1))*86400),"")</f>
        <v/>
      </c>
    </row>
    <row r="648" customFormat="false" ht="19.5" hidden="false" customHeight="true" outlineLevel="0" collapsed="false">
      <c r="A648" s="37" t="n">
        <f aca="false">ROW()-4</f>
        <v>644</v>
      </c>
      <c r="B648" s="38"/>
      <c r="C648" s="39"/>
      <c r="D648" s="40"/>
      <c r="E648" s="39"/>
      <c r="F648" s="40"/>
      <c r="G648" s="41"/>
      <c r="H648" s="42"/>
      <c r="I648" s="43"/>
      <c r="J648" s="44"/>
      <c r="K648" s="39"/>
      <c r="L648" s="42"/>
      <c r="M648" s="44"/>
      <c r="N648" s="45"/>
      <c r="O648" s="44"/>
      <c r="P648" s="46"/>
      <c r="Q648" s="47" t="str">
        <f aca="false">IF(L648="","",IF(M648&lt;&gt;"",M648*L648*100,IF(AND(O648&lt;&gt;"",B648&lt;&gt;""),IFERROR(AVERAGEIF($B$5:$B$1004,B648,$M$5:$M$1004)*L648*100,""),"")))</f>
        <v/>
      </c>
      <c r="R648" s="47" t="str">
        <f aca="false">IF(AND(O648&lt;&gt;"",L648&lt;&gt;""),O648*L648*100,"")</f>
        <v/>
      </c>
      <c r="S648" s="48" t="str">
        <f aca="false">IF(AND(P648&lt;&gt;"",L648&lt;&gt;""),P648*L648*100,"")</f>
        <v/>
      </c>
      <c r="T648" s="49" t="str">
        <f aca="false">IF(AND(Q648&lt;&gt;"",R648&lt;&gt;""),R648-Q648,"")</f>
        <v/>
      </c>
      <c r="U648" s="50" t="str">
        <f aca="false">IF(AND(Q648&lt;&gt;"",Q648&lt;&gt;0,T648&lt;&gt;""),T648/Q648,"")</f>
        <v/>
      </c>
      <c r="V648" s="51" t="str">
        <f aca="false">IF(AND(S648&lt;&gt;"",Q648&lt;&gt;""),S648-Q648,"")</f>
        <v/>
      </c>
      <c r="W648" s="52" t="str">
        <f aca="false">IF(AND(Q648&lt;&gt;"",Q648&lt;&gt;0,V648&lt;&gt;""),V648/Q648,"")</f>
        <v/>
      </c>
      <c r="X648" s="53" t="s">
        <v>37</v>
      </c>
      <c r="Y648" s="54" t="str">
        <f aca="false">IF(AND(O648&lt;&gt;"",M648&lt;&gt;"",O648&gt;M648),CONCATENATE("1 : ",TEXT((O648-M648)/M648,"0.00")),IF(AND(O648&lt;&gt;"",M648&lt;&gt;"",O648&lt;M648),CONCATENATE("-1 : ",TEXT((M648-O648)/M648,"0.00")),"—"))</f>
        <v>—</v>
      </c>
      <c r="Z648" s="55" t="str">
        <f aca="false">IF(AND(P648&lt;&gt;"",M648&lt;&gt;"",P648&gt;M648),CONCATENATE("1 : ",TEXT((P648-M648)/M648,"0.00")),"—")</f>
        <v>—</v>
      </c>
      <c r="AA648" s="56" t="str">
        <f aca="false">IF(AND(C648&lt;&gt;"",E648&lt;&gt;""),E648-C648,"")</f>
        <v/>
      </c>
      <c r="AB648" s="42"/>
      <c r="AC648" s="57"/>
      <c r="AD648" s="58"/>
      <c r="AE648" s="59" t="str">
        <f aca="false">IF(G648&lt;&gt;"",HYPERLINK("https://www.tradingview.com/chart/?symbol="&amp;G648&amp;"&amp;interval=60&amp;from="&amp;(AG648-10*3600)&amp;"&amp;to="&amp;(AG648+50*3600),"📈 1H"),"")</f>
        <v/>
      </c>
      <c r="AF648" s="60" t="str">
        <f aca="false">IF(G648&lt;&gt;"",HYPERLINK("https://www.tradingview.com/chart/?symbol="&amp;G648&amp;"&amp;interval=240&amp;from="&amp;(AG648-10*14400)&amp;"&amp;to="&amp;(AG648+50*14400),"📈 4H"),"")</f>
        <v/>
      </c>
      <c r="AG648" s="36" t="str">
        <f aca="false">IF(C648&lt;&gt;"",INT((C648+IF(D648&lt;&gt;"",D648,0)-DATE(1970,1,1))*86400),"")</f>
        <v/>
      </c>
    </row>
    <row r="649" customFormat="false" ht="19.5" hidden="false" customHeight="true" outlineLevel="0" collapsed="false">
      <c r="A649" s="12" t="n">
        <f aca="false">ROW()-4</f>
        <v>645</v>
      </c>
      <c r="B649" s="13"/>
      <c r="C649" s="14"/>
      <c r="D649" s="15"/>
      <c r="E649" s="14"/>
      <c r="F649" s="15"/>
      <c r="G649" s="16"/>
      <c r="H649" s="17"/>
      <c r="I649" s="18"/>
      <c r="J649" s="19"/>
      <c r="K649" s="14"/>
      <c r="L649" s="17"/>
      <c r="M649" s="19"/>
      <c r="N649" s="20"/>
      <c r="O649" s="19"/>
      <c r="P649" s="21"/>
      <c r="Q649" s="22" t="str">
        <f aca="false">IF(L649="","",IF(M649&lt;&gt;"",M649*L649*100,IF(AND(O649&lt;&gt;"",B649&lt;&gt;""),IFERROR(AVERAGEIF($B$5:$B$1004,B649,$M$5:$M$1004)*L649*100,""),"")))</f>
        <v/>
      </c>
      <c r="R649" s="22" t="str">
        <f aca="false">IF(AND(O649&lt;&gt;"",L649&lt;&gt;""),O649*L649*100,"")</f>
        <v/>
      </c>
      <c r="S649" s="23" t="str">
        <f aca="false">IF(AND(P649&lt;&gt;"",L649&lt;&gt;""),P649*L649*100,"")</f>
        <v/>
      </c>
      <c r="T649" s="24" t="str">
        <f aca="false">IF(AND(Q649&lt;&gt;"",R649&lt;&gt;""),R649-Q649,"")</f>
        <v/>
      </c>
      <c r="U649" s="25" t="str">
        <f aca="false">IF(AND(Q649&lt;&gt;"",Q649&lt;&gt;0,T649&lt;&gt;""),T649/Q649,"")</f>
        <v/>
      </c>
      <c r="V649" s="26" t="str">
        <f aca="false">IF(AND(S649&lt;&gt;"",Q649&lt;&gt;""),S649-Q649,"")</f>
        <v/>
      </c>
      <c r="W649" s="27" t="str">
        <f aca="false">IF(AND(Q649&lt;&gt;"",Q649&lt;&gt;0,V649&lt;&gt;""),V649/Q649,"")</f>
        <v/>
      </c>
      <c r="X649" s="28" t="s">
        <v>37</v>
      </c>
      <c r="Y649" s="29" t="str">
        <f aca="false">IF(AND(O649&lt;&gt;"",M649&lt;&gt;"",O649&gt;M649),CONCATENATE("1 : ",TEXT((O649-M649)/M649,"0.00")),IF(AND(O649&lt;&gt;"",M649&lt;&gt;"",O649&lt;M649),CONCATENATE("-1 : ",TEXT((M649-O649)/M649,"0.00")),"—"))</f>
        <v>—</v>
      </c>
      <c r="Z649" s="30" t="str">
        <f aca="false">IF(AND(P649&lt;&gt;"",M649&lt;&gt;"",P649&gt;M649),CONCATENATE("1 : ",TEXT((P649-M649)/M649,"0.00")),"—")</f>
        <v>—</v>
      </c>
      <c r="AA649" s="31" t="str">
        <f aca="false">IF(AND(C649&lt;&gt;"",E649&lt;&gt;""),E649-C649,"")</f>
        <v/>
      </c>
      <c r="AB649" s="17"/>
      <c r="AC649" s="32"/>
      <c r="AD649" s="33"/>
      <c r="AE649" s="34" t="str">
        <f aca="false">IF(G649&lt;&gt;"",HYPERLINK("https://www.tradingview.com/chart/?symbol="&amp;G649&amp;"&amp;interval=60&amp;from="&amp;(AG649-10*3600)&amp;"&amp;to="&amp;(AG649+50*3600),"📈 1H"),"")</f>
        <v/>
      </c>
      <c r="AF649" s="35" t="str">
        <f aca="false">IF(G649&lt;&gt;"",HYPERLINK("https://www.tradingview.com/chart/?symbol="&amp;G649&amp;"&amp;interval=240&amp;from="&amp;(AG649-10*14400)&amp;"&amp;to="&amp;(AG649+50*14400),"📈 4H"),"")</f>
        <v/>
      </c>
      <c r="AG649" s="36" t="str">
        <f aca="false">IF(C649&lt;&gt;"",INT((C649+IF(D649&lt;&gt;"",D649,0)-DATE(1970,1,1))*86400),"")</f>
        <v/>
      </c>
    </row>
    <row r="650" customFormat="false" ht="19.5" hidden="false" customHeight="true" outlineLevel="0" collapsed="false">
      <c r="A650" s="37" t="n">
        <f aca="false">ROW()-4</f>
        <v>646</v>
      </c>
      <c r="B650" s="38"/>
      <c r="C650" s="39"/>
      <c r="D650" s="40"/>
      <c r="E650" s="39"/>
      <c r="F650" s="40"/>
      <c r="G650" s="41"/>
      <c r="H650" s="42"/>
      <c r="I650" s="43"/>
      <c r="J650" s="44"/>
      <c r="K650" s="39"/>
      <c r="L650" s="42"/>
      <c r="M650" s="44"/>
      <c r="N650" s="45"/>
      <c r="O650" s="44"/>
      <c r="P650" s="46"/>
      <c r="Q650" s="47" t="str">
        <f aca="false">IF(L650="","",IF(M650&lt;&gt;"",M650*L650*100,IF(AND(O650&lt;&gt;"",B650&lt;&gt;""),IFERROR(AVERAGEIF($B$5:$B$1004,B650,$M$5:$M$1004)*L650*100,""),"")))</f>
        <v/>
      </c>
      <c r="R650" s="47" t="str">
        <f aca="false">IF(AND(O650&lt;&gt;"",L650&lt;&gt;""),O650*L650*100,"")</f>
        <v/>
      </c>
      <c r="S650" s="48" t="str">
        <f aca="false">IF(AND(P650&lt;&gt;"",L650&lt;&gt;""),P650*L650*100,"")</f>
        <v/>
      </c>
      <c r="T650" s="49" t="str">
        <f aca="false">IF(AND(Q650&lt;&gt;"",R650&lt;&gt;""),R650-Q650,"")</f>
        <v/>
      </c>
      <c r="U650" s="50" t="str">
        <f aca="false">IF(AND(Q650&lt;&gt;"",Q650&lt;&gt;0,T650&lt;&gt;""),T650/Q650,"")</f>
        <v/>
      </c>
      <c r="V650" s="51" t="str">
        <f aca="false">IF(AND(S650&lt;&gt;"",Q650&lt;&gt;""),S650-Q650,"")</f>
        <v/>
      </c>
      <c r="W650" s="52" t="str">
        <f aca="false">IF(AND(Q650&lt;&gt;"",Q650&lt;&gt;0,V650&lt;&gt;""),V650/Q650,"")</f>
        <v/>
      </c>
      <c r="X650" s="53" t="s">
        <v>37</v>
      </c>
      <c r="Y650" s="54" t="str">
        <f aca="false">IF(AND(O650&lt;&gt;"",M650&lt;&gt;"",O650&gt;M650),CONCATENATE("1 : ",TEXT((O650-M650)/M650,"0.00")),IF(AND(O650&lt;&gt;"",M650&lt;&gt;"",O650&lt;M650),CONCATENATE("-1 : ",TEXT((M650-O650)/M650,"0.00")),"—"))</f>
        <v>—</v>
      </c>
      <c r="Z650" s="55" t="str">
        <f aca="false">IF(AND(P650&lt;&gt;"",M650&lt;&gt;"",P650&gt;M650),CONCATENATE("1 : ",TEXT((P650-M650)/M650,"0.00")),"—")</f>
        <v>—</v>
      </c>
      <c r="AA650" s="56" t="str">
        <f aca="false">IF(AND(C650&lt;&gt;"",E650&lt;&gt;""),E650-C650,"")</f>
        <v/>
      </c>
      <c r="AB650" s="42"/>
      <c r="AC650" s="57"/>
      <c r="AD650" s="58"/>
      <c r="AE650" s="59" t="str">
        <f aca="false">IF(G650&lt;&gt;"",HYPERLINK("https://www.tradingview.com/chart/?symbol="&amp;G650&amp;"&amp;interval=60&amp;from="&amp;(AG650-10*3600)&amp;"&amp;to="&amp;(AG650+50*3600),"📈 1H"),"")</f>
        <v/>
      </c>
      <c r="AF650" s="60" t="str">
        <f aca="false">IF(G650&lt;&gt;"",HYPERLINK("https://www.tradingview.com/chart/?symbol="&amp;G650&amp;"&amp;interval=240&amp;from="&amp;(AG650-10*14400)&amp;"&amp;to="&amp;(AG650+50*14400),"📈 4H"),"")</f>
        <v/>
      </c>
      <c r="AG650" s="36" t="str">
        <f aca="false">IF(C650&lt;&gt;"",INT((C650+IF(D650&lt;&gt;"",D650,0)-DATE(1970,1,1))*86400),"")</f>
        <v/>
      </c>
    </row>
    <row r="651" customFormat="false" ht="19.5" hidden="false" customHeight="true" outlineLevel="0" collapsed="false">
      <c r="A651" s="12" t="n">
        <f aca="false">ROW()-4</f>
        <v>647</v>
      </c>
      <c r="B651" s="13"/>
      <c r="C651" s="14"/>
      <c r="D651" s="15"/>
      <c r="E651" s="14"/>
      <c r="F651" s="15"/>
      <c r="G651" s="16"/>
      <c r="H651" s="17"/>
      <c r="I651" s="18"/>
      <c r="J651" s="19"/>
      <c r="K651" s="14"/>
      <c r="L651" s="17"/>
      <c r="M651" s="19"/>
      <c r="N651" s="20"/>
      <c r="O651" s="19"/>
      <c r="P651" s="21"/>
      <c r="Q651" s="22" t="str">
        <f aca="false">IF(L651="","",IF(M651&lt;&gt;"",M651*L651*100,IF(AND(O651&lt;&gt;"",B651&lt;&gt;""),IFERROR(AVERAGEIF($B$5:$B$1004,B651,$M$5:$M$1004)*L651*100,""),"")))</f>
        <v/>
      </c>
      <c r="R651" s="22" t="str">
        <f aca="false">IF(AND(O651&lt;&gt;"",L651&lt;&gt;""),O651*L651*100,"")</f>
        <v/>
      </c>
      <c r="S651" s="23" t="str">
        <f aca="false">IF(AND(P651&lt;&gt;"",L651&lt;&gt;""),P651*L651*100,"")</f>
        <v/>
      </c>
      <c r="T651" s="24" t="str">
        <f aca="false">IF(AND(Q651&lt;&gt;"",R651&lt;&gt;""),R651-Q651,"")</f>
        <v/>
      </c>
      <c r="U651" s="25" t="str">
        <f aca="false">IF(AND(Q651&lt;&gt;"",Q651&lt;&gt;0,T651&lt;&gt;""),T651/Q651,"")</f>
        <v/>
      </c>
      <c r="V651" s="26" t="str">
        <f aca="false">IF(AND(S651&lt;&gt;"",Q651&lt;&gt;""),S651-Q651,"")</f>
        <v/>
      </c>
      <c r="W651" s="27" t="str">
        <f aca="false">IF(AND(Q651&lt;&gt;"",Q651&lt;&gt;0,V651&lt;&gt;""),V651/Q651,"")</f>
        <v/>
      </c>
      <c r="X651" s="28" t="s">
        <v>37</v>
      </c>
      <c r="Y651" s="29" t="str">
        <f aca="false">IF(AND(O651&lt;&gt;"",M651&lt;&gt;"",O651&gt;M651),CONCATENATE("1 : ",TEXT((O651-M651)/M651,"0.00")),IF(AND(O651&lt;&gt;"",M651&lt;&gt;"",O651&lt;M651),CONCATENATE("-1 : ",TEXT((M651-O651)/M651,"0.00")),"—"))</f>
        <v>—</v>
      </c>
      <c r="Z651" s="30" t="str">
        <f aca="false">IF(AND(P651&lt;&gt;"",M651&lt;&gt;"",P651&gt;M651),CONCATENATE("1 : ",TEXT((P651-M651)/M651,"0.00")),"—")</f>
        <v>—</v>
      </c>
      <c r="AA651" s="31" t="str">
        <f aca="false">IF(AND(C651&lt;&gt;"",E651&lt;&gt;""),E651-C651,"")</f>
        <v/>
      </c>
      <c r="AB651" s="17"/>
      <c r="AC651" s="32"/>
      <c r="AD651" s="33"/>
      <c r="AE651" s="34" t="str">
        <f aca="false">IF(G651&lt;&gt;"",HYPERLINK("https://www.tradingview.com/chart/?symbol="&amp;G651&amp;"&amp;interval=60&amp;from="&amp;(AG651-10*3600)&amp;"&amp;to="&amp;(AG651+50*3600),"📈 1H"),"")</f>
        <v/>
      </c>
      <c r="AF651" s="35" t="str">
        <f aca="false">IF(G651&lt;&gt;"",HYPERLINK("https://www.tradingview.com/chart/?symbol="&amp;G651&amp;"&amp;interval=240&amp;from="&amp;(AG651-10*14400)&amp;"&amp;to="&amp;(AG651+50*14400),"📈 4H"),"")</f>
        <v/>
      </c>
      <c r="AG651" s="36" t="str">
        <f aca="false">IF(C651&lt;&gt;"",INT((C651+IF(D651&lt;&gt;"",D651,0)-DATE(1970,1,1))*86400),"")</f>
        <v/>
      </c>
    </row>
    <row r="652" customFormat="false" ht="19.5" hidden="false" customHeight="true" outlineLevel="0" collapsed="false">
      <c r="A652" s="37" t="n">
        <f aca="false">ROW()-4</f>
        <v>648</v>
      </c>
      <c r="B652" s="38"/>
      <c r="C652" s="39"/>
      <c r="D652" s="40"/>
      <c r="E652" s="39"/>
      <c r="F652" s="40"/>
      <c r="G652" s="41"/>
      <c r="H652" s="42"/>
      <c r="I652" s="43"/>
      <c r="J652" s="44"/>
      <c r="K652" s="39"/>
      <c r="L652" s="42"/>
      <c r="M652" s="44"/>
      <c r="N652" s="45"/>
      <c r="O652" s="44"/>
      <c r="P652" s="46"/>
      <c r="Q652" s="47" t="str">
        <f aca="false">IF(L652="","",IF(M652&lt;&gt;"",M652*L652*100,IF(AND(O652&lt;&gt;"",B652&lt;&gt;""),IFERROR(AVERAGEIF($B$5:$B$1004,B652,$M$5:$M$1004)*L652*100,""),"")))</f>
        <v/>
      </c>
      <c r="R652" s="47" t="str">
        <f aca="false">IF(AND(O652&lt;&gt;"",L652&lt;&gt;""),O652*L652*100,"")</f>
        <v/>
      </c>
      <c r="S652" s="48" t="str">
        <f aca="false">IF(AND(P652&lt;&gt;"",L652&lt;&gt;""),P652*L652*100,"")</f>
        <v/>
      </c>
      <c r="T652" s="49" t="str">
        <f aca="false">IF(AND(Q652&lt;&gt;"",R652&lt;&gt;""),R652-Q652,"")</f>
        <v/>
      </c>
      <c r="U652" s="50" t="str">
        <f aca="false">IF(AND(Q652&lt;&gt;"",Q652&lt;&gt;0,T652&lt;&gt;""),T652/Q652,"")</f>
        <v/>
      </c>
      <c r="V652" s="51" t="str">
        <f aca="false">IF(AND(S652&lt;&gt;"",Q652&lt;&gt;""),S652-Q652,"")</f>
        <v/>
      </c>
      <c r="W652" s="52" t="str">
        <f aca="false">IF(AND(Q652&lt;&gt;"",Q652&lt;&gt;0,V652&lt;&gt;""),V652/Q652,"")</f>
        <v/>
      </c>
      <c r="X652" s="53" t="s">
        <v>37</v>
      </c>
      <c r="Y652" s="54" t="str">
        <f aca="false">IF(AND(O652&lt;&gt;"",M652&lt;&gt;"",O652&gt;M652),CONCATENATE("1 : ",TEXT((O652-M652)/M652,"0.00")),IF(AND(O652&lt;&gt;"",M652&lt;&gt;"",O652&lt;M652),CONCATENATE("-1 : ",TEXT((M652-O652)/M652,"0.00")),"—"))</f>
        <v>—</v>
      </c>
      <c r="Z652" s="55" t="str">
        <f aca="false">IF(AND(P652&lt;&gt;"",M652&lt;&gt;"",P652&gt;M652),CONCATENATE("1 : ",TEXT((P652-M652)/M652,"0.00")),"—")</f>
        <v>—</v>
      </c>
      <c r="AA652" s="56" t="str">
        <f aca="false">IF(AND(C652&lt;&gt;"",E652&lt;&gt;""),E652-C652,"")</f>
        <v/>
      </c>
      <c r="AB652" s="42"/>
      <c r="AC652" s="57"/>
      <c r="AD652" s="58"/>
      <c r="AE652" s="59" t="str">
        <f aca="false">IF(G652&lt;&gt;"",HYPERLINK("https://www.tradingview.com/chart/?symbol="&amp;G652&amp;"&amp;interval=60&amp;from="&amp;(AG652-10*3600)&amp;"&amp;to="&amp;(AG652+50*3600),"📈 1H"),"")</f>
        <v/>
      </c>
      <c r="AF652" s="60" t="str">
        <f aca="false">IF(G652&lt;&gt;"",HYPERLINK("https://www.tradingview.com/chart/?symbol="&amp;G652&amp;"&amp;interval=240&amp;from="&amp;(AG652-10*14400)&amp;"&amp;to="&amp;(AG652+50*14400),"📈 4H"),"")</f>
        <v/>
      </c>
      <c r="AG652" s="36" t="str">
        <f aca="false">IF(C652&lt;&gt;"",INT((C652+IF(D652&lt;&gt;"",D652,0)-DATE(1970,1,1))*86400),"")</f>
        <v/>
      </c>
    </row>
    <row r="653" customFormat="false" ht="19.5" hidden="false" customHeight="true" outlineLevel="0" collapsed="false">
      <c r="A653" s="12" t="n">
        <f aca="false">ROW()-4</f>
        <v>649</v>
      </c>
      <c r="B653" s="13"/>
      <c r="C653" s="14"/>
      <c r="D653" s="15"/>
      <c r="E653" s="14"/>
      <c r="F653" s="15"/>
      <c r="G653" s="16"/>
      <c r="H653" s="17"/>
      <c r="I653" s="18"/>
      <c r="J653" s="19"/>
      <c r="K653" s="14"/>
      <c r="L653" s="17"/>
      <c r="M653" s="19"/>
      <c r="N653" s="20"/>
      <c r="O653" s="19"/>
      <c r="P653" s="21"/>
      <c r="Q653" s="22" t="str">
        <f aca="false">IF(L653="","",IF(M653&lt;&gt;"",M653*L653*100,IF(AND(O653&lt;&gt;"",B653&lt;&gt;""),IFERROR(AVERAGEIF($B$5:$B$1004,B653,$M$5:$M$1004)*L653*100,""),"")))</f>
        <v/>
      </c>
      <c r="R653" s="22" t="str">
        <f aca="false">IF(AND(O653&lt;&gt;"",L653&lt;&gt;""),O653*L653*100,"")</f>
        <v/>
      </c>
      <c r="S653" s="23" t="str">
        <f aca="false">IF(AND(P653&lt;&gt;"",L653&lt;&gt;""),P653*L653*100,"")</f>
        <v/>
      </c>
      <c r="T653" s="24" t="str">
        <f aca="false">IF(AND(Q653&lt;&gt;"",R653&lt;&gt;""),R653-Q653,"")</f>
        <v/>
      </c>
      <c r="U653" s="25" t="str">
        <f aca="false">IF(AND(Q653&lt;&gt;"",Q653&lt;&gt;0,T653&lt;&gt;""),T653/Q653,"")</f>
        <v/>
      </c>
      <c r="V653" s="26" t="str">
        <f aca="false">IF(AND(S653&lt;&gt;"",Q653&lt;&gt;""),S653-Q653,"")</f>
        <v/>
      </c>
      <c r="W653" s="27" t="str">
        <f aca="false">IF(AND(Q653&lt;&gt;"",Q653&lt;&gt;0,V653&lt;&gt;""),V653/Q653,"")</f>
        <v/>
      </c>
      <c r="X653" s="28" t="s">
        <v>37</v>
      </c>
      <c r="Y653" s="29" t="str">
        <f aca="false">IF(AND(O653&lt;&gt;"",M653&lt;&gt;"",O653&gt;M653),CONCATENATE("1 : ",TEXT((O653-M653)/M653,"0.00")),IF(AND(O653&lt;&gt;"",M653&lt;&gt;"",O653&lt;M653),CONCATENATE("-1 : ",TEXT((M653-O653)/M653,"0.00")),"—"))</f>
        <v>—</v>
      </c>
      <c r="Z653" s="30" t="str">
        <f aca="false">IF(AND(P653&lt;&gt;"",M653&lt;&gt;"",P653&gt;M653),CONCATENATE("1 : ",TEXT((P653-M653)/M653,"0.00")),"—")</f>
        <v>—</v>
      </c>
      <c r="AA653" s="31" t="str">
        <f aca="false">IF(AND(C653&lt;&gt;"",E653&lt;&gt;""),E653-C653,"")</f>
        <v/>
      </c>
      <c r="AB653" s="17"/>
      <c r="AC653" s="32"/>
      <c r="AD653" s="33"/>
      <c r="AE653" s="34" t="str">
        <f aca="false">IF(G653&lt;&gt;"",HYPERLINK("https://www.tradingview.com/chart/?symbol="&amp;G653&amp;"&amp;interval=60&amp;from="&amp;(AG653-10*3600)&amp;"&amp;to="&amp;(AG653+50*3600),"📈 1H"),"")</f>
        <v/>
      </c>
      <c r="AF653" s="35" t="str">
        <f aca="false">IF(G653&lt;&gt;"",HYPERLINK("https://www.tradingview.com/chart/?symbol="&amp;G653&amp;"&amp;interval=240&amp;from="&amp;(AG653-10*14400)&amp;"&amp;to="&amp;(AG653+50*14400),"📈 4H"),"")</f>
        <v/>
      </c>
      <c r="AG653" s="36" t="str">
        <f aca="false">IF(C653&lt;&gt;"",INT((C653+IF(D653&lt;&gt;"",D653,0)-DATE(1970,1,1))*86400),"")</f>
        <v/>
      </c>
    </row>
    <row r="654" customFormat="false" ht="19.5" hidden="false" customHeight="true" outlineLevel="0" collapsed="false">
      <c r="A654" s="37" t="n">
        <f aca="false">ROW()-4</f>
        <v>650</v>
      </c>
      <c r="B654" s="38"/>
      <c r="C654" s="39"/>
      <c r="D654" s="40"/>
      <c r="E654" s="39"/>
      <c r="F654" s="40"/>
      <c r="G654" s="41"/>
      <c r="H654" s="42"/>
      <c r="I654" s="43"/>
      <c r="J654" s="44"/>
      <c r="K654" s="39"/>
      <c r="L654" s="42"/>
      <c r="M654" s="44"/>
      <c r="N654" s="45"/>
      <c r="O654" s="44"/>
      <c r="P654" s="46"/>
      <c r="Q654" s="47" t="str">
        <f aca="false">IF(L654="","",IF(M654&lt;&gt;"",M654*L654*100,IF(AND(O654&lt;&gt;"",B654&lt;&gt;""),IFERROR(AVERAGEIF($B$5:$B$1004,B654,$M$5:$M$1004)*L654*100,""),"")))</f>
        <v/>
      </c>
      <c r="R654" s="47" t="str">
        <f aca="false">IF(AND(O654&lt;&gt;"",L654&lt;&gt;""),O654*L654*100,"")</f>
        <v/>
      </c>
      <c r="S654" s="48" t="str">
        <f aca="false">IF(AND(P654&lt;&gt;"",L654&lt;&gt;""),P654*L654*100,"")</f>
        <v/>
      </c>
      <c r="T654" s="49" t="str">
        <f aca="false">IF(AND(Q654&lt;&gt;"",R654&lt;&gt;""),R654-Q654,"")</f>
        <v/>
      </c>
      <c r="U654" s="50" t="str">
        <f aca="false">IF(AND(Q654&lt;&gt;"",Q654&lt;&gt;0,T654&lt;&gt;""),T654/Q654,"")</f>
        <v/>
      </c>
      <c r="V654" s="51" t="str">
        <f aca="false">IF(AND(S654&lt;&gt;"",Q654&lt;&gt;""),S654-Q654,"")</f>
        <v/>
      </c>
      <c r="W654" s="52" t="str">
        <f aca="false">IF(AND(Q654&lt;&gt;"",Q654&lt;&gt;0,V654&lt;&gt;""),V654/Q654,"")</f>
        <v/>
      </c>
      <c r="X654" s="53" t="s">
        <v>37</v>
      </c>
      <c r="Y654" s="54" t="str">
        <f aca="false">IF(AND(O654&lt;&gt;"",M654&lt;&gt;"",O654&gt;M654),CONCATENATE("1 : ",TEXT((O654-M654)/M654,"0.00")),IF(AND(O654&lt;&gt;"",M654&lt;&gt;"",O654&lt;M654),CONCATENATE("-1 : ",TEXT((M654-O654)/M654,"0.00")),"—"))</f>
        <v>—</v>
      </c>
      <c r="Z654" s="55" t="str">
        <f aca="false">IF(AND(P654&lt;&gt;"",M654&lt;&gt;"",P654&gt;M654),CONCATENATE("1 : ",TEXT((P654-M654)/M654,"0.00")),"—")</f>
        <v>—</v>
      </c>
      <c r="AA654" s="56" t="str">
        <f aca="false">IF(AND(C654&lt;&gt;"",E654&lt;&gt;""),E654-C654,"")</f>
        <v/>
      </c>
      <c r="AB654" s="42"/>
      <c r="AC654" s="57"/>
      <c r="AD654" s="58"/>
      <c r="AE654" s="59" t="str">
        <f aca="false">IF(G654&lt;&gt;"",HYPERLINK("https://www.tradingview.com/chart/?symbol="&amp;G654&amp;"&amp;interval=60&amp;from="&amp;(AG654-10*3600)&amp;"&amp;to="&amp;(AG654+50*3600),"📈 1H"),"")</f>
        <v/>
      </c>
      <c r="AF654" s="60" t="str">
        <f aca="false">IF(G654&lt;&gt;"",HYPERLINK("https://www.tradingview.com/chart/?symbol="&amp;G654&amp;"&amp;interval=240&amp;from="&amp;(AG654-10*14400)&amp;"&amp;to="&amp;(AG654+50*14400),"📈 4H"),"")</f>
        <v/>
      </c>
      <c r="AG654" s="36" t="str">
        <f aca="false">IF(C654&lt;&gt;"",INT((C654+IF(D654&lt;&gt;"",D654,0)-DATE(1970,1,1))*86400),"")</f>
        <v/>
      </c>
    </row>
    <row r="655" customFormat="false" ht="19.5" hidden="false" customHeight="true" outlineLevel="0" collapsed="false">
      <c r="A655" s="12" t="n">
        <f aca="false">ROW()-4</f>
        <v>651</v>
      </c>
      <c r="B655" s="13"/>
      <c r="C655" s="14"/>
      <c r="D655" s="15"/>
      <c r="E655" s="14"/>
      <c r="F655" s="15"/>
      <c r="G655" s="16"/>
      <c r="H655" s="17"/>
      <c r="I655" s="18"/>
      <c r="J655" s="19"/>
      <c r="K655" s="14"/>
      <c r="L655" s="17"/>
      <c r="M655" s="19"/>
      <c r="N655" s="20"/>
      <c r="O655" s="19"/>
      <c r="P655" s="21"/>
      <c r="Q655" s="22" t="str">
        <f aca="false">IF(L655="","",IF(M655&lt;&gt;"",M655*L655*100,IF(AND(O655&lt;&gt;"",B655&lt;&gt;""),IFERROR(AVERAGEIF($B$5:$B$1004,B655,$M$5:$M$1004)*L655*100,""),"")))</f>
        <v/>
      </c>
      <c r="R655" s="22" t="str">
        <f aca="false">IF(AND(O655&lt;&gt;"",L655&lt;&gt;""),O655*L655*100,"")</f>
        <v/>
      </c>
      <c r="S655" s="23" t="str">
        <f aca="false">IF(AND(P655&lt;&gt;"",L655&lt;&gt;""),P655*L655*100,"")</f>
        <v/>
      </c>
      <c r="T655" s="24" t="str">
        <f aca="false">IF(AND(Q655&lt;&gt;"",R655&lt;&gt;""),R655-Q655,"")</f>
        <v/>
      </c>
      <c r="U655" s="25" t="str">
        <f aca="false">IF(AND(Q655&lt;&gt;"",Q655&lt;&gt;0,T655&lt;&gt;""),T655/Q655,"")</f>
        <v/>
      </c>
      <c r="V655" s="26" t="str">
        <f aca="false">IF(AND(S655&lt;&gt;"",Q655&lt;&gt;""),S655-Q655,"")</f>
        <v/>
      </c>
      <c r="W655" s="27" t="str">
        <f aca="false">IF(AND(Q655&lt;&gt;"",Q655&lt;&gt;0,V655&lt;&gt;""),V655/Q655,"")</f>
        <v/>
      </c>
      <c r="X655" s="28" t="s">
        <v>37</v>
      </c>
      <c r="Y655" s="29" t="str">
        <f aca="false">IF(AND(O655&lt;&gt;"",M655&lt;&gt;"",O655&gt;M655),CONCATENATE("1 : ",TEXT((O655-M655)/M655,"0.00")),IF(AND(O655&lt;&gt;"",M655&lt;&gt;"",O655&lt;M655),CONCATENATE("-1 : ",TEXT((M655-O655)/M655,"0.00")),"—"))</f>
        <v>—</v>
      </c>
      <c r="Z655" s="30" t="str">
        <f aca="false">IF(AND(P655&lt;&gt;"",M655&lt;&gt;"",P655&gt;M655),CONCATENATE("1 : ",TEXT((P655-M655)/M655,"0.00")),"—")</f>
        <v>—</v>
      </c>
      <c r="AA655" s="31" t="str">
        <f aca="false">IF(AND(C655&lt;&gt;"",E655&lt;&gt;""),E655-C655,"")</f>
        <v/>
      </c>
      <c r="AB655" s="17"/>
      <c r="AC655" s="32"/>
      <c r="AD655" s="33"/>
      <c r="AE655" s="34" t="str">
        <f aca="false">IF(G655&lt;&gt;"",HYPERLINK("https://www.tradingview.com/chart/?symbol="&amp;G655&amp;"&amp;interval=60&amp;from="&amp;(AG655-10*3600)&amp;"&amp;to="&amp;(AG655+50*3600),"📈 1H"),"")</f>
        <v/>
      </c>
      <c r="AF655" s="35" t="str">
        <f aca="false">IF(G655&lt;&gt;"",HYPERLINK("https://www.tradingview.com/chart/?symbol="&amp;G655&amp;"&amp;interval=240&amp;from="&amp;(AG655-10*14400)&amp;"&amp;to="&amp;(AG655+50*14400),"📈 4H"),"")</f>
        <v/>
      </c>
      <c r="AG655" s="36" t="str">
        <f aca="false">IF(C655&lt;&gt;"",INT((C655+IF(D655&lt;&gt;"",D655,0)-DATE(1970,1,1))*86400),"")</f>
        <v/>
      </c>
    </row>
    <row r="656" customFormat="false" ht="19.5" hidden="false" customHeight="true" outlineLevel="0" collapsed="false">
      <c r="A656" s="37" t="n">
        <f aca="false">ROW()-4</f>
        <v>652</v>
      </c>
      <c r="B656" s="38"/>
      <c r="C656" s="39"/>
      <c r="D656" s="40"/>
      <c r="E656" s="39"/>
      <c r="F656" s="40"/>
      <c r="G656" s="41"/>
      <c r="H656" s="42"/>
      <c r="I656" s="43"/>
      <c r="J656" s="44"/>
      <c r="K656" s="39"/>
      <c r="L656" s="42"/>
      <c r="M656" s="44"/>
      <c r="N656" s="45"/>
      <c r="O656" s="44"/>
      <c r="P656" s="46"/>
      <c r="Q656" s="47" t="str">
        <f aca="false">IF(L656="","",IF(M656&lt;&gt;"",M656*L656*100,IF(AND(O656&lt;&gt;"",B656&lt;&gt;""),IFERROR(AVERAGEIF($B$5:$B$1004,B656,$M$5:$M$1004)*L656*100,""),"")))</f>
        <v/>
      </c>
      <c r="R656" s="47" t="str">
        <f aca="false">IF(AND(O656&lt;&gt;"",L656&lt;&gt;""),O656*L656*100,"")</f>
        <v/>
      </c>
      <c r="S656" s="48" t="str">
        <f aca="false">IF(AND(P656&lt;&gt;"",L656&lt;&gt;""),P656*L656*100,"")</f>
        <v/>
      </c>
      <c r="T656" s="49" t="str">
        <f aca="false">IF(AND(Q656&lt;&gt;"",R656&lt;&gt;""),R656-Q656,"")</f>
        <v/>
      </c>
      <c r="U656" s="50" t="str">
        <f aca="false">IF(AND(Q656&lt;&gt;"",Q656&lt;&gt;0,T656&lt;&gt;""),T656/Q656,"")</f>
        <v/>
      </c>
      <c r="V656" s="51" t="str">
        <f aca="false">IF(AND(S656&lt;&gt;"",Q656&lt;&gt;""),S656-Q656,"")</f>
        <v/>
      </c>
      <c r="W656" s="52" t="str">
        <f aca="false">IF(AND(Q656&lt;&gt;"",Q656&lt;&gt;0,V656&lt;&gt;""),V656/Q656,"")</f>
        <v/>
      </c>
      <c r="X656" s="53" t="s">
        <v>37</v>
      </c>
      <c r="Y656" s="54" t="str">
        <f aca="false">IF(AND(O656&lt;&gt;"",M656&lt;&gt;"",O656&gt;M656),CONCATENATE("1 : ",TEXT((O656-M656)/M656,"0.00")),IF(AND(O656&lt;&gt;"",M656&lt;&gt;"",O656&lt;M656),CONCATENATE("-1 : ",TEXT((M656-O656)/M656,"0.00")),"—"))</f>
        <v>—</v>
      </c>
      <c r="Z656" s="55" t="str">
        <f aca="false">IF(AND(P656&lt;&gt;"",M656&lt;&gt;"",P656&gt;M656),CONCATENATE("1 : ",TEXT((P656-M656)/M656,"0.00")),"—")</f>
        <v>—</v>
      </c>
      <c r="AA656" s="56" t="str">
        <f aca="false">IF(AND(C656&lt;&gt;"",E656&lt;&gt;""),E656-C656,"")</f>
        <v/>
      </c>
      <c r="AB656" s="42"/>
      <c r="AC656" s="57"/>
      <c r="AD656" s="58"/>
      <c r="AE656" s="59" t="str">
        <f aca="false">IF(G656&lt;&gt;"",HYPERLINK("https://www.tradingview.com/chart/?symbol="&amp;G656&amp;"&amp;interval=60&amp;from="&amp;(AG656-10*3600)&amp;"&amp;to="&amp;(AG656+50*3600),"📈 1H"),"")</f>
        <v/>
      </c>
      <c r="AF656" s="60" t="str">
        <f aca="false">IF(G656&lt;&gt;"",HYPERLINK("https://www.tradingview.com/chart/?symbol="&amp;G656&amp;"&amp;interval=240&amp;from="&amp;(AG656-10*14400)&amp;"&amp;to="&amp;(AG656+50*14400),"📈 4H"),"")</f>
        <v/>
      </c>
      <c r="AG656" s="36" t="str">
        <f aca="false">IF(C656&lt;&gt;"",INT((C656+IF(D656&lt;&gt;"",D656,0)-DATE(1970,1,1))*86400),"")</f>
        <v/>
      </c>
    </row>
    <row r="657" customFormat="false" ht="19.5" hidden="false" customHeight="true" outlineLevel="0" collapsed="false">
      <c r="A657" s="12" t="n">
        <f aca="false">ROW()-4</f>
        <v>653</v>
      </c>
      <c r="B657" s="13"/>
      <c r="C657" s="14"/>
      <c r="D657" s="15"/>
      <c r="E657" s="14"/>
      <c r="F657" s="15"/>
      <c r="G657" s="16"/>
      <c r="H657" s="17"/>
      <c r="I657" s="18"/>
      <c r="J657" s="19"/>
      <c r="K657" s="14"/>
      <c r="L657" s="17"/>
      <c r="M657" s="19"/>
      <c r="N657" s="20"/>
      <c r="O657" s="19"/>
      <c r="P657" s="21"/>
      <c r="Q657" s="22" t="str">
        <f aca="false">IF(L657="","",IF(M657&lt;&gt;"",M657*L657*100,IF(AND(O657&lt;&gt;"",B657&lt;&gt;""),IFERROR(AVERAGEIF($B$5:$B$1004,B657,$M$5:$M$1004)*L657*100,""),"")))</f>
        <v/>
      </c>
      <c r="R657" s="22" t="str">
        <f aca="false">IF(AND(O657&lt;&gt;"",L657&lt;&gt;""),O657*L657*100,"")</f>
        <v/>
      </c>
      <c r="S657" s="23" t="str">
        <f aca="false">IF(AND(P657&lt;&gt;"",L657&lt;&gt;""),P657*L657*100,"")</f>
        <v/>
      </c>
      <c r="T657" s="24" t="str">
        <f aca="false">IF(AND(Q657&lt;&gt;"",R657&lt;&gt;""),R657-Q657,"")</f>
        <v/>
      </c>
      <c r="U657" s="25" t="str">
        <f aca="false">IF(AND(Q657&lt;&gt;"",Q657&lt;&gt;0,T657&lt;&gt;""),T657/Q657,"")</f>
        <v/>
      </c>
      <c r="V657" s="26" t="str">
        <f aca="false">IF(AND(S657&lt;&gt;"",Q657&lt;&gt;""),S657-Q657,"")</f>
        <v/>
      </c>
      <c r="W657" s="27" t="str">
        <f aca="false">IF(AND(Q657&lt;&gt;"",Q657&lt;&gt;0,V657&lt;&gt;""),V657/Q657,"")</f>
        <v/>
      </c>
      <c r="X657" s="28" t="s">
        <v>37</v>
      </c>
      <c r="Y657" s="29" t="str">
        <f aca="false">IF(AND(O657&lt;&gt;"",M657&lt;&gt;"",O657&gt;M657),CONCATENATE("1 : ",TEXT((O657-M657)/M657,"0.00")),IF(AND(O657&lt;&gt;"",M657&lt;&gt;"",O657&lt;M657),CONCATENATE("-1 : ",TEXT((M657-O657)/M657,"0.00")),"—"))</f>
        <v>—</v>
      </c>
      <c r="Z657" s="30" t="str">
        <f aca="false">IF(AND(P657&lt;&gt;"",M657&lt;&gt;"",P657&gt;M657),CONCATENATE("1 : ",TEXT((P657-M657)/M657,"0.00")),"—")</f>
        <v>—</v>
      </c>
      <c r="AA657" s="31" t="str">
        <f aca="false">IF(AND(C657&lt;&gt;"",E657&lt;&gt;""),E657-C657,"")</f>
        <v/>
      </c>
      <c r="AB657" s="17"/>
      <c r="AC657" s="32"/>
      <c r="AD657" s="33"/>
      <c r="AE657" s="34" t="str">
        <f aca="false">IF(G657&lt;&gt;"",HYPERLINK("https://www.tradingview.com/chart/?symbol="&amp;G657&amp;"&amp;interval=60&amp;from="&amp;(AG657-10*3600)&amp;"&amp;to="&amp;(AG657+50*3600),"📈 1H"),"")</f>
        <v/>
      </c>
      <c r="AF657" s="35" t="str">
        <f aca="false">IF(G657&lt;&gt;"",HYPERLINK("https://www.tradingview.com/chart/?symbol="&amp;G657&amp;"&amp;interval=240&amp;from="&amp;(AG657-10*14400)&amp;"&amp;to="&amp;(AG657+50*14400),"📈 4H"),"")</f>
        <v/>
      </c>
      <c r="AG657" s="36" t="str">
        <f aca="false">IF(C657&lt;&gt;"",INT((C657+IF(D657&lt;&gt;"",D657,0)-DATE(1970,1,1))*86400),"")</f>
        <v/>
      </c>
    </row>
    <row r="658" customFormat="false" ht="19.5" hidden="false" customHeight="true" outlineLevel="0" collapsed="false">
      <c r="A658" s="37" t="n">
        <f aca="false">ROW()-4</f>
        <v>654</v>
      </c>
      <c r="B658" s="38"/>
      <c r="C658" s="39"/>
      <c r="D658" s="40"/>
      <c r="E658" s="39"/>
      <c r="F658" s="40"/>
      <c r="G658" s="41"/>
      <c r="H658" s="42"/>
      <c r="I658" s="43"/>
      <c r="J658" s="44"/>
      <c r="K658" s="39"/>
      <c r="L658" s="42"/>
      <c r="M658" s="44"/>
      <c r="N658" s="45"/>
      <c r="O658" s="44"/>
      <c r="P658" s="46"/>
      <c r="Q658" s="47" t="str">
        <f aca="false">IF(L658="","",IF(M658&lt;&gt;"",M658*L658*100,IF(AND(O658&lt;&gt;"",B658&lt;&gt;""),IFERROR(AVERAGEIF($B$5:$B$1004,B658,$M$5:$M$1004)*L658*100,""),"")))</f>
        <v/>
      </c>
      <c r="R658" s="47" t="str">
        <f aca="false">IF(AND(O658&lt;&gt;"",L658&lt;&gt;""),O658*L658*100,"")</f>
        <v/>
      </c>
      <c r="S658" s="48" t="str">
        <f aca="false">IF(AND(P658&lt;&gt;"",L658&lt;&gt;""),P658*L658*100,"")</f>
        <v/>
      </c>
      <c r="T658" s="49" t="str">
        <f aca="false">IF(AND(Q658&lt;&gt;"",R658&lt;&gt;""),R658-Q658,"")</f>
        <v/>
      </c>
      <c r="U658" s="50" t="str">
        <f aca="false">IF(AND(Q658&lt;&gt;"",Q658&lt;&gt;0,T658&lt;&gt;""),T658/Q658,"")</f>
        <v/>
      </c>
      <c r="V658" s="51" t="str">
        <f aca="false">IF(AND(S658&lt;&gt;"",Q658&lt;&gt;""),S658-Q658,"")</f>
        <v/>
      </c>
      <c r="W658" s="52" t="str">
        <f aca="false">IF(AND(Q658&lt;&gt;"",Q658&lt;&gt;0,V658&lt;&gt;""),V658/Q658,"")</f>
        <v/>
      </c>
      <c r="X658" s="53" t="s">
        <v>37</v>
      </c>
      <c r="Y658" s="54" t="str">
        <f aca="false">IF(AND(O658&lt;&gt;"",M658&lt;&gt;"",O658&gt;M658),CONCATENATE("1 : ",TEXT((O658-M658)/M658,"0.00")),IF(AND(O658&lt;&gt;"",M658&lt;&gt;"",O658&lt;M658),CONCATENATE("-1 : ",TEXT((M658-O658)/M658,"0.00")),"—"))</f>
        <v>—</v>
      </c>
      <c r="Z658" s="55" t="str">
        <f aca="false">IF(AND(P658&lt;&gt;"",M658&lt;&gt;"",P658&gt;M658),CONCATENATE("1 : ",TEXT((P658-M658)/M658,"0.00")),"—")</f>
        <v>—</v>
      </c>
      <c r="AA658" s="56" t="str">
        <f aca="false">IF(AND(C658&lt;&gt;"",E658&lt;&gt;""),E658-C658,"")</f>
        <v/>
      </c>
      <c r="AB658" s="42"/>
      <c r="AC658" s="57"/>
      <c r="AD658" s="58"/>
      <c r="AE658" s="59" t="str">
        <f aca="false">IF(G658&lt;&gt;"",HYPERLINK("https://www.tradingview.com/chart/?symbol="&amp;G658&amp;"&amp;interval=60&amp;from="&amp;(AG658-10*3600)&amp;"&amp;to="&amp;(AG658+50*3600),"📈 1H"),"")</f>
        <v/>
      </c>
      <c r="AF658" s="60" t="str">
        <f aca="false">IF(G658&lt;&gt;"",HYPERLINK("https://www.tradingview.com/chart/?symbol="&amp;G658&amp;"&amp;interval=240&amp;from="&amp;(AG658-10*14400)&amp;"&amp;to="&amp;(AG658+50*14400),"📈 4H"),"")</f>
        <v/>
      </c>
      <c r="AG658" s="36" t="str">
        <f aca="false">IF(C658&lt;&gt;"",INT((C658+IF(D658&lt;&gt;"",D658,0)-DATE(1970,1,1))*86400),"")</f>
        <v/>
      </c>
    </row>
    <row r="659" customFormat="false" ht="19.5" hidden="false" customHeight="true" outlineLevel="0" collapsed="false">
      <c r="A659" s="12" t="n">
        <f aca="false">ROW()-4</f>
        <v>655</v>
      </c>
      <c r="B659" s="13"/>
      <c r="C659" s="14"/>
      <c r="D659" s="15"/>
      <c r="E659" s="14"/>
      <c r="F659" s="15"/>
      <c r="G659" s="16"/>
      <c r="H659" s="17"/>
      <c r="I659" s="18"/>
      <c r="J659" s="19"/>
      <c r="K659" s="14"/>
      <c r="L659" s="17"/>
      <c r="M659" s="19"/>
      <c r="N659" s="20"/>
      <c r="O659" s="19"/>
      <c r="P659" s="21"/>
      <c r="Q659" s="22" t="str">
        <f aca="false">IF(L659="","",IF(M659&lt;&gt;"",M659*L659*100,IF(AND(O659&lt;&gt;"",B659&lt;&gt;""),IFERROR(AVERAGEIF($B$5:$B$1004,B659,$M$5:$M$1004)*L659*100,""),"")))</f>
        <v/>
      </c>
      <c r="R659" s="22" t="str">
        <f aca="false">IF(AND(O659&lt;&gt;"",L659&lt;&gt;""),O659*L659*100,"")</f>
        <v/>
      </c>
      <c r="S659" s="23" t="str">
        <f aca="false">IF(AND(P659&lt;&gt;"",L659&lt;&gt;""),P659*L659*100,"")</f>
        <v/>
      </c>
      <c r="T659" s="24" t="str">
        <f aca="false">IF(AND(Q659&lt;&gt;"",R659&lt;&gt;""),R659-Q659,"")</f>
        <v/>
      </c>
      <c r="U659" s="25" t="str">
        <f aca="false">IF(AND(Q659&lt;&gt;"",Q659&lt;&gt;0,T659&lt;&gt;""),T659/Q659,"")</f>
        <v/>
      </c>
      <c r="V659" s="26" t="str">
        <f aca="false">IF(AND(S659&lt;&gt;"",Q659&lt;&gt;""),S659-Q659,"")</f>
        <v/>
      </c>
      <c r="W659" s="27" t="str">
        <f aca="false">IF(AND(Q659&lt;&gt;"",Q659&lt;&gt;0,V659&lt;&gt;""),V659/Q659,"")</f>
        <v/>
      </c>
      <c r="X659" s="28" t="s">
        <v>37</v>
      </c>
      <c r="Y659" s="29" t="str">
        <f aca="false">IF(AND(O659&lt;&gt;"",M659&lt;&gt;"",O659&gt;M659),CONCATENATE("1 : ",TEXT((O659-M659)/M659,"0.00")),IF(AND(O659&lt;&gt;"",M659&lt;&gt;"",O659&lt;M659),CONCATENATE("-1 : ",TEXT((M659-O659)/M659,"0.00")),"—"))</f>
        <v>—</v>
      </c>
      <c r="Z659" s="30" t="str">
        <f aca="false">IF(AND(P659&lt;&gt;"",M659&lt;&gt;"",P659&gt;M659),CONCATENATE("1 : ",TEXT((P659-M659)/M659,"0.00")),"—")</f>
        <v>—</v>
      </c>
      <c r="AA659" s="31" t="str">
        <f aca="false">IF(AND(C659&lt;&gt;"",E659&lt;&gt;""),E659-C659,"")</f>
        <v/>
      </c>
      <c r="AB659" s="17"/>
      <c r="AC659" s="32"/>
      <c r="AD659" s="33"/>
      <c r="AE659" s="34" t="str">
        <f aca="false">IF(G659&lt;&gt;"",HYPERLINK("https://www.tradingview.com/chart/?symbol="&amp;G659&amp;"&amp;interval=60&amp;from="&amp;(AG659-10*3600)&amp;"&amp;to="&amp;(AG659+50*3600),"📈 1H"),"")</f>
        <v/>
      </c>
      <c r="AF659" s="35" t="str">
        <f aca="false">IF(G659&lt;&gt;"",HYPERLINK("https://www.tradingview.com/chart/?symbol="&amp;G659&amp;"&amp;interval=240&amp;from="&amp;(AG659-10*14400)&amp;"&amp;to="&amp;(AG659+50*14400),"📈 4H"),"")</f>
        <v/>
      </c>
      <c r="AG659" s="36" t="str">
        <f aca="false">IF(C659&lt;&gt;"",INT((C659+IF(D659&lt;&gt;"",D659,0)-DATE(1970,1,1))*86400),"")</f>
        <v/>
      </c>
    </row>
    <row r="660" customFormat="false" ht="19.5" hidden="false" customHeight="true" outlineLevel="0" collapsed="false">
      <c r="A660" s="37" t="n">
        <f aca="false">ROW()-4</f>
        <v>656</v>
      </c>
      <c r="B660" s="38"/>
      <c r="C660" s="39"/>
      <c r="D660" s="40"/>
      <c r="E660" s="39"/>
      <c r="F660" s="40"/>
      <c r="G660" s="41"/>
      <c r="H660" s="42"/>
      <c r="I660" s="43"/>
      <c r="J660" s="44"/>
      <c r="K660" s="39"/>
      <c r="L660" s="42"/>
      <c r="M660" s="44"/>
      <c r="N660" s="45"/>
      <c r="O660" s="44"/>
      <c r="P660" s="46"/>
      <c r="Q660" s="47" t="str">
        <f aca="false">IF(L660="","",IF(M660&lt;&gt;"",M660*L660*100,IF(AND(O660&lt;&gt;"",B660&lt;&gt;""),IFERROR(AVERAGEIF($B$5:$B$1004,B660,$M$5:$M$1004)*L660*100,""),"")))</f>
        <v/>
      </c>
      <c r="R660" s="47" t="str">
        <f aca="false">IF(AND(O660&lt;&gt;"",L660&lt;&gt;""),O660*L660*100,"")</f>
        <v/>
      </c>
      <c r="S660" s="48" t="str">
        <f aca="false">IF(AND(P660&lt;&gt;"",L660&lt;&gt;""),P660*L660*100,"")</f>
        <v/>
      </c>
      <c r="T660" s="49" t="str">
        <f aca="false">IF(AND(Q660&lt;&gt;"",R660&lt;&gt;""),R660-Q660,"")</f>
        <v/>
      </c>
      <c r="U660" s="50" t="str">
        <f aca="false">IF(AND(Q660&lt;&gt;"",Q660&lt;&gt;0,T660&lt;&gt;""),T660/Q660,"")</f>
        <v/>
      </c>
      <c r="V660" s="51" t="str">
        <f aca="false">IF(AND(S660&lt;&gt;"",Q660&lt;&gt;""),S660-Q660,"")</f>
        <v/>
      </c>
      <c r="W660" s="52" t="str">
        <f aca="false">IF(AND(Q660&lt;&gt;"",Q660&lt;&gt;0,V660&lt;&gt;""),V660/Q660,"")</f>
        <v/>
      </c>
      <c r="X660" s="53" t="s">
        <v>37</v>
      </c>
      <c r="Y660" s="54" t="str">
        <f aca="false">IF(AND(O660&lt;&gt;"",M660&lt;&gt;"",O660&gt;M660),CONCATENATE("1 : ",TEXT((O660-M660)/M660,"0.00")),IF(AND(O660&lt;&gt;"",M660&lt;&gt;"",O660&lt;M660),CONCATENATE("-1 : ",TEXT((M660-O660)/M660,"0.00")),"—"))</f>
        <v>—</v>
      </c>
      <c r="Z660" s="55" t="str">
        <f aca="false">IF(AND(P660&lt;&gt;"",M660&lt;&gt;"",P660&gt;M660),CONCATENATE("1 : ",TEXT((P660-M660)/M660,"0.00")),"—")</f>
        <v>—</v>
      </c>
      <c r="AA660" s="56" t="str">
        <f aca="false">IF(AND(C660&lt;&gt;"",E660&lt;&gt;""),E660-C660,"")</f>
        <v/>
      </c>
      <c r="AB660" s="42"/>
      <c r="AC660" s="57"/>
      <c r="AD660" s="58"/>
      <c r="AE660" s="59" t="str">
        <f aca="false">IF(G660&lt;&gt;"",HYPERLINK("https://www.tradingview.com/chart/?symbol="&amp;G660&amp;"&amp;interval=60&amp;from="&amp;(AG660-10*3600)&amp;"&amp;to="&amp;(AG660+50*3600),"📈 1H"),"")</f>
        <v/>
      </c>
      <c r="AF660" s="60" t="str">
        <f aca="false">IF(G660&lt;&gt;"",HYPERLINK("https://www.tradingview.com/chart/?symbol="&amp;G660&amp;"&amp;interval=240&amp;from="&amp;(AG660-10*14400)&amp;"&amp;to="&amp;(AG660+50*14400),"📈 4H"),"")</f>
        <v/>
      </c>
      <c r="AG660" s="36" t="str">
        <f aca="false">IF(C660&lt;&gt;"",INT((C660+IF(D660&lt;&gt;"",D660,0)-DATE(1970,1,1))*86400),"")</f>
        <v/>
      </c>
    </row>
    <row r="661" customFormat="false" ht="19.5" hidden="false" customHeight="true" outlineLevel="0" collapsed="false">
      <c r="A661" s="12" t="n">
        <f aca="false">ROW()-4</f>
        <v>657</v>
      </c>
      <c r="B661" s="13"/>
      <c r="C661" s="14"/>
      <c r="D661" s="15"/>
      <c r="E661" s="14"/>
      <c r="F661" s="15"/>
      <c r="G661" s="16"/>
      <c r="H661" s="17"/>
      <c r="I661" s="18"/>
      <c r="J661" s="19"/>
      <c r="K661" s="14"/>
      <c r="L661" s="17"/>
      <c r="M661" s="19"/>
      <c r="N661" s="20"/>
      <c r="O661" s="19"/>
      <c r="P661" s="21"/>
      <c r="Q661" s="22" t="str">
        <f aca="false">IF(L661="","",IF(M661&lt;&gt;"",M661*L661*100,IF(AND(O661&lt;&gt;"",B661&lt;&gt;""),IFERROR(AVERAGEIF($B$5:$B$1004,B661,$M$5:$M$1004)*L661*100,""),"")))</f>
        <v/>
      </c>
      <c r="R661" s="22" t="str">
        <f aca="false">IF(AND(O661&lt;&gt;"",L661&lt;&gt;""),O661*L661*100,"")</f>
        <v/>
      </c>
      <c r="S661" s="23" t="str">
        <f aca="false">IF(AND(P661&lt;&gt;"",L661&lt;&gt;""),P661*L661*100,"")</f>
        <v/>
      </c>
      <c r="T661" s="24" t="str">
        <f aca="false">IF(AND(Q661&lt;&gt;"",R661&lt;&gt;""),R661-Q661,"")</f>
        <v/>
      </c>
      <c r="U661" s="25" t="str">
        <f aca="false">IF(AND(Q661&lt;&gt;"",Q661&lt;&gt;0,T661&lt;&gt;""),T661/Q661,"")</f>
        <v/>
      </c>
      <c r="V661" s="26" t="str">
        <f aca="false">IF(AND(S661&lt;&gt;"",Q661&lt;&gt;""),S661-Q661,"")</f>
        <v/>
      </c>
      <c r="W661" s="27" t="str">
        <f aca="false">IF(AND(Q661&lt;&gt;"",Q661&lt;&gt;0,V661&lt;&gt;""),V661/Q661,"")</f>
        <v/>
      </c>
      <c r="X661" s="28" t="s">
        <v>37</v>
      </c>
      <c r="Y661" s="29" t="str">
        <f aca="false">IF(AND(O661&lt;&gt;"",M661&lt;&gt;"",O661&gt;M661),CONCATENATE("1 : ",TEXT((O661-M661)/M661,"0.00")),IF(AND(O661&lt;&gt;"",M661&lt;&gt;"",O661&lt;M661),CONCATENATE("-1 : ",TEXT((M661-O661)/M661,"0.00")),"—"))</f>
        <v>—</v>
      </c>
      <c r="Z661" s="30" t="str">
        <f aca="false">IF(AND(P661&lt;&gt;"",M661&lt;&gt;"",P661&gt;M661),CONCATENATE("1 : ",TEXT((P661-M661)/M661,"0.00")),"—")</f>
        <v>—</v>
      </c>
      <c r="AA661" s="31" t="str">
        <f aca="false">IF(AND(C661&lt;&gt;"",E661&lt;&gt;""),E661-C661,"")</f>
        <v/>
      </c>
      <c r="AB661" s="17"/>
      <c r="AC661" s="32"/>
      <c r="AD661" s="33"/>
      <c r="AE661" s="34" t="str">
        <f aca="false">IF(G661&lt;&gt;"",HYPERLINK("https://www.tradingview.com/chart/?symbol="&amp;G661&amp;"&amp;interval=60&amp;from="&amp;(AG661-10*3600)&amp;"&amp;to="&amp;(AG661+50*3600),"📈 1H"),"")</f>
        <v/>
      </c>
      <c r="AF661" s="35" t="str">
        <f aca="false">IF(G661&lt;&gt;"",HYPERLINK("https://www.tradingview.com/chart/?symbol="&amp;G661&amp;"&amp;interval=240&amp;from="&amp;(AG661-10*14400)&amp;"&amp;to="&amp;(AG661+50*14400),"📈 4H"),"")</f>
        <v/>
      </c>
      <c r="AG661" s="36" t="str">
        <f aca="false">IF(C661&lt;&gt;"",INT((C661+IF(D661&lt;&gt;"",D661,0)-DATE(1970,1,1))*86400),"")</f>
        <v/>
      </c>
    </row>
    <row r="662" customFormat="false" ht="19.5" hidden="false" customHeight="true" outlineLevel="0" collapsed="false">
      <c r="A662" s="37" t="n">
        <f aca="false">ROW()-4</f>
        <v>658</v>
      </c>
      <c r="B662" s="38"/>
      <c r="C662" s="39"/>
      <c r="D662" s="40"/>
      <c r="E662" s="39"/>
      <c r="F662" s="40"/>
      <c r="G662" s="41"/>
      <c r="H662" s="42"/>
      <c r="I662" s="43"/>
      <c r="J662" s="44"/>
      <c r="K662" s="39"/>
      <c r="L662" s="42"/>
      <c r="M662" s="44"/>
      <c r="N662" s="45"/>
      <c r="O662" s="44"/>
      <c r="P662" s="46"/>
      <c r="Q662" s="47" t="str">
        <f aca="false">IF(L662="","",IF(M662&lt;&gt;"",M662*L662*100,IF(AND(O662&lt;&gt;"",B662&lt;&gt;""),IFERROR(AVERAGEIF($B$5:$B$1004,B662,$M$5:$M$1004)*L662*100,""),"")))</f>
        <v/>
      </c>
      <c r="R662" s="47" t="str">
        <f aca="false">IF(AND(O662&lt;&gt;"",L662&lt;&gt;""),O662*L662*100,"")</f>
        <v/>
      </c>
      <c r="S662" s="48" t="str">
        <f aca="false">IF(AND(P662&lt;&gt;"",L662&lt;&gt;""),P662*L662*100,"")</f>
        <v/>
      </c>
      <c r="T662" s="49" t="str">
        <f aca="false">IF(AND(Q662&lt;&gt;"",R662&lt;&gt;""),R662-Q662,"")</f>
        <v/>
      </c>
      <c r="U662" s="50" t="str">
        <f aca="false">IF(AND(Q662&lt;&gt;"",Q662&lt;&gt;0,T662&lt;&gt;""),T662/Q662,"")</f>
        <v/>
      </c>
      <c r="V662" s="51" t="str">
        <f aca="false">IF(AND(S662&lt;&gt;"",Q662&lt;&gt;""),S662-Q662,"")</f>
        <v/>
      </c>
      <c r="W662" s="52" t="str">
        <f aca="false">IF(AND(Q662&lt;&gt;"",Q662&lt;&gt;0,V662&lt;&gt;""),V662/Q662,"")</f>
        <v/>
      </c>
      <c r="X662" s="53" t="s">
        <v>37</v>
      </c>
      <c r="Y662" s="54" t="str">
        <f aca="false">IF(AND(O662&lt;&gt;"",M662&lt;&gt;"",O662&gt;M662),CONCATENATE("1 : ",TEXT((O662-M662)/M662,"0.00")),IF(AND(O662&lt;&gt;"",M662&lt;&gt;"",O662&lt;M662),CONCATENATE("-1 : ",TEXT((M662-O662)/M662,"0.00")),"—"))</f>
        <v>—</v>
      </c>
      <c r="Z662" s="55" t="str">
        <f aca="false">IF(AND(P662&lt;&gt;"",M662&lt;&gt;"",P662&gt;M662),CONCATENATE("1 : ",TEXT((P662-M662)/M662,"0.00")),"—")</f>
        <v>—</v>
      </c>
      <c r="AA662" s="56" t="str">
        <f aca="false">IF(AND(C662&lt;&gt;"",E662&lt;&gt;""),E662-C662,"")</f>
        <v/>
      </c>
      <c r="AB662" s="42"/>
      <c r="AC662" s="57"/>
      <c r="AD662" s="58"/>
      <c r="AE662" s="59" t="str">
        <f aca="false">IF(G662&lt;&gt;"",HYPERLINK("https://www.tradingview.com/chart/?symbol="&amp;G662&amp;"&amp;interval=60&amp;from="&amp;(AG662-10*3600)&amp;"&amp;to="&amp;(AG662+50*3600),"📈 1H"),"")</f>
        <v/>
      </c>
      <c r="AF662" s="60" t="str">
        <f aca="false">IF(G662&lt;&gt;"",HYPERLINK("https://www.tradingview.com/chart/?symbol="&amp;G662&amp;"&amp;interval=240&amp;from="&amp;(AG662-10*14400)&amp;"&amp;to="&amp;(AG662+50*14400),"📈 4H"),"")</f>
        <v/>
      </c>
      <c r="AG662" s="36" t="str">
        <f aca="false">IF(C662&lt;&gt;"",INT((C662+IF(D662&lt;&gt;"",D662,0)-DATE(1970,1,1))*86400),"")</f>
        <v/>
      </c>
    </row>
    <row r="663" customFormat="false" ht="19.5" hidden="false" customHeight="true" outlineLevel="0" collapsed="false">
      <c r="A663" s="12" t="n">
        <f aca="false">ROW()-4</f>
        <v>659</v>
      </c>
      <c r="B663" s="13"/>
      <c r="C663" s="14"/>
      <c r="D663" s="15"/>
      <c r="E663" s="14"/>
      <c r="F663" s="15"/>
      <c r="G663" s="16"/>
      <c r="H663" s="17"/>
      <c r="I663" s="18"/>
      <c r="J663" s="19"/>
      <c r="K663" s="14"/>
      <c r="L663" s="17"/>
      <c r="M663" s="19"/>
      <c r="N663" s="20"/>
      <c r="O663" s="19"/>
      <c r="P663" s="21"/>
      <c r="Q663" s="22" t="str">
        <f aca="false">IF(L663="","",IF(M663&lt;&gt;"",M663*L663*100,IF(AND(O663&lt;&gt;"",B663&lt;&gt;""),IFERROR(AVERAGEIF($B$5:$B$1004,B663,$M$5:$M$1004)*L663*100,""),"")))</f>
        <v/>
      </c>
      <c r="R663" s="22" t="str">
        <f aca="false">IF(AND(O663&lt;&gt;"",L663&lt;&gt;""),O663*L663*100,"")</f>
        <v/>
      </c>
      <c r="S663" s="23" t="str">
        <f aca="false">IF(AND(P663&lt;&gt;"",L663&lt;&gt;""),P663*L663*100,"")</f>
        <v/>
      </c>
      <c r="T663" s="24" t="str">
        <f aca="false">IF(AND(Q663&lt;&gt;"",R663&lt;&gt;""),R663-Q663,"")</f>
        <v/>
      </c>
      <c r="U663" s="25" t="str">
        <f aca="false">IF(AND(Q663&lt;&gt;"",Q663&lt;&gt;0,T663&lt;&gt;""),T663/Q663,"")</f>
        <v/>
      </c>
      <c r="V663" s="26" t="str">
        <f aca="false">IF(AND(S663&lt;&gt;"",Q663&lt;&gt;""),S663-Q663,"")</f>
        <v/>
      </c>
      <c r="W663" s="27" t="str">
        <f aca="false">IF(AND(Q663&lt;&gt;"",Q663&lt;&gt;0,V663&lt;&gt;""),V663/Q663,"")</f>
        <v/>
      </c>
      <c r="X663" s="28" t="s">
        <v>37</v>
      </c>
      <c r="Y663" s="29" t="str">
        <f aca="false">IF(AND(O663&lt;&gt;"",M663&lt;&gt;"",O663&gt;M663),CONCATENATE("1 : ",TEXT((O663-M663)/M663,"0.00")),IF(AND(O663&lt;&gt;"",M663&lt;&gt;"",O663&lt;M663),CONCATENATE("-1 : ",TEXT((M663-O663)/M663,"0.00")),"—"))</f>
        <v>—</v>
      </c>
      <c r="Z663" s="30" t="str">
        <f aca="false">IF(AND(P663&lt;&gt;"",M663&lt;&gt;"",P663&gt;M663),CONCATENATE("1 : ",TEXT((P663-M663)/M663,"0.00")),"—")</f>
        <v>—</v>
      </c>
      <c r="AA663" s="31" t="str">
        <f aca="false">IF(AND(C663&lt;&gt;"",E663&lt;&gt;""),E663-C663,"")</f>
        <v/>
      </c>
      <c r="AB663" s="17"/>
      <c r="AC663" s="32"/>
      <c r="AD663" s="33"/>
      <c r="AE663" s="34" t="str">
        <f aca="false">IF(G663&lt;&gt;"",HYPERLINK("https://www.tradingview.com/chart/?symbol="&amp;G663&amp;"&amp;interval=60&amp;from="&amp;(AG663-10*3600)&amp;"&amp;to="&amp;(AG663+50*3600),"📈 1H"),"")</f>
        <v/>
      </c>
      <c r="AF663" s="35" t="str">
        <f aca="false">IF(G663&lt;&gt;"",HYPERLINK("https://www.tradingview.com/chart/?symbol="&amp;G663&amp;"&amp;interval=240&amp;from="&amp;(AG663-10*14400)&amp;"&amp;to="&amp;(AG663+50*14400),"📈 4H"),"")</f>
        <v/>
      </c>
      <c r="AG663" s="36" t="str">
        <f aca="false">IF(C663&lt;&gt;"",INT((C663+IF(D663&lt;&gt;"",D663,0)-DATE(1970,1,1))*86400),"")</f>
        <v/>
      </c>
    </row>
    <row r="664" customFormat="false" ht="19.5" hidden="false" customHeight="true" outlineLevel="0" collapsed="false">
      <c r="A664" s="37" t="n">
        <f aca="false">ROW()-4</f>
        <v>660</v>
      </c>
      <c r="B664" s="38"/>
      <c r="C664" s="39"/>
      <c r="D664" s="40"/>
      <c r="E664" s="39"/>
      <c r="F664" s="40"/>
      <c r="G664" s="41"/>
      <c r="H664" s="42"/>
      <c r="I664" s="43"/>
      <c r="J664" s="44"/>
      <c r="K664" s="39"/>
      <c r="L664" s="42"/>
      <c r="M664" s="44"/>
      <c r="N664" s="45"/>
      <c r="O664" s="44"/>
      <c r="P664" s="46"/>
      <c r="Q664" s="47" t="str">
        <f aca="false">IF(L664="","",IF(M664&lt;&gt;"",M664*L664*100,IF(AND(O664&lt;&gt;"",B664&lt;&gt;""),IFERROR(AVERAGEIF($B$5:$B$1004,B664,$M$5:$M$1004)*L664*100,""),"")))</f>
        <v/>
      </c>
      <c r="R664" s="47" t="str">
        <f aca="false">IF(AND(O664&lt;&gt;"",L664&lt;&gt;""),O664*L664*100,"")</f>
        <v/>
      </c>
      <c r="S664" s="48" t="str">
        <f aca="false">IF(AND(P664&lt;&gt;"",L664&lt;&gt;""),P664*L664*100,"")</f>
        <v/>
      </c>
      <c r="T664" s="49" t="str">
        <f aca="false">IF(AND(Q664&lt;&gt;"",R664&lt;&gt;""),R664-Q664,"")</f>
        <v/>
      </c>
      <c r="U664" s="50" t="str">
        <f aca="false">IF(AND(Q664&lt;&gt;"",Q664&lt;&gt;0,T664&lt;&gt;""),T664/Q664,"")</f>
        <v/>
      </c>
      <c r="V664" s="51" t="str">
        <f aca="false">IF(AND(S664&lt;&gt;"",Q664&lt;&gt;""),S664-Q664,"")</f>
        <v/>
      </c>
      <c r="W664" s="52" t="str">
        <f aca="false">IF(AND(Q664&lt;&gt;"",Q664&lt;&gt;0,V664&lt;&gt;""),V664/Q664,"")</f>
        <v/>
      </c>
      <c r="X664" s="53" t="s">
        <v>37</v>
      </c>
      <c r="Y664" s="54" t="str">
        <f aca="false">IF(AND(O664&lt;&gt;"",M664&lt;&gt;"",O664&gt;M664),CONCATENATE("1 : ",TEXT((O664-M664)/M664,"0.00")),IF(AND(O664&lt;&gt;"",M664&lt;&gt;"",O664&lt;M664),CONCATENATE("-1 : ",TEXT((M664-O664)/M664,"0.00")),"—"))</f>
        <v>—</v>
      </c>
      <c r="Z664" s="55" t="str">
        <f aca="false">IF(AND(P664&lt;&gt;"",M664&lt;&gt;"",P664&gt;M664),CONCATENATE("1 : ",TEXT((P664-M664)/M664,"0.00")),"—")</f>
        <v>—</v>
      </c>
      <c r="AA664" s="56" t="str">
        <f aca="false">IF(AND(C664&lt;&gt;"",E664&lt;&gt;""),E664-C664,"")</f>
        <v/>
      </c>
      <c r="AB664" s="42"/>
      <c r="AC664" s="57"/>
      <c r="AD664" s="58"/>
      <c r="AE664" s="59" t="str">
        <f aca="false">IF(G664&lt;&gt;"",HYPERLINK("https://www.tradingview.com/chart/?symbol="&amp;G664&amp;"&amp;interval=60&amp;from="&amp;(AG664-10*3600)&amp;"&amp;to="&amp;(AG664+50*3600),"📈 1H"),"")</f>
        <v/>
      </c>
      <c r="AF664" s="60" t="str">
        <f aca="false">IF(G664&lt;&gt;"",HYPERLINK("https://www.tradingview.com/chart/?symbol="&amp;G664&amp;"&amp;interval=240&amp;from="&amp;(AG664-10*14400)&amp;"&amp;to="&amp;(AG664+50*14400),"📈 4H"),"")</f>
        <v/>
      </c>
      <c r="AG664" s="36" t="str">
        <f aca="false">IF(C664&lt;&gt;"",INT((C664+IF(D664&lt;&gt;"",D664,0)-DATE(1970,1,1))*86400),"")</f>
        <v/>
      </c>
    </row>
    <row r="665" customFormat="false" ht="19.5" hidden="false" customHeight="true" outlineLevel="0" collapsed="false">
      <c r="A665" s="12" t="n">
        <f aca="false">ROW()-4</f>
        <v>661</v>
      </c>
      <c r="B665" s="13"/>
      <c r="C665" s="14"/>
      <c r="D665" s="15"/>
      <c r="E665" s="14"/>
      <c r="F665" s="15"/>
      <c r="G665" s="16"/>
      <c r="H665" s="17"/>
      <c r="I665" s="18"/>
      <c r="J665" s="19"/>
      <c r="K665" s="14"/>
      <c r="L665" s="17"/>
      <c r="M665" s="19"/>
      <c r="N665" s="20"/>
      <c r="O665" s="19"/>
      <c r="P665" s="21"/>
      <c r="Q665" s="22" t="str">
        <f aca="false">IF(L665="","",IF(M665&lt;&gt;"",M665*L665*100,IF(AND(O665&lt;&gt;"",B665&lt;&gt;""),IFERROR(AVERAGEIF($B$5:$B$1004,B665,$M$5:$M$1004)*L665*100,""),"")))</f>
        <v/>
      </c>
      <c r="R665" s="22" t="str">
        <f aca="false">IF(AND(O665&lt;&gt;"",L665&lt;&gt;""),O665*L665*100,"")</f>
        <v/>
      </c>
      <c r="S665" s="23" t="str">
        <f aca="false">IF(AND(P665&lt;&gt;"",L665&lt;&gt;""),P665*L665*100,"")</f>
        <v/>
      </c>
      <c r="T665" s="24" t="str">
        <f aca="false">IF(AND(Q665&lt;&gt;"",R665&lt;&gt;""),R665-Q665,"")</f>
        <v/>
      </c>
      <c r="U665" s="25" t="str">
        <f aca="false">IF(AND(Q665&lt;&gt;"",Q665&lt;&gt;0,T665&lt;&gt;""),T665/Q665,"")</f>
        <v/>
      </c>
      <c r="V665" s="26" t="str">
        <f aca="false">IF(AND(S665&lt;&gt;"",Q665&lt;&gt;""),S665-Q665,"")</f>
        <v/>
      </c>
      <c r="W665" s="27" t="str">
        <f aca="false">IF(AND(Q665&lt;&gt;"",Q665&lt;&gt;0,V665&lt;&gt;""),V665/Q665,"")</f>
        <v/>
      </c>
      <c r="X665" s="28" t="s">
        <v>37</v>
      </c>
      <c r="Y665" s="29" t="str">
        <f aca="false">IF(AND(O665&lt;&gt;"",M665&lt;&gt;"",O665&gt;M665),CONCATENATE("1 : ",TEXT((O665-M665)/M665,"0.00")),IF(AND(O665&lt;&gt;"",M665&lt;&gt;"",O665&lt;M665),CONCATENATE("-1 : ",TEXT((M665-O665)/M665,"0.00")),"—"))</f>
        <v>—</v>
      </c>
      <c r="Z665" s="30" t="str">
        <f aca="false">IF(AND(P665&lt;&gt;"",M665&lt;&gt;"",P665&gt;M665),CONCATENATE("1 : ",TEXT((P665-M665)/M665,"0.00")),"—")</f>
        <v>—</v>
      </c>
      <c r="AA665" s="31" t="str">
        <f aca="false">IF(AND(C665&lt;&gt;"",E665&lt;&gt;""),E665-C665,"")</f>
        <v/>
      </c>
      <c r="AB665" s="17"/>
      <c r="AC665" s="32"/>
      <c r="AD665" s="33"/>
      <c r="AE665" s="34" t="str">
        <f aca="false">IF(G665&lt;&gt;"",HYPERLINK("https://www.tradingview.com/chart/?symbol="&amp;G665&amp;"&amp;interval=60&amp;from="&amp;(AG665-10*3600)&amp;"&amp;to="&amp;(AG665+50*3600),"📈 1H"),"")</f>
        <v/>
      </c>
      <c r="AF665" s="35" t="str">
        <f aca="false">IF(G665&lt;&gt;"",HYPERLINK("https://www.tradingview.com/chart/?symbol="&amp;G665&amp;"&amp;interval=240&amp;from="&amp;(AG665-10*14400)&amp;"&amp;to="&amp;(AG665+50*14400),"📈 4H"),"")</f>
        <v/>
      </c>
      <c r="AG665" s="36" t="str">
        <f aca="false">IF(C665&lt;&gt;"",INT((C665+IF(D665&lt;&gt;"",D665,0)-DATE(1970,1,1))*86400),"")</f>
        <v/>
      </c>
    </row>
    <row r="666" customFormat="false" ht="19.5" hidden="false" customHeight="true" outlineLevel="0" collapsed="false">
      <c r="A666" s="37" t="n">
        <f aca="false">ROW()-4</f>
        <v>662</v>
      </c>
      <c r="B666" s="38"/>
      <c r="C666" s="39"/>
      <c r="D666" s="40"/>
      <c r="E666" s="39"/>
      <c r="F666" s="40"/>
      <c r="G666" s="41"/>
      <c r="H666" s="42"/>
      <c r="I666" s="43"/>
      <c r="J666" s="44"/>
      <c r="K666" s="39"/>
      <c r="L666" s="42"/>
      <c r="M666" s="44"/>
      <c r="N666" s="45"/>
      <c r="O666" s="44"/>
      <c r="P666" s="46"/>
      <c r="Q666" s="47" t="str">
        <f aca="false">IF(L666="","",IF(M666&lt;&gt;"",M666*L666*100,IF(AND(O666&lt;&gt;"",B666&lt;&gt;""),IFERROR(AVERAGEIF($B$5:$B$1004,B666,$M$5:$M$1004)*L666*100,""),"")))</f>
        <v/>
      </c>
      <c r="R666" s="47" t="str">
        <f aca="false">IF(AND(O666&lt;&gt;"",L666&lt;&gt;""),O666*L666*100,"")</f>
        <v/>
      </c>
      <c r="S666" s="48" t="str">
        <f aca="false">IF(AND(P666&lt;&gt;"",L666&lt;&gt;""),P666*L666*100,"")</f>
        <v/>
      </c>
      <c r="T666" s="49" t="str">
        <f aca="false">IF(AND(Q666&lt;&gt;"",R666&lt;&gt;""),R666-Q666,"")</f>
        <v/>
      </c>
      <c r="U666" s="50" t="str">
        <f aca="false">IF(AND(Q666&lt;&gt;"",Q666&lt;&gt;0,T666&lt;&gt;""),T666/Q666,"")</f>
        <v/>
      </c>
      <c r="V666" s="51" t="str">
        <f aca="false">IF(AND(S666&lt;&gt;"",Q666&lt;&gt;""),S666-Q666,"")</f>
        <v/>
      </c>
      <c r="W666" s="52" t="str">
        <f aca="false">IF(AND(Q666&lt;&gt;"",Q666&lt;&gt;0,V666&lt;&gt;""),V666/Q666,"")</f>
        <v/>
      </c>
      <c r="X666" s="53" t="s">
        <v>37</v>
      </c>
      <c r="Y666" s="54" t="str">
        <f aca="false">IF(AND(O666&lt;&gt;"",M666&lt;&gt;"",O666&gt;M666),CONCATENATE("1 : ",TEXT((O666-M666)/M666,"0.00")),IF(AND(O666&lt;&gt;"",M666&lt;&gt;"",O666&lt;M666),CONCATENATE("-1 : ",TEXT((M666-O666)/M666,"0.00")),"—"))</f>
        <v>—</v>
      </c>
      <c r="Z666" s="55" t="str">
        <f aca="false">IF(AND(P666&lt;&gt;"",M666&lt;&gt;"",P666&gt;M666),CONCATENATE("1 : ",TEXT((P666-M666)/M666,"0.00")),"—")</f>
        <v>—</v>
      </c>
      <c r="AA666" s="56" t="str">
        <f aca="false">IF(AND(C666&lt;&gt;"",E666&lt;&gt;""),E666-C666,"")</f>
        <v/>
      </c>
      <c r="AB666" s="42"/>
      <c r="AC666" s="57"/>
      <c r="AD666" s="58"/>
      <c r="AE666" s="59" t="str">
        <f aca="false">IF(G666&lt;&gt;"",HYPERLINK("https://www.tradingview.com/chart/?symbol="&amp;G666&amp;"&amp;interval=60&amp;from="&amp;(AG666-10*3600)&amp;"&amp;to="&amp;(AG666+50*3600),"📈 1H"),"")</f>
        <v/>
      </c>
      <c r="AF666" s="60" t="str">
        <f aca="false">IF(G666&lt;&gt;"",HYPERLINK("https://www.tradingview.com/chart/?symbol="&amp;G666&amp;"&amp;interval=240&amp;from="&amp;(AG666-10*14400)&amp;"&amp;to="&amp;(AG666+50*14400),"📈 4H"),"")</f>
        <v/>
      </c>
      <c r="AG666" s="36" t="str">
        <f aca="false">IF(C666&lt;&gt;"",INT((C666+IF(D666&lt;&gt;"",D666,0)-DATE(1970,1,1))*86400),"")</f>
        <v/>
      </c>
    </row>
    <row r="667" customFormat="false" ht="19.5" hidden="false" customHeight="true" outlineLevel="0" collapsed="false">
      <c r="A667" s="12" t="n">
        <f aca="false">ROW()-4</f>
        <v>663</v>
      </c>
      <c r="B667" s="13"/>
      <c r="C667" s="14"/>
      <c r="D667" s="15"/>
      <c r="E667" s="14"/>
      <c r="F667" s="15"/>
      <c r="G667" s="16"/>
      <c r="H667" s="17"/>
      <c r="I667" s="18"/>
      <c r="J667" s="19"/>
      <c r="K667" s="14"/>
      <c r="L667" s="17"/>
      <c r="M667" s="19"/>
      <c r="N667" s="20"/>
      <c r="O667" s="19"/>
      <c r="P667" s="21"/>
      <c r="Q667" s="22" t="str">
        <f aca="false">IF(L667="","",IF(M667&lt;&gt;"",M667*L667*100,IF(AND(O667&lt;&gt;"",B667&lt;&gt;""),IFERROR(AVERAGEIF($B$5:$B$1004,B667,$M$5:$M$1004)*L667*100,""),"")))</f>
        <v/>
      </c>
      <c r="R667" s="22" t="str">
        <f aca="false">IF(AND(O667&lt;&gt;"",L667&lt;&gt;""),O667*L667*100,"")</f>
        <v/>
      </c>
      <c r="S667" s="23" t="str">
        <f aca="false">IF(AND(P667&lt;&gt;"",L667&lt;&gt;""),P667*L667*100,"")</f>
        <v/>
      </c>
      <c r="T667" s="24" t="str">
        <f aca="false">IF(AND(Q667&lt;&gt;"",R667&lt;&gt;""),R667-Q667,"")</f>
        <v/>
      </c>
      <c r="U667" s="25" t="str">
        <f aca="false">IF(AND(Q667&lt;&gt;"",Q667&lt;&gt;0,T667&lt;&gt;""),T667/Q667,"")</f>
        <v/>
      </c>
      <c r="V667" s="26" t="str">
        <f aca="false">IF(AND(S667&lt;&gt;"",Q667&lt;&gt;""),S667-Q667,"")</f>
        <v/>
      </c>
      <c r="W667" s="27" t="str">
        <f aca="false">IF(AND(Q667&lt;&gt;"",Q667&lt;&gt;0,V667&lt;&gt;""),V667/Q667,"")</f>
        <v/>
      </c>
      <c r="X667" s="28" t="s">
        <v>37</v>
      </c>
      <c r="Y667" s="29" t="str">
        <f aca="false">IF(AND(O667&lt;&gt;"",M667&lt;&gt;"",O667&gt;M667),CONCATENATE("1 : ",TEXT((O667-M667)/M667,"0.00")),IF(AND(O667&lt;&gt;"",M667&lt;&gt;"",O667&lt;M667),CONCATENATE("-1 : ",TEXT((M667-O667)/M667,"0.00")),"—"))</f>
        <v>—</v>
      </c>
      <c r="Z667" s="30" t="str">
        <f aca="false">IF(AND(P667&lt;&gt;"",M667&lt;&gt;"",P667&gt;M667),CONCATENATE("1 : ",TEXT((P667-M667)/M667,"0.00")),"—")</f>
        <v>—</v>
      </c>
      <c r="AA667" s="31" t="str">
        <f aca="false">IF(AND(C667&lt;&gt;"",E667&lt;&gt;""),E667-C667,"")</f>
        <v/>
      </c>
      <c r="AB667" s="17"/>
      <c r="AC667" s="32"/>
      <c r="AD667" s="33"/>
      <c r="AE667" s="34" t="str">
        <f aca="false">IF(G667&lt;&gt;"",HYPERLINK("https://www.tradingview.com/chart/?symbol="&amp;G667&amp;"&amp;interval=60&amp;from="&amp;(AG667-10*3600)&amp;"&amp;to="&amp;(AG667+50*3600),"📈 1H"),"")</f>
        <v/>
      </c>
      <c r="AF667" s="35" t="str">
        <f aca="false">IF(G667&lt;&gt;"",HYPERLINK("https://www.tradingview.com/chart/?symbol="&amp;G667&amp;"&amp;interval=240&amp;from="&amp;(AG667-10*14400)&amp;"&amp;to="&amp;(AG667+50*14400),"📈 4H"),"")</f>
        <v/>
      </c>
      <c r="AG667" s="36" t="str">
        <f aca="false">IF(C667&lt;&gt;"",INT((C667+IF(D667&lt;&gt;"",D667,0)-DATE(1970,1,1))*86400),"")</f>
        <v/>
      </c>
    </row>
    <row r="668" customFormat="false" ht="19.5" hidden="false" customHeight="true" outlineLevel="0" collapsed="false">
      <c r="A668" s="37" t="n">
        <f aca="false">ROW()-4</f>
        <v>664</v>
      </c>
      <c r="B668" s="38"/>
      <c r="C668" s="39"/>
      <c r="D668" s="40"/>
      <c r="E668" s="39"/>
      <c r="F668" s="40"/>
      <c r="G668" s="41"/>
      <c r="H668" s="42"/>
      <c r="I668" s="43"/>
      <c r="J668" s="44"/>
      <c r="K668" s="39"/>
      <c r="L668" s="42"/>
      <c r="M668" s="44"/>
      <c r="N668" s="45"/>
      <c r="O668" s="44"/>
      <c r="P668" s="46"/>
      <c r="Q668" s="47" t="str">
        <f aca="false">IF(L668="","",IF(M668&lt;&gt;"",M668*L668*100,IF(AND(O668&lt;&gt;"",B668&lt;&gt;""),IFERROR(AVERAGEIF($B$5:$B$1004,B668,$M$5:$M$1004)*L668*100,""),"")))</f>
        <v/>
      </c>
      <c r="R668" s="47" t="str">
        <f aca="false">IF(AND(O668&lt;&gt;"",L668&lt;&gt;""),O668*L668*100,"")</f>
        <v/>
      </c>
      <c r="S668" s="48" t="str">
        <f aca="false">IF(AND(P668&lt;&gt;"",L668&lt;&gt;""),P668*L668*100,"")</f>
        <v/>
      </c>
      <c r="T668" s="49" t="str">
        <f aca="false">IF(AND(Q668&lt;&gt;"",R668&lt;&gt;""),R668-Q668,"")</f>
        <v/>
      </c>
      <c r="U668" s="50" t="str">
        <f aca="false">IF(AND(Q668&lt;&gt;"",Q668&lt;&gt;0,T668&lt;&gt;""),T668/Q668,"")</f>
        <v/>
      </c>
      <c r="V668" s="51" t="str">
        <f aca="false">IF(AND(S668&lt;&gt;"",Q668&lt;&gt;""),S668-Q668,"")</f>
        <v/>
      </c>
      <c r="W668" s="52" t="str">
        <f aca="false">IF(AND(Q668&lt;&gt;"",Q668&lt;&gt;0,V668&lt;&gt;""),V668/Q668,"")</f>
        <v/>
      </c>
      <c r="X668" s="53" t="s">
        <v>37</v>
      </c>
      <c r="Y668" s="54" t="str">
        <f aca="false">IF(AND(O668&lt;&gt;"",M668&lt;&gt;"",O668&gt;M668),CONCATENATE("1 : ",TEXT((O668-M668)/M668,"0.00")),IF(AND(O668&lt;&gt;"",M668&lt;&gt;"",O668&lt;M668),CONCATENATE("-1 : ",TEXT((M668-O668)/M668,"0.00")),"—"))</f>
        <v>—</v>
      </c>
      <c r="Z668" s="55" t="str">
        <f aca="false">IF(AND(P668&lt;&gt;"",M668&lt;&gt;"",P668&gt;M668),CONCATENATE("1 : ",TEXT((P668-M668)/M668,"0.00")),"—")</f>
        <v>—</v>
      </c>
      <c r="AA668" s="56" t="str">
        <f aca="false">IF(AND(C668&lt;&gt;"",E668&lt;&gt;""),E668-C668,"")</f>
        <v/>
      </c>
      <c r="AB668" s="42"/>
      <c r="AC668" s="57"/>
      <c r="AD668" s="58"/>
      <c r="AE668" s="59" t="str">
        <f aca="false">IF(G668&lt;&gt;"",HYPERLINK("https://www.tradingview.com/chart/?symbol="&amp;G668&amp;"&amp;interval=60&amp;from="&amp;(AG668-10*3600)&amp;"&amp;to="&amp;(AG668+50*3600),"📈 1H"),"")</f>
        <v/>
      </c>
      <c r="AF668" s="60" t="str">
        <f aca="false">IF(G668&lt;&gt;"",HYPERLINK("https://www.tradingview.com/chart/?symbol="&amp;G668&amp;"&amp;interval=240&amp;from="&amp;(AG668-10*14400)&amp;"&amp;to="&amp;(AG668+50*14400),"📈 4H"),"")</f>
        <v/>
      </c>
      <c r="AG668" s="36" t="str">
        <f aca="false">IF(C668&lt;&gt;"",INT((C668+IF(D668&lt;&gt;"",D668,0)-DATE(1970,1,1))*86400),"")</f>
        <v/>
      </c>
    </row>
    <row r="669" customFormat="false" ht="19.5" hidden="false" customHeight="true" outlineLevel="0" collapsed="false">
      <c r="A669" s="12" t="n">
        <f aca="false">ROW()-4</f>
        <v>665</v>
      </c>
      <c r="B669" s="13"/>
      <c r="C669" s="14"/>
      <c r="D669" s="15"/>
      <c r="E669" s="14"/>
      <c r="F669" s="15"/>
      <c r="G669" s="16"/>
      <c r="H669" s="17"/>
      <c r="I669" s="18"/>
      <c r="J669" s="19"/>
      <c r="K669" s="14"/>
      <c r="L669" s="17"/>
      <c r="M669" s="19"/>
      <c r="N669" s="20"/>
      <c r="O669" s="19"/>
      <c r="P669" s="21"/>
      <c r="Q669" s="22" t="str">
        <f aca="false">IF(L669="","",IF(M669&lt;&gt;"",M669*L669*100,IF(AND(O669&lt;&gt;"",B669&lt;&gt;""),IFERROR(AVERAGEIF($B$5:$B$1004,B669,$M$5:$M$1004)*L669*100,""),"")))</f>
        <v/>
      </c>
      <c r="R669" s="22" t="str">
        <f aca="false">IF(AND(O669&lt;&gt;"",L669&lt;&gt;""),O669*L669*100,"")</f>
        <v/>
      </c>
      <c r="S669" s="23" t="str">
        <f aca="false">IF(AND(P669&lt;&gt;"",L669&lt;&gt;""),P669*L669*100,"")</f>
        <v/>
      </c>
      <c r="T669" s="24" t="str">
        <f aca="false">IF(AND(Q669&lt;&gt;"",R669&lt;&gt;""),R669-Q669,"")</f>
        <v/>
      </c>
      <c r="U669" s="25" t="str">
        <f aca="false">IF(AND(Q669&lt;&gt;"",Q669&lt;&gt;0,T669&lt;&gt;""),T669/Q669,"")</f>
        <v/>
      </c>
      <c r="V669" s="26" t="str">
        <f aca="false">IF(AND(S669&lt;&gt;"",Q669&lt;&gt;""),S669-Q669,"")</f>
        <v/>
      </c>
      <c r="W669" s="27" t="str">
        <f aca="false">IF(AND(Q669&lt;&gt;"",Q669&lt;&gt;0,V669&lt;&gt;""),V669/Q669,"")</f>
        <v/>
      </c>
      <c r="X669" s="28" t="s">
        <v>37</v>
      </c>
      <c r="Y669" s="29" t="str">
        <f aca="false">IF(AND(O669&lt;&gt;"",M669&lt;&gt;"",O669&gt;M669),CONCATENATE("1 : ",TEXT((O669-M669)/M669,"0.00")),IF(AND(O669&lt;&gt;"",M669&lt;&gt;"",O669&lt;M669),CONCATENATE("-1 : ",TEXT((M669-O669)/M669,"0.00")),"—"))</f>
        <v>—</v>
      </c>
      <c r="Z669" s="30" t="str">
        <f aca="false">IF(AND(P669&lt;&gt;"",M669&lt;&gt;"",P669&gt;M669),CONCATENATE("1 : ",TEXT((P669-M669)/M669,"0.00")),"—")</f>
        <v>—</v>
      </c>
      <c r="AA669" s="31" t="str">
        <f aca="false">IF(AND(C669&lt;&gt;"",E669&lt;&gt;""),E669-C669,"")</f>
        <v/>
      </c>
      <c r="AB669" s="17"/>
      <c r="AC669" s="32"/>
      <c r="AD669" s="33"/>
      <c r="AE669" s="34" t="str">
        <f aca="false">IF(G669&lt;&gt;"",HYPERLINK("https://www.tradingview.com/chart/?symbol="&amp;G669&amp;"&amp;interval=60&amp;from="&amp;(AG669-10*3600)&amp;"&amp;to="&amp;(AG669+50*3600),"📈 1H"),"")</f>
        <v/>
      </c>
      <c r="AF669" s="35" t="str">
        <f aca="false">IF(G669&lt;&gt;"",HYPERLINK("https://www.tradingview.com/chart/?symbol="&amp;G669&amp;"&amp;interval=240&amp;from="&amp;(AG669-10*14400)&amp;"&amp;to="&amp;(AG669+50*14400),"📈 4H"),"")</f>
        <v/>
      </c>
      <c r="AG669" s="36" t="str">
        <f aca="false">IF(C669&lt;&gt;"",INT((C669+IF(D669&lt;&gt;"",D669,0)-DATE(1970,1,1))*86400),"")</f>
        <v/>
      </c>
    </row>
    <row r="670" customFormat="false" ht="19.5" hidden="false" customHeight="true" outlineLevel="0" collapsed="false">
      <c r="A670" s="37" t="n">
        <f aca="false">ROW()-4</f>
        <v>666</v>
      </c>
      <c r="B670" s="38"/>
      <c r="C670" s="39"/>
      <c r="D670" s="40"/>
      <c r="E670" s="39"/>
      <c r="F670" s="40"/>
      <c r="G670" s="41"/>
      <c r="H670" s="42"/>
      <c r="I670" s="43"/>
      <c r="J670" s="44"/>
      <c r="K670" s="39"/>
      <c r="L670" s="42"/>
      <c r="M670" s="44"/>
      <c r="N670" s="45"/>
      <c r="O670" s="44"/>
      <c r="P670" s="46"/>
      <c r="Q670" s="47" t="str">
        <f aca="false">IF(L670="","",IF(M670&lt;&gt;"",M670*L670*100,IF(AND(O670&lt;&gt;"",B670&lt;&gt;""),IFERROR(AVERAGEIF($B$5:$B$1004,B670,$M$5:$M$1004)*L670*100,""),"")))</f>
        <v/>
      </c>
      <c r="R670" s="47" t="str">
        <f aca="false">IF(AND(O670&lt;&gt;"",L670&lt;&gt;""),O670*L670*100,"")</f>
        <v/>
      </c>
      <c r="S670" s="48" t="str">
        <f aca="false">IF(AND(P670&lt;&gt;"",L670&lt;&gt;""),P670*L670*100,"")</f>
        <v/>
      </c>
      <c r="T670" s="49" t="str">
        <f aca="false">IF(AND(Q670&lt;&gt;"",R670&lt;&gt;""),R670-Q670,"")</f>
        <v/>
      </c>
      <c r="U670" s="50" t="str">
        <f aca="false">IF(AND(Q670&lt;&gt;"",Q670&lt;&gt;0,T670&lt;&gt;""),T670/Q670,"")</f>
        <v/>
      </c>
      <c r="V670" s="51" t="str">
        <f aca="false">IF(AND(S670&lt;&gt;"",Q670&lt;&gt;""),S670-Q670,"")</f>
        <v/>
      </c>
      <c r="W670" s="52" t="str">
        <f aca="false">IF(AND(Q670&lt;&gt;"",Q670&lt;&gt;0,V670&lt;&gt;""),V670/Q670,"")</f>
        <v/>
      </c>
      <c r="X670" s="53" t="s">
        <v>37</v>
      </c>
      <c r="Y670" s="54" t="str">
        <f aca="false">IF(AND(O670&lt;&gt;"",M670&lt;&gt;"",O670&gt;M670),CONCATENATE("1 : ",TEXT((O670-M670)/M670,"0.00")),IF(AND(O670&lt;&gt;"",M670&lt;&gt;"",O670&lt;M670),CONCATENATE("-1 : ",TEXT((M670-O670)/M670,"0.00")),"—"))</f>
        <v>—</v>
      </c>
      <c r="Z670" s="55" t="str">
        <f aca="false">IF(AND(P670&lt;&gt;"",M670&lt;&gt;"",P670&gt;M670),CONCATENATE("1 : ",TEXT((P670-M670)/M670,"0.00")),"—")</f>
        <v>—</v>
      </c>
      <c r="AA670" s="56" t="str">
        <f aca="false">IF(AND(C670&lt;&gt;"",E670&lt;&gt;""),E670-C670,"")</f>
        <v/>
      </c>
      <c r="AB670" s="42"/>
      <c r="AC670" s="57"/>
      <c r="AD670" s="58"/>
      <c r="AE670" s="59" t="str">
        <f aca="false">IF(G670&lt;&gt;"",HYPERLINK("https://www.tradingview.com/chart/?symbol="&amp;G670&amp;"&amp;interval=60&amp;from="&amp;(AG670-10*3600)&amp;"&amp;to="&amp;(AG670+50*3600),"📈 1H"),"")</f>
        <v/>
      </c>
      <c r="AF670" s="60" t="str">
        <f aca="false">IF(G670&lt;&gt;"",HYPERLINK("https://www.tradingview.com/chart/?symbol="&amp;G670&amp;"&amp;interval=240&amp;from="&amp;(AG670-10*14400)&amp;"&amp;to="&amp;(AG670+50*14400),"📈 4H"),"")</f>
        <v/>
      </c>
      <c r="AG670" s="36" t="str">
        <f aca="false">IF(C670&lt;&gt;"",INT((C670+IF(D670&lt;&gt;"",D670,0)-DATE(1970,1,1))*86400),"")</f>
        <v/>
      </c>
    </row>
    <row r="671" customFormat="false" ht="19.5" hidden="false" customHeight="true" outlineLevel="0" collapsed="false">
      <c r="A671" s="12" t="n">
        <f aca="false">ROW()-4</f>
        <v>667</v>
      </c>
      <c r="B671" s="13"/>
      <c r="C671" s="14"/>
      <c r="D671" s="15"/>
      <c r="E671" s="14"/>
      <c r="F671" s="15"/>
      <c r="G671" s="16"/>
      <c r="H671" s="17"/>
      <c r="I671" s="18"/>
      <c r="J671" s="19"/>
      <c r="K671" s="14"/>
      <c r="L671" s="17"/>
      <c r="M671" s="19"/>
      <c r="N671" s="20"/>
      <c r="O671" s="19"/>
      <c r="P671" s="21"/>
      <c r="Q671" s="22" t="str">
        <f aca="false">IF(L671="","",IF(M671&lt;&gt;"",M671*L671*100,IF(AND(O671&lt;&gt;"",B671&lt;&gt;""),IFERROR(AVERAGEIF($B$5:$B$1004,B671,$M$5:$M$1004)*L671*100,""),"")))</f>
        <v/>
      </c>
      <c r="R671" s="22" t="str">
        <f aca="false">IF(AND(O671&lt;&gt;"",L671&lt;&gt;""),O671*L671*100,"")</f>
        <v/>
      </c>
      <c r="S671" s="23" t="str">
        <f aca="false">IF(AND(P671&lt;&gt;"",L671&lt;&gt;""),P671*L671*100,"")</f>
        <v/>
      </c>
      <c r="T671" s="24" t="str">
        <f aca="false">IF(AND(Q671&lt;&gt;"",R671&lt;&gt;""),R671-Q671,"")</f>
        <v/>
      </c>
      <c r="U671" s="25" t="str">
        <f aca="false">IF(AND(Q671&lt;&gt;"",Q671&lt;&gt;0,T671&lt;&gt;""),T671/Q671,"")</f>
        <v/>
      </c>
      <c r="V671" s="26" t="str">
        <f aca="false">IF(AND(S671&lt;&gt;"",Q671&lt;&gt;""),S671-Q671,"")</f>
        <v/>
      </c>
      <c r="W671" s="27" t="str">
        <f aca="false">IF(AND(Q671&lt;&gt;"",Q671&lt;&gt;0,V671&lt;&gt;""),V671/Q671,"")</f>
        <v/>
      </c>
      <c r="X671" s="28" t="s">
        <v>37</v>
      </c>
      <c r="Y671" s="29" t="str">
        <f aca="false">IF(AND(O671&lt;&gt;"",M671&lt;&gt;"",O671&gt;M671),CONCATENATE("1 : ",TEXT((O671-M671)/M671,"0.00")),IF(AND(O671&lt;&gt;"",M671&lt;&gt;"",O671&lt;M671),CONCATENATE("-1 : ",TEXT((M671-O671)/M671,"0.00")),"—"))</f>
        <v>—</v>
      </c>
      <c r="Z671" s="30" t="str">
        <f aca="false">IF(AND(P671&lt;&gt;"",M671&lt;&gt;"",P671&gt;M671),CONCATENATE("1 : ",TEXT((P671-M671)/M671,"0.00")),"—")</f>
        <v>—</v>
      </c>
      <c r="AA671" s="31" t="str">
        <f aca="false">IF(AND(C671&lt;&gt;"",E671&lt;&gt;""),E671-C671,"")</f>
        <v/>
      </c>
      <c r="AB671" s="17"/>
      <c r="AC671" s="32"/>
      <c r="AD671" s="33"/>
      <c r="AE671" s="34" t="str">
        <f aca="false">IF(G671&lt;&gt;"",HYPERLINK("https://www.tradingview.com/chart/?symbol="&amp;G671&amp;"&amp;interval=60&amp;from="&amp;(AG671-10*3600)&amp;"&amp;to="&amp;(AG671+50*3600),"📈 1H"),"")</f>
        <v/>
      </c>
      <c r="AF671" s="35" t="str">
        <f aca="false">IF(G671&lt;&gt;"",HYPERLINK("https://www.tradingview.com/chart/?symbol="&amp;G671&amp;"&amp;interval=240&amp;from="&amp;(AG671-10*14400)&amp;"&amp;to="&amp;(AG671+50*14400),"📈 4H"),"")</f>
        <v/>
      </c>
      <c r="AG671" s="36" t="str">
        <f aca="false">IF(C671&lt;&gt;"",INT((C671+IF(D671&lt;&gt;"",D671,0)-DATE(1970,1,1))*86400),"")</f>
        <v/>
      </c>
    </row>
    <row r="672" customFormat="false" ht="19.5" hidden="false" customHeight="true" outlineLevel="0" collapsed="false">
      <c r="A672" s="37" t="n">
        <f aca="false">ROW()-4</f>
        <v>668</v>
      </c>
      <c r="B672" s="38"/>
      <c r="C672" s="39"/>
      <c r="D672" s="40"/>
      <c r="E672" s="39"/>
      <c r="F672" s="40"/>
      <c r="G672" s="41"/>
      <c r="H672" s="42"/>
      <c r="I672" s="43"/>
      <c r="J672" s="44"/>
      <c r="K672" s="39"/>
      <c r="L672" s="42"/>
      <c r="M672" s="44"/>
      <c r="N672" s="45"/>
      <c r="O672" s="44"/>
      <c r="P672" s="46"/>
      <c r="Q672" s="47" t="str">
        <f aca="false">IF(L672="","",IF(M672&lt;&gt;"",M672*L672*100,IF(AND(O672&lt;&gt;"",B672&lt;&gt;""),IFERROR(AVERAGEIF($B$5:$B$1004,B672,$M$5:$M$1004)*L672*100,""),"")))</f>
        <v/>
      </c>
      <c r="R672" s="47" t="str">
        <f aca="false">IF(AND(O672&lt;&gt;"",L672&lt;&gt;""),O672*L672*100,"")</f>
        <v/>
      </c>
      <c r="S672" s="48" t="str">
        <f aca="false">IF(AND(P672&lt;&gt;"",L672&lt;&gt;""),P672*L672*100,"")</f>
        <v/>
      </c>
      <c r="T672" s="49" t="str">
        <f aca="false">IF(AND(Q672&lt;&gt;"",R672&lt;&gt;""),R672-Q672,"")</f>
        <v/>
      </c>
      <c r="U672" s="50" t="str">
        <f aca="false">IF(AND(Q672&lt;&gt;"",Q672&lt;&gt;0,T672&lt;&gt;""),T672/Q672,"")</f>
        <v/>
      </c>
      <c r="V672" s="51" t="str">
        <f aca="false">IF(AND(S672&lt;&gt;"",Q672&lt;&gt;""),S672-Q672,"")</f>
        <v/>
      </c>
      <c r="W672" s="52" t="str">
        <f aca="false">IF(AND(Q672&lt;&gt;"",Q672&lt;&gt;0,V672&lt;&gt;""),V672/Q672,"")</f>
        <v/>
      </c>
      <c r="X672" s="53" t="s">
        <v>37</v>
      </c>
      <c r="Y672" s="54" t="str">
        <f aca="false">IF(AND(O672&lt;&gt;"",M672&lt;&gt;"",O672&gt;M672),CONCATENATE("1 : ",TEXT((O672-M672)/M672,"0.00")),IF(AND(O672&lt;&gt;"",M672&lt;&gt;"",O672&lt;M672),CONCATENATE("-1 : ",TEXT((M672-O672)/M672,"0.00")),"—"))</f>
        <v>—</v>
      </c>
      <c r="Z672" s="55" t="str">
        <f aca="false">IF(AND(P672&lt;&gt;"",M672&lt;&gt;"",P672&gt;M672),CONCATENATE("1 : ",TEXT((P672-M672)/M672,"0.00")),"—")</f>
        <v>—</v>
      </c>
      <c r="AA672" s="56" t="str">
        <f aca="false">IF(AND(C672&lt;&gt;"",E672&lt;&gt;""),E672-C672,"")</f>
        <v/>
      </c>
      <c r="AB672" s="42"/>
      <c r="AC672" s="57"/>
      <c r="AD672" s="58"/>
      <c r="AE672" s="59" t="str">
        <f aca="false">IF(G672&lt;&gt;"",HYPERLINK("https://www.tradingview.com/chart/?symbol="&amp;G672&amp;"&amp;interval=60&amp;from="&amp;(AG672-10*3600)&amp;"&amp;to="&amp;(AG672+50*3600),"📈 1H"),"")</f>
        <v/>
      </c>
      <c r="AF672" s="60" t="str">
        <f aca="false">IF(G672&lt;&gt;"",HYPERLINK("https://www.tradingview.com/chart/?symbol="&amp;G672&amp;"&amp;interval=240&amp;from="&amp;(AG672-10*14400)&amp;"&amp;to="&amp;(AG672+50*14400),"📈 4H"),"")</f>
        <v/>
      </c>
      <c r="AG672" s="36" t="str">
        <f aca="false">IF(C672&lt;&gt;"",INT((C672+IF(D672&lt;&gt;"",D672,0)-DATE(1970,1,1))*86400),"")</f>
        <v/>
      </c>
    </row>
    <row r="673" customFormat="false" ht="19.5" hidden="false" customHeight="true" outlineLevel="0" collapsed="false">
      <c r="A673" s="12" t="n">
        <f aca="false">ROW()-4</f>
        <v>669</v>
      </c>
      <c r="B673" s="13"/>
      <c r="C673" s="14"/>
      <c r="D673" s="15"/>
      <c r="E673" s="14"/>
      <c r="F673" s="15"/>
      <c r="G673" s="16"/>
      <c r="H673" s="17"/>
      <c r="I673" s="18"/>
      <c r="J673" s="19"/>
      <c r="K673" s="14"/>
      <c r="L673" s="17"/>
      <c r="M673" s="19"/>
      <c r="N673" s="20"/>
      <c r="O673" s="19"/>
      <c r="P673" s="21"/>
      <c r="Q673" s="22" t="str">
        <f aca="false">IF(L673="","",IF(M673&lt;&gt;"",M673*L673*100,IF(AND(O673&lt;&gt;"",B673&lt;&gt;""),IFERROR(AVERAGEIF($B$5:$B$1004,B673,$M$5:$M$1004)*L673*100,""),"")))</f>
        <v/>
      </c>
      <c r="R673" s="22" t="str">
        <f aca="false">IF(AND(O673&lt;&gt;"",L673&lt;&gt;""),O673*L673*100,"")</f>
        <v/>
      </c>
      <c r="S673" s="23" t="str">
        <f aca="false">IF(AND(P673&lt;&gt;"",L673&lt;&gt;""),P673*L673*100,"")</f>
        <v/>
      </c>
      <c r="T673" s="24" t="str">
        <f aca="false">IF(AND(Q673&lt;&gt;"",R673&lt;&gt;""),R673-Q673,"")</f>
        <v/>
      </c>
      <c r="U673" s="25" t="str">
        <f aca="false">IF(AND(Q673&lt;&gt;"",Q673&lt;&gt;0,T673&lt;&gt;""),T673/Q673,"")</f>
        <v/>
      </c>
      <c r="V673" s="26" t="str">
        <f aca="false">IF(AND(S673&lt;&gt;"",Q673&lt;&gt;""),S673-Q673,"")</f>
        <v/>
      </c>
      <c r="W673" s="27" t="str">
        <f aca="false">IF(AND(Q673&lt;&gt;"",Q673&lt;&gt;0,V673&lt;&gt;""),V673/Q673,"")</f>
        <v/>
      </c>
      <c r="X673" s="28" t="s">
        <v>37</v>
      </c>
      <c r="Y673" s="29" t="str">
        <f aca="false">IF(AND(O673&lt;&gt;"",M673&lt;&gt;"",O673&gt;M673),CONCATENATE("1 : ",TEXT((O673-M673)/M673,"0.00")),IF(AND(O673&lt;&gt;"",M673&lt;&gt;"",O673&lt;M673),CONCATENATE("-1 : ",TEXT((M673-O673)/M673,"0.00")),"—"))</f>
        <v>—</v>
      </c>
      <c r="Z673" s="30" t="str">
        <f aca="false">IF(AND(P673&lt;&gt;"",M673&lt;&gt;"",P673&gt;M673),CONCATENATE("1 : ",TEXT((P673-M673)/M673,"0.00")),"—")</f>
        <v>—</v>
      </c>
      <c r="AA673" s="31" t="str">
        <f aca="false">IF(AND(C673&lt;&gt;"",E673&lt;&gt;""),E673-C673,"")</f>
        <v/>
      </c>
      <c r="AB673" s="17"/>
      <c r="AC673" s="32"/>
      <c r="AD673" s="33"/>
      <c r="AE673" s="34" t="str">
        <f aca="false">IF(G673&lt;&gt;"",HYPERLINK("https://www.tradingview.com/chart/?symbol="&amp;G673&amp;"&amp;interval=60&amp;from="&amp;(AG673-10*3600)&amp;"&amp;to="&amp;(AG673+50*3600),"📈 1H"),"")</f>
        <v/>
      </c>
      <c r="AF673" s="35" t="str">
        <f aca="false">IF(G673&lt;&gt;"",HYPERLINK("https://www.tradingview.com/chart/?symbol="&amp;G673&amp;"&amp;interval=240&amp;from="&amp;(AG673-10*14400)&amp;"&amp;to="&amp;(AG673+50*14400),"📈 4H"),"")</f>
        <v/>
      </c>
      <c r="AG673" s="36" t="str">
        <f aca="false">IF(C673&lt;&gt;"",INT((C673+IF(D673&lt;&gt;"",D673,0)-DATE(1970,1,1))*86400),"")</f>
        <v/>
      </c>
    </row>
    <row r="674" customFormat="false" ht="19.5" hidden="false" customHeight="true" outlineLevel="0" collapsed="false">
      <c r="A674" s="37" t="n">
        <f aca="false">ROW()-4</f>
        <v>670</v>
      </c>
      <c r="B674" s="38"/>
      <c r="C674" s="39"/>
      <c r="D674" s="40"/>
      <c r="E674" s="39"/>
      <c r="F674" s="40"/>
      <c r="G674" s="41"/>
      <c r="H674" s="42"/>
      <c r="I674" s="43"/>
      <c r="J674" s="44"/>
      <c r="K674" s="39"/>
      <c r="L674" s="42"/>
      <c r="M674" s="44"/>
      <c r="N674" s="45"/>
      <c r="O674" s="44"/>
      <c r="P674" s="46"/>
      <c r="Q674" s="47" t="str">
        <f aca="false">IF(L674="","",IF(M674&lt;&gt;"",M674*L674*100,IF(AND(O674&lt;&gt;"",B674&lt;&gt;""),IFERROR(AVERAGEIF($B$5:$B$1004,B674,$M$5:$M$1004)*L674*100,""),"")))</f>
        <v/>
      </c>
      <c r="R674" s="47" t="str">
        <f aca="false">IF(AND(O674&lt;&gt;"",L674&lt;&gt;""),O674*L674*100,"")</f>
        <v/>
      </c>
      <c r="S674" s="48" t="str">
        <f aca="false">IF(AND(P674&lt;&gt;"",L674&lt;&gt;""),P674*L674*100,"")</f>
        <v/>
      </c>
      <c r="T674" s="49" t="str">
        <f aca="false">IF(AND(Q674&lt;&gt;"",R674&lt;&gt;""),R674-Q674,"")</f>
        <v/>
      </c>
      <c r="U674" s="50" t="str">
        <f aca="false">IF(AND(Q674&lt;&gt;"",Q674&lt;&gt;0,T674&lt;&gt;""),T674/Q674,"")</f>
        <v/>
      </c>
      <c r="V674" s="51" t="str">
        <f aca="false">IF(AND(S674&lt;&gt;"",Q674&lt;&gt;""),S674-Q674,"")</f>
        <v/>
      </c>
      <c r="W674" s="52" t="str">
        <f aca="false">IF(AND(Q674&lt;&gt;"",Q674&lt;&gt;0,V674&lt;&gt;""),V674/Q674,"")</f>
        <v/>
      </c>
      <c r="X674" s="53" t="s">
        <v>37</v>
      </c>
      <c r="Y674" s="54" t="str">
        <f aca="false">IF(AND(O674&lt;&gt;"",M674&lt;&gt;"",O674&gt;M674),CONCATENATE("1 : ",TEXT((O674-M674)/M674,"0.00")),IF(AND(O674&lt;&gt;"",M674&lt;&gt;"",O674&lt;M674),CONCATENATE("-1 : ",TEXT((M674-O674)/M674,"0.00")),"—"))</f>
        <v>—</v>
      </c>
      <c r="Z674" s="55" t="str">
        <f aca="false">IF(AND(P674&lt;&gt;"",M674&lt;&gt;"",P674&gt;M674),CONCATENATE("1 : ",TEXT((P674-M674)/M674,"0.00")),"—")</f>
        <v>—</v>
      </c>
      <c r="AA674" s="56" t="str">
        <f aca="false">IF(AND(C674&lt;&gt;"",E674&lt;&gt;""),E674-C674,"")</f>
        <v/>
      </c>
      <c r="AB674" s="42"/>
      <c r="AC674" s="57"/>
      <c r="AD674" s="58"/>
      <c r="AE674" s="59" t="str">
        <f aca="false">IF(G674&lt;&gt;"",HYPERLINK("https://www.tradingview.com/chart/?symbol="&amp;G674&amp;"&amp;interval=60&amp;from="&amp;(AG674-10*3600)&amp;"&amp;to="&amp;(AG674+50*3600),"📈 1H"),"")</f>
        <v/>
      </c>
      <c r="AF674" s="60" t="str">
        <f aca="false">IF(G674&lt;&gt;"",HYPERLINK("https://www.tradingview.com/chart/?symbol="&amp;G674&amp;"&amp;interval=240&amp;from="&amp;(AG674-10*14400)&amp;"&amp;to="&amp;(AG674+50*14400),"📈 4H"),"")</f>
        <v/>
      </c>
      <c r="AG674" s="36" t="str">
        <f aca="false">IF(C674&lt;&gt;"",INT((C674+IF(D674&lt;&gt;"",D674,0)-DATE(1970,1,1))*86400),"")</f>
        <v/>
      </c>
    </row>
    <row r="675" customFormat="false" ht="19.5" hidden="false" customHeight="true" outlineLevel="0" collapsed="false">
      <c r="A675" s="12" t="n">
        <f aca="false">ROW()-4</f>
        <v>671</v>
      </c>
      <c r="B675" s="13"/>
      <c r="C675" s="14"/>
      <c r="D675" s="15"/>
      <c r="E675" s="14"/>
      <c r="F675" s="15"/>
      <c r="G675" s="16"/>
      <c r="H675" s="17"/>
      <c r="I675" s="18"/>
      <c r="J675" s="19"/>
      <c r="K675" s="14"/>
      <c r="L675" s="17"/>
      <c r="M675" s="19"/>
      <c r="N675" s="20"/>
      <c r="O675" s="19"/>
      <c r="P675" s="21"/>
      <c r="Q675" s="22" t="str">
        <f aca="false">IF(L675="","",IF(M675&lt;&gt;"",M675*L675*100,IF(AND(O675&lt;&gt;"",B675&lt;&gt;""),IFERROR(AVERAGEIF($B$5:$B$1004,B675,$M$5:$M$1004)*L675*100,""),"")))</f>
        <v/>
      </c>
      <c r="R675" s="22" t="str">
        <f aca="false">IF(AND(O675&lt;&gt;"",L675&lt;&gt;""),O675*L675*100,"")</f>
        <v/>
      </c>
      <c r="S675" s="23" t="str">
        <f aca="false">IF(AND(P675&lt;&gt;"",L675&lt;&gt;""),P675*L675*100,"")</f>
        <v/>
      </c>
      <c r="T675" s="24" t="str">
        <f aca="false">IF(AND(Q675&lt;&gt;"",R675&lt;&gt;""),R675-Q675,"")</f>
        <v/>
      </c>
      <c r="U675" s="25" t="str">
        <f aca="false">IF(AND(Q675&lt;&gt;"",Q675&lt;&gt;0,T675&lt;&gt;""),T675/Q675,"")</f>
        <v/>
      </c>
      <c r="V675" s="26" t="str">
        <f aca="false">IF(AND(S675&lt;&gt;"",Q675&lt;&gt;""),S675-Q675,"")</f>
        <v/>
      </c>
      <c r="W675" s="27" t="str">
        <f aca="false">IF(AND(Q675&lt;&gt;"",Q675&lt;&gt;0,V675&lt;&gt;""),V675/Q675,"")</f>
        <v/>
      </c>
      <c r="X675" s="28" t="s">
        <v>37</v>
      </c>
      <c r="Y675" s="29" t="str">
        <f aca="false">IF(AND(O675&lt;&gt;"",M675&lt;&gt;"",O675&gt;M675),CONCATENATE("1 : ",TEXT((O675-M675)/M675,"0.00")),IF(AND(O675&lt;&gt;"",M675&lt;&gt;"",O675&lt;M675),CONCATENATE("-1 : ",TEXT((M675-O675)/M675,"0.00")),"—"))</f>
        <v>—</v>
      </c>
      <c r="Z675" s="30" t="str">
        <f aca="false">IF(AND(P675&lt;&gt;"",M675&lt;&gt;"",P675&gt;M675),CONCATENATE("1 : ",TEXT((P675-M675)/M675,"0.00")),"—")</f>
        <v>—</v>
      </c>
      <c r="AA675" s="31" t="str">
        <f aca="false">IF(AND(C675&lt;&gt;"",E675&lt;&gt;""),E675-C675,"")</f>
        <v/>
      </c>
      <c r="AB675" s="17"/>
      <c r="AC675" s="32"/>
      <c r="AD675" s="33"/>
      <c r="AE675" s="34" t="str">
        <f aca="false">IF(G675&lt;&gt;"",HYPERLINK("https://www.tradingview.com/chart/?symbol="&amp;G675&amp;"&amp;interval=60&amp;from="&amp;(AG675-10*3600)&amp;"&amp;to="&amp;(AG675+50*3600),"📈 1H"),"")</f>
        <v/>
      </c>
      <c r="AF675" s="35" t="str">
        <f aca="false">IF(G675&lt;&gt;"",HYPERLINK("https://www.tradingview.com/chart/?symbol="&amp;G675&amp;"&amp;interval=240&amp;from="&amp;(AG675-10*14400)&amp;"&amp;to="&amp;(AG675+50*14400),"📈 4H"),"")</f>
        <v/>
      </c>
      <c r="AG675" s="36" t="str">
        <f aca="false">IF(C675&lt;&gt;"",INT((C675+IF(D675&lt;&gt;"",D675,0)-DATE(1970,1,1))*86400),"")</f>
        <v/>
      </c>
    </row>
    <row r="676" customFormat="false" ht="19.5" hidden="false" customHeight="true" outlineLevel="0" collapsed="false">
      <c r="A676" s="37" t="n">
        <f aca="false">ROW()-4</f>
        <v>672</v>
      </c>
      <c r="B676" s="38"/>
      <c r="C676" s="39"/>
      <c r="D676" s="40"/>
      <c r="E676" s="39"/>
      <c r="F676" s="40"/>
      <c r="G676" s="41"/>
      <c r="H676" s="42"/>
      <c r="I676" s="43"/>
      <c r="J676" s="44"/>
      <c r="K676" s="39"/>
      <c r="L676" s="42"/>
      <c r="M676" s="44"/>
      <c r="N676" s="45"/>
      <c r="O676" s="44"/>
      <c r="P676" s="46"/>
      <c r="Q676" s="47" t="str">
        <f aca="false">IF(L676="","",IF(M676&lt;&gt;"",M676*L676*100,IF(AND(O676&lt;&gt;"",B676&lt;&gt;""),IFERROR(AVERAGEIF($B$5:$B$1004,B676,$M$5:$M$1004)*L676*100,""),"")))</f>
        <v/>
      </c>
      <c r="R676" s="47" t="str">
        <f aca="false">IF(AND(O676&lt;&gt;"",L676&lt;&gt;""),O676*L676*100,"")</f>
        <v/>
      </c>
      <c r="S676" s="48" t="str">
        <f aca="false">IF(AND(P676&lt;&gt;"",L676&lt;&gt;""),P676*L676*100,"")</f>
        <v/>
      </c>
      <c r="T676" s="49" t="str">
        <f aca="false">IF(AND(Q676&lt;&gt;"",R676&lt;&gt;""),R676-Q676,"")</f>
        <v/>
      </c>
      <c r="U676" s="50" t="str">
        <f aca="false">IF(AND(Q676&lt;&gt;"",Q676&lt;&gt;0,T676&lt;&gt;""),T676/Q676,"")</f>
        <v/>
      </c>
      <c r="V676" s="51" t="str">
        <f aca="false">IF(AND(S676&lt;&gt;"",Q676&lt;&gt;""),S676-Q676,"")</f>
        <v/>
      </c>
      <c r="W676" s="52" t="str">
        <f aca="false">IF(AND(Q676&lt;&gt;"",Q676&lt;&gt;0,V676&lt;&gt;""),V676/Q676,"")</f>
        <v/>
      </c>
      <c r="X676" s="53" t="s">
        <v>37</v>
      </c>
      <c r="Y676" s="54" t="str">
        <f aca="false">IF(AND(O676&lt;&gt;"",M676&lt;&gt;"",O676&gt;M676),CONCATENATE("1 : ",TEXT((O676-M676)/M676,"0.00")),IF(AND(O676&lt;&gt;"",M676&lt;&gt;"",O676&lt;M676),CONCATENATE("-1 : ",TEXT((M676-O676)/M676,"0.00")),"—"))</f>
        <v>—</v>
      </c>
      <c r="Z676" s="55" t="str">
        <f aca="false">IF(AND(P676&lt;&gt;"",M676&lt;&gt;"",P676&gt;M676),CONCATENATE("1 : ",TEXT((P676-M676)/M676,"0.00")),"—")</f>
        <v>—</v>
      </c>
      <c r="AA676" s="56" t="str">
        <f aca="false">IF(AND(C676&lt;&gt;"",E676&lt;&gt;""),E676-C676,"")</f>
        <v/>
      </c>
      <c r="AB676" s="42"/>
      <c r="AC676" s="57"/>
      <c r="AD676" s="58"/>
      <c r="AE676" s="59" t="str">
        <f aca="false">IF(G676&lt;&gt;"",HYPERLINK("https://www.tradingview.com/chart/?symbol="&amp;G676&amp;"&amp;interval=60&amp;from="&amp;(AG676-10*3600)&amp;"&amp;to="&amp;(AG676+50*3600),"📈 1H"),"")</f>
        <v/>
      </c>
      <c r="AF676" s="60" t="str">
        <f aca="false">IF(G676&lt;&gt;"",HYPERLINK("https://www.tradingview.com/chart/?symbol="&amp;G676&amp;"&amp;interval=240&amp;from="&amp;(AG676-10*14400)&amp;"&amp;to="&amp;(AG676+50*14400),"📈 4H"),"")</f>
        <v/>
      </c>
      <c r="AG676" s="36" t="str">
        <f aca="false">IF(C676&lt;&gt;"",INT((C676+IF(D676&lt;&gt;"",D676,0)-DATE(1970,1,1))*86400),"")</f>
        <v/>
      </c>
    </row>
    <row r="677" customFormat="false" ht="19.5" hidden="false" customHeight="true" outlineLevel="0" collapsed="false">
      <c r="A677" s="12" t="n">
        <f aca="false">ROW()-4</f>
        <v>673</v>
      </c>
      <c r="B677" s="13"/>
      <c r="C677" s="14"/>
      <c r="D677" s="15"/>
      <c r="E677" s="14"/>
      <c r="F677" s="15"/>
      <c r="G677" s="16"/>
      <c r="H677" s="17"/>
      <c r="I677" s="18"/>
      <c r="J677" s="19"/>
      <c r="K677" s="14"/>
      <c r="L677" s="17"/>
      <c r="M677" s="19"/>
      <c r="N677" s="20"/>
      <c r="O677" s="19"/>
      <c r="P677" s="21"/>
      <c r="Q677" s="22" t="str">
        <f aca="false">IF(L677="","",IF(M677&lt;&gt;"",M677*L677*100,IF(AND(O677&lt;&gt;"",B677&lt;&gt;""),IFERROR(AVERAGEIF($B$5:$B$1004,B677,$M$5:$M$1004)*L677*100,""),"")))</f>
        <v/>
      </c>
      <c r="R677" s="22" t="str">
        <f aca="false">IF(AND(O677&lt;&gt;"",L677&lt;&gt;""),O677*L677*100,"")</f>
        <v/>
      </c>
      <c r="S677" s="23" t="str">
        <f aca="false">IF(AND(P677&lt;&gt;"",L677&lt;&gt;""),P677*L677*100,"")</f>
        <v/>
      </c>
      <c r="T677" s="24" t="str">
        <f aca="false">IF(AND(Q677&lt;&gt;"",R677&lt;&gt;""),R677-Q677,"")</f>
        <v/>
      </c>
      <c r="U677" s="25" t="str">
        <f aca="false">IF(AND(Q677&lt;&gt;"",Q677&lt;&gt;0,T677&lt;&gt;""),T677/Q677,"")</f>
        <v/>
      </c>
      <c r="V677" s="26" t="str">
        <f aca="false">IF(AND(S677&lt;&gt;"",Q677&lt;&gt;""),S677-Q677,"")</f>
        <v/>
      </c>
      <c r="W677" s="27" t="str">
        <f aca="false">IF(AND(Q677&lt;&gt;"",Q677&lt;&gt;0,V677&lt;&gt;""),V677/Q677,"")</f>
        <v/>
      </c>
      <c r="X677" s="28" t="s">
        <v>37</v>
      </c>
      <c r="Y677" s="29" t="str">
        <f aca="false">IF(AND(O677&lt;&gt;"",M677&lt;&gt;"",O677&gt;M677),CONCATENATE("1 : ",TEXT((O677-M677)/M677,"0.00")),IF(AND(O677&lt;&gt;"",M677&lt;&gt;"",O677&lt;M677),CONCATENATE("-1 : ",TEXT((M677-O677)/M677,"0.00")),"—"))</f>
        <v>—</v>
      </c>
      <c r="Z677" s="30" t="str">
        <f aca="false">IF(AND(P677&lt;&gt;"",M677&lt;&gt;"",P677&gt;M677),CONCATENATE("1 : ",TEXT((P677-M677)/M677,"0.00")),"—")</f>
        <v>—</v>
      </c>
      <c r="AA677" s="31" t="str">
        <f aca="false">IF(AND(C677&lt;&gt;"",E677&lt;&gt;""),E677-C677,"")</f>
        <v/>
      </c>
      <c r="AB677" s="17"/>
      <c r="AC677" s="32"/>
      <c r="AD677" s="33"/>
      <c r="AE677" s="34" t="str">
        <f aca="false">IF(G677&lt;&gt;"",HYPERLINK("https://www.tradingview.com/chart/?symbol="&amp;G677&amp;"&amp;interval=60&amp;from="&amp;(AG677-10*3600)&amp;"&amp;to="&amp;(AG677+50*3600),"📈 1H"),"")</f>
        <v/>
      </c>
      <c r="AF677" s="35" t="str">
        <f aca="false">IF(G677&lt;&gt;"",HYPERLINK("https://www.tradingview.com/chart/?symbol="&amp;G677&amp;"&amp;interval=240&amp;from="&amp;(AG677-10*14400)&amp;"&amp;to="&amp;(AG677+50*14400),"📈 4H"),"")</f>
        <v/>
      </c>
      <c r="AG677" s="36" t="str">
        <f aca="false">IF(C677&lt;&gt;"",INT((C677+IF(D677&lt;&gt;"",D677,0)-DATE(1970,1,1))*86400),"")</f>
        <v/>
      </c>
    </row>
    <row r="678" customFormat="false" ht="19.5" hidden="false" customHeight="true" outlineLevel="0" collapsed="false">
      <c r="A678" s="37" t="n">
        <f aca="false">ROW()-4</f>
        <v>674</v>
      </c>
      <c r="B678" s="38"/>
      <c r="C678" s="39"/>
      <c r="D678" s="40"/>
      <c r="E678" s="39"/>
      <c r="F678" s="40"/>
      <c r="G678" s="41"/>
      <c r="H678" s="42"/>
      <c r="I678" s="43"/>
      <c r="J678" s="44"/>
      <c r="K678" s="39"/>
      <c r="L678" s="42"/>
      <c r="M678" s="44"/>
      <c r="N678" s="45"/>
      <c r="O678" s="44"/>
      <c r="P678" s="46"/>
      <c r="Q678" s="47" t="str">
        <f aca="false">IF(L678="","",IF(M678&lt;&gt;"",M678*L678*100,IF(AND(O678&lt;&gt;"",B678&lt;&gt;""),IFERROR(AVERAGEIF($B$5:$B$1004,B678,$M$5:$M$1004)*L678*100,""),"")))</f>
        <v/>
      </c>
      <c r="R678" s="47" t="str">
        <f aca="false">IF(AND(O678&lt;&gt;"",L678&lt;&gt;""),O678*L678*100,"")</f>
        <v/>
      </c>
      <c r="S678" s="48" t="str">
        <f aca="false">IF(AND(P678&lt;&gt;"",L678&lt;&gt;""),P678*L678*100,"")</f>
        <v/>
      </c>
      <c r="T678" s="49" t="str">
        <f aca="false">IF(AND(Q678&lt;&gt;"",R678&lt;&gt;""),R678-Q678,"")</f>
        <v/>
      </c>
      <c r="U678" s="50" t="str">
        <f aca="false">IF(AND(Q678&lt;&gt;"",Q678&lt;&gt;0,T678&lt;&gt;""),T678/Q678,"")</f>
        <v/>
      </c>
      <c r="V678" s="51" t="str">
        <f aca="false">IF(AND(S678&lt;&gt;"",Q678&lt;&gt;""),S678-Q678,"")</f>
        <v/>
      </c>
      <c r="W678" s="52" t="str">
        <f aca="false">IF(AND(Q678&lt;&gt;"",Q678&lt;&gt;0,V678&lt;&gt;""),V678/Q678,"")</f>
        <v/>
      </c>
      <c r="X678" s="53" t="s">
        <v>37</v>
      </c>
      <c r="Y678" s="54" t="str">
        <f aca="false">IF(AND(O678&lt;&gt;"",M678&lt;&gt;"",O678&gt;M678),CONCATENATE("1 : ",TEXT((O678-M678)/M678,"0.00")),IF(AND(O678&lt;&gt;"",M678&lt;&gt;"",O678&lt;M678),CONCATENATE("-1 : ",TEXT((M678-O678)/M678,"0.00")),"—"))</f>
        <v>—</v>
      </c>
      <c r="Z678" s="55" t="str">
        <f aca="false">IF(AND(P678&lt;&gt;"",M678&lt;&gt;"",P678&gt;M678),CONCATENATE("1 : ",TEXT((P678-M678)/M678,"0.00")),"—")</f>
        <v>—</v>
      </c>
      <c r="AA678" s="56" t="str">
        <f aca="false">IF(AND(C678&lt;&gt;"",E678&lt;&gt;""),E678-C678,"")</f>
        <v/>
      </c>
      <c r="AB678" s="42"/>
      <c r="AC678" s="57"/>
      <c r="AD678" s="58"/>
      <c r="AE678" s="59" t="str">
        <f aca="false">IF(G678&lt;&gt;"",HYPERLINK("https://www.tradingview.com/chart/?symbol="&amp;G678&amp;"&amp;interval=60&amp;from="&amp;(AG678-10*3600)&amp;"&amp;to="&amp;(AG678+50*3600),"📈 1H"),"")</f>
        <v/>
      </c>
      <c r="AF678" s="60" t="str">
        <f aca="false">IF(G678&lt;&gt;"",HYPERLINK("https://www.tradingview.com/chart/?symbol="&amp;G678&amp;"&amp;interval=240&amp;from="&amp;(AG678-10*14400)&amp;"&amp;to="&amp;(AG678+50*14400),"📈 4H"),"")</f>
        <v/>
      </c>
      <c r="AG678" s="36" t="str">
        <f aca="false">IF(C678&lt;&gt;"",INT((C678+IF(D678&lt;&gt;"",D678,0)-DATE(1970,1,1))*86400),"")</f>
        <v/>
      </c>
    </row>
    <row r="679" customFormat="false" ht="19.5" hidden="false" customHeight="true" outlineLevel="0" collapsed="false">
      <c r="A679" s="12" t="n">
        <f aca="false">ROW()-4</f>
        <v>675</v>
      </c>
      <c r="B679" s="13"/>
      <c r="C679" s="14"/>
      <c r="D679" s="15"/>
      <c r="E679" s="14"/>
      <c r="F679" s="15"/>
      <c r="G679" s="16"/>
      <c r="H679" s="17"/>
      <c r="I679" s="18"/>
      <c r="J679" s="19"/>
      <c r="K679" s="14"/>
      <c r="L679" s="17"/>
      <c r="M679" s="19"/>
      <c r="N679" s="20"/>
      <c r="O679" s="19"/>
      <c r="P679" s="21"/>
      <c r="Q679" s="22" t="str">
        <f aca="false">IF(L679="","",IF(M679&lt;&gt;"",M679*L679*100,IF(AND(O679&lt;&gt;"",B679&lt;&gt;""),IFERROR(AVERAGEIF($B$5:$B$1004,B679,$M$5:$M$1004)*L679*100,""),"")))</f>
        <v/>
      </c>
      <c r="R679" s="22" t="str">
        <f aca="false">IF(AND(O679&lt;&gt;"",L679&lt;&gt;""),O679*L679*100,"")</f>
        <v/>
      </c>
      <c r="S679" s="23" t="str">
        <f aca="false">IF(AND(P679&lt;&gt;"",L679&lt;&gt;""),P679*L679*100,"")</f>
        <v/>
      </c>
      <c r="T679" s="24" t="str">
        <f aca="false">IF(AND(Q679&lt;&gt;"",R679&lt;&gt;""),R679-Q679,"")</f>
        <v/>
      </c>
      <c r="U679" s="25" t="str">
        <f aca="false">IF(AND(Q679&lt;&gt;"",Q679&lt;&gt;0,T679&lt;&gt;""),T679/Q679,"")</f>
        <v/>
      </c>
      <c r="V679" s="26" t="str">
        <f aca="false">IF(AND(S679&lt;&gt;"",Q679&lt;&gt;""),S679-Q679,"")</f>
        <v/>
      </c>
      <c r="W679" s="27" t="str">
        <f aca="false">IF(AND(Q679&lt;&gt;"",Q679&lt;&gt;0,V679&lt;&gt;""),V679/Q679,"")</f>
        <v/>
      </c>
      <c r="X679" s="28" t="s">
        <v>37</v>
      </c>
      <c r="Y679" s="29" t="str">
        <f aca="false">IF(AND(O679&lt;&gt;"",M679&lt;&gt;"",O679&gt;M679),CONCATENATE("1 : ",TEXT((O679-M679)/M679,"0.00")),IF(AND(O679&lt;&gt;"",M679&lt;&gt;"",O679&lt;M679),CONCATENATE("-1 : ",TEXT((M679-O679)/M679,"0.00")),"—"))</f>
        <v>—</v>
      </c>
      <c r="Z679" s="30" t="str">
        <f aca="false">IF(AND(P679&lt;&gt;"",M679&lt;&gt;"",P679&gt;M679),CONCATENATE("1 : ",TEXT((P679-M679)/M679,"0.00")),"—")</f>
        <v>—</v>
      </c>
      <c r="AA679" s="31" t="str">
        <f aca="false">IF(AND(C679&lt;&gt;"",E679&lt;&gt;""),E679-C679,"")</f>
        <v/>
      </c>
      <c r="AB679" s="17"/>
      <c r="AC679" s="32"/>
      <c r="AD679" s="33"/>
      <c r="AE679" s="34" t="str">
        <f aca="false">IF(G679&lt;&gt;"",HYPERLINK("https://www.tradingview.com/chart/?symbol="&amp;G679&amp;"&amp;interval=60&amp;from="&amp;(AG679-10*3600)&amp;"&amp;to="&amp;(AG679+50*3600),"📈 1H"),"")</f>
        <v/>
      </c>
      <c r="AF679" s="35" t="str">
        <f aca="false">IF(G679&lt;&gt;"",HYPERLINK("https://www.tradingview.com/chart/?symbol="&amp;G679&amp;"&amp;interval=240&amp;from="&amp;(AG679-10*14400)&amp;"&amp;to="&amp;(AG679+50*14400),"📈 4H"),"")</f>
        <v/>
      </c>
      <c r="AG679" s="36" t="str">
        <f aca="false">IF(C679&lt;&gt;"",INT((C679+IF(D679&lt;&gt;"",D679,0)-DATE(1970,1,1))*86400),"")</f>
        <v/>
      </c>
    </row>
    <row r="680" customFormat="false" ht="19.5" hidden="false" customHeight="true" outlineLevel="0" collapsed="false">
      <c r="A680" s="37" t="n">
        <f aca="false">ROW()-4</f>
        <v>676</v>
      </c>
      <c r="B680" s="38"/>
      <c r="C680" s="39"/>
      <c r="D680" s="40"/>
      <c r="E680" s="39"/>
      <c r="F680" s="40"/>
      <c r="G680" s="41"/>
      <c r="H680" s="42"/>
      <c r="I680" s="43"/>
      <c r="J680" s="44"/>
      <c r="K680" s="39"/>
      <c r="L680" s="42"/>
      <c r="M680" s="44"/>
      <c r="N680" s="45"/>
      <c r="O680" s="44"/>
      <c r="P680" s="46"/>
      <c r="Q680" s="47" t="str">
        <f aca="false">IF(L680="","",IF(M680&lt;&gt;"",M680*L680*100,IF(AND(O680&lt;&gt;"",B680&lt;&gt;""),IFERROR(AVERAGEIF($B$5:$B$1004,B680,$M$5:$M$1004)*L680*100,""),"")))</f>
        <v/>
      </c>
      <c r="R680" s="47" t="str">
        <f aca="false">IF(AND(O680&lt;&gt;"",L680&lt;&gt;""),O680*L680*100,"")</f>
        <v/>
      </c>
      <c r="S680" s="48" t="str">
        <f aca="false">IF(AND(P680&lt;&gt;"",L680&lt;&gt;""),P680*L680*100,"")</f>
        <v/>
      </c>
      <c r="T680" s="49" t="str">
        <f aca="false">IF(AND(Q680&lt;&gt;"",R680&lt;&gt;""),R680-Q680,"")</f>
        <v/>
      </c>
      <c r="U680" s="50" t="str">
        <f aca="false">IF(AND(Q680&lt;&gt;"",Q680&lt;&gt;0,T680&lt;&gt;""),T680/Q680,"")</f>
        <v/>
      </c>
      <c r="V680" s="51" t="str">
        <f aca="false">IF(AND(S680&lt;&gt;"",Q680&lt;&gt;""),S680-Q680,"")</f>
        <v/>
      </c>
      <c r="W680" s="52" t="str">
        <f aca="false">IF(AND(Q680&lt;&gt;"",Q680&lt;&gt;0,V680&lt;&gt;""),V680/Q680,"")</f>
        <v/>
      </c>
      <c r="X680" s="53" t="s">
        <v>37</v>
      </c>
      <c r="Y680" s="54" t="str">
        <f aca="false">IF(AND(O680&lt;&gt;"",M680&lt;&gt;"",O680&gt;M680),CONCATENATE("1 : ",TEXT((O680-M680)/M680,"0.00")),IF(AND(O680&lt;&gt;"",M680&lt;&gt;"",O680&lt;M680),CONCATENATE("-1 : ",TEXT((M680-O680)/M680,"0.00")),"—"))</f>
        <v>—</v>
      </c>
      <c r="Z680" s="55" t="str">
        <f aca="false">IF(AND(P680&lt;&gt;"",M680&lt;&gt;"",P680&gt;M680),CONCATENATE("1 : ",TEXT((P680-M680)/M680,"0.00")),"—")</f>
        <v>—</v>
      </c>
      <c r="AA680" s="56" t="str">
        <f aca="false">IF(AND(C680&lt;&gt;"",E680&lt;&gt;""),E680-C680,"")</f>
        <v/>
      </c>
      <c r="AB680" s="42"/>
      <c r="AC680" s="57"/>
      <c r="AD680" s="58"/>
      <c r="AE680" s="59" t="str">
        <f aca="false">IF(G680&lt;&gt;"",HYPERLINK("https://www.tradingview.com/chart/?symbol="&amp;G680&amp;"&amp;interval=60&amp;from="&amp;(AG680-10*3600)&amp;"&amp;to="&amp;(AG680+50*3600),"📈 1H"),"")</f>
        <v/>
      </c>
      <c r="AF680" s="60" t="str">
        <f aca="false">IF(G680&lt;&gt;"",HYPERLINK("https://www.tradingview.com/chart/?symbol="&amp;G680&amp;"&amp;interval=240&amp;from="&amp;(AG680-10*14400)&amp;"&amp;to="&amp;(AG680+50*14400),"📈 4H"),"")</f>
        <v/>
      </c>
      <c r="AG680" s="36" t="str">
        <f aca="false">IF(C680&lt;&gt;"",INT((C680+IF(D680&lt;&gt;"",D680,0)-DATE(1970,1,1))*86400),"")</f>
        <v/>
      </c>
    </row>
    <row r="681" customFormat="false" ht="19.5" hidden="false" customHeight="true" outlineLevel="0" collapsed="false">
      <c r="A681" s="12" t="n">
        <f aca="false">ROW()-4</f>
        <v>677</v>
      </c>
      <c r="B681" s="13"/>
      <c r="C681" s="14"/>
      <c r="D681" s="15"/>
      <c r="E681" s="14"/>
      <c r="F681" s="15"/>
      <c r="G681" s="16"/>
      <c r="H681" s="17"/>
      <c r="I681" s="18"/>
      <c r="J681" s="19"/>
      <c r="K681" s="14"/>
      <c r="L681" s="17"/>
      <c r="M681" s="19"/>
      <c r="N681" s="20"/>
      <c r="O681" s="19"/>
      <c r="P681" s="21"/>
      <c r="Q681" s="22" t="str">
        <f aca="false">IF(L681="","",IF(M681&lt;&gt;"",M681*L681*100,IF(AND(O681&lt;&gt;"",B681&lt;&gt;""),IFERROR(AVERAGEIF($B$5:$B$1004,B681,$M$5:$M$1004)*L681*100,""),"")))</f>
        <v/>
      </c>
      <c r="R681" s="22" t="str">
        <f aca="false">IF(AND(O681&lt;&gt;"",L681&lt;&gt;""),O681*L681*100,"")</f>
        <v/>
      </c>
      <c r="S681" s="23" t="str">
        <f aca="false">IF(AND(P681&lt;&gt;"",L681&lt;&gt;""),P681*L681*100,"")</f>
        <v/>
      </c>
      <c r="T681" s="24" t="str">
        <f aca="false">IF(AND(Q681&lt;&gt;"",R681&lt;&gt;""),R681-Q681,"")</f>
        <v/>
      </c>
      <c r="U681" s="25" t="str">
        <f aca="false">IF(AND(Q681&lt;&gt;"",Q681&lt;&gt;0,T681&lt;&gt;""),T681/Q681,"")</f>
        <v/>
      </c>
      <c r="V681" s="26" t="str">
        <f aca="false">IF(AND(S681&lt;&gt;"",Q681&lt;&gt;""),S681-Q681,"")</f>
        <v/>
      </c>
      <c r="W681" s="27" t="str">
        <f aca="false">IF(AND(Q681&lt;&gt;"",Q681&lt;&gt;0,V681&lt;&gt;""),V681/Q681,"")</f>
        <v/>
      </c>
      <c r="X681" s="28" t="s">
        <v>37</v>
      </c>
      <c r="Y681" s="29" t="str">
        <f aca="false">IF(AND(O681&lt;&gt;"",M681&lt;&gt;"",O681&gt;M681),CONCATENATE("1 : ",TEXT((O681-M681)/M681,"0.00")),IF(AND(O681&lt;&gt;"",M681&lt;&gt;"",O681&lt;M681),CONCATENATE("-1 : ",TEXT((M681-O681)/M681,"0.00")),"—"))</f>
        <v>—</v>
      </c>
      <c r="Z681" s="30" t="str">
        <f aca="false">IF(AND(P681&lt;&gt;"",M681&lt;&gt;"",P681&gt;M681),CONCATENATE("1 : ",TEXT((P681-M681)/M681,"0.00")),"—")</f>
        <v>—</v>
      </c>
      <c r="AA681" s="31" t="str">
        <f aca="false">IF(AND(C681&lt;&gt;"",E681&lt;&gt;""),E681-C681,"")</f>
        <v/>
      </c>
      <c r="AB681" s="17"/>
      <c r="AC681" s="32"/>
      <c r="AD681" s="33"/>
      <c r="AE681" s="34" t="str">
        <f aca="false">IF(G681&lt;&gt;"",HYPERLINK("https://www.tradingview.com/chart/?symbol="&amp;G681&amp;"&amp;interval=60&amp;from="&amp;(AG681-10*3600)&amp;"&amp;to="&amp;(AG681+50*3600),"📈 1H"),"")</f>
        <v/>
      </c>
      <c r="AF681" s="35" t="str">
        <f aca="false">IF(G681&lt;&gt;"",HYPERLINK("https://www.tradingview.com/chart/?symbol="&amp;G681&amp;"&amp;interval=240&amp;from="&amp;(AG681-10*14400)&amp;"&amp;to="&amp;(AG681+50*14400),"📈 4H"),"")</f>
        <v/>
      </c>
      <c r="AG681" s="36" t="str">
        <f aca="false">IF(C681&lt;&gt;"",INT((C681+IF(D681&lt;&gt;"",D681,0)-DATE(1970,1,1))*86400),"")</f>
        <v/>
      </c>
    </row>
    <row r="682" customFormat="false" ht="19.5" hidden="false" customHeight="true" outlineLevel="0" collapsed="false">
      <c r="A682" s="37" t="n">
        <f aca="false">ROW()-4</f>
        <v>678</v>
      </c>
      <c r="B682" s="38"/>
      <c r="C682" s="39"/>
      <c r="D682" s="40"/>
      <c r="E682" s="39"/>
      <c r="F682" s="40"/>
      <c r="G682" s="41"/>
      <c r="H682" s="42"/>
      <c r="I682" s="43"/>
      <c r="J682" s="44"/>
      <c r="K682" s="39"/>
      <c r="L682" s="42"/>
      <c r="M682" s="44"/>
      <c r="N682" s="45"/>
      <c r="O682" s="44"/>
      <c r="P682" s="46"/>
      <c r="Q682" s="47" t="str">
        <f aca="false">IF(L682="","",IF(M682&lt;&gt;"",M682*L682*100,IF(AND(O682&lt;&gt;"",B682&lt;&gt;""),IFERROR(AVERAGEIF($B$5:$B$1004,B682,$M$5:$M$1004)*L682*100,""),"")))</f>
        <v/>
      </c>
      <c r="R682" s="47" t="str">
        <f aca="false">IF(AND(O682&lt;&gt;"",L682&lt;&gt;""),O682*L682*100,"")</f>
        <v/>
      </c>
      <c r="S682" s="48" t="str">
        <f aca="false">IF(AND(P682&lt;&gt;"",L682&lt;&gt;""),P682*L682*100,"")</f>
        <v/>
      </c>
      <c r="T682" s="49" t="str">
        <f aca="false">IF(AND(Q682&lt;&gt;"",R682&lt;&gt;""),R682-Q682,"")</f>
        <v/>
      </c>
      <c r="U682" s="50" t="str">
        <f aca="false">IF(AND(Q682&lt;&gt;"",Q682&lt;&gt;0,T682&lt;&gt;""),T682/Q682,"")</f>
        <v/>
      </c>
      <c r="V682" s="51" t="str">
        <f aca="false">IF(AND(S682&lt;&gt;"",Q682&lt;&gt;""),S682-Q682,"")</f>
        <v/>
      </c>
      <c r="W682" s="52" t="str">
        <f aca="false">IF(AND(Q682&lt;&gt;"",Q682&lt;&gt;0,V682&lt;&gt;""),V682/Q682,"")</f>
        <v/>
      </c>
      <c r="X682" s="53" t="s">
        <v>37</v>
      </c>
      <c r="Y682" s="54" t="str">
        <f aca="false">IF(AND(O682&lt;&gt;"",M682&lt;&gt;"",O682&gt;M682),CONCATENATE("1 : ",TEXT((O682-M682)/M682,"0.00")),IF(AND(O682&lt;&gt;"",M682&lt;&gt;"",O682&lt;M682),CONCATENATE("-1 : ",TEXT((M682-O682)/M682,"0.00")),"—"))</f>
        <v>—</v>
      </c>
      <c r="Z682" s="55" t="str">
        <f aca="false">IF(AND(P682&lt;&gt;"",M682&lt;&gt;"",P682&gt;M682),CONCATENATE("1 : ",TEXT((P682-M682)/M682,"0.00")),"—")</f>
        <v>—</v>
      </c>
      <c r="AA682" s="56" t="str">
        <f aca="false">IF(AND(C682&lt;&gt;"",E682&lt;&gt;""),E682-C682,"")</f>
        <v/>
      </c>
      <c r="AB682" s="42"/>
      <c r="AC682" s="57"/>
      <c r="AD682" s="58"/>
      <c r="AE682" s="59" t="str">
        <f aca="false">IF(G682&lt;&gt;"",HYPERLINK("https://www.tradingview.com/chart/?symbol="&amp;G682&amp;"&amp;interval=60&amp;from="&amp;(AG682-10*3600)&amp;"&amp;to="&amp;(AG682+50*3600),"📈 1H"),"")</f>
        <v/>
      </c>
      <c r="AF682" s="60" t="str">
        <f aca="false">IF(G682&lt;&gt;"",HYPERLINK("https://www.tradingview.com/chart/?symbol="&amp;G682&amp;"&amp;interval=240&amp;from="&amp;(AG682-10*14400)&amp;"&amp;to="&amp;(AG682+50*14400),"📈 4H"),"")</f>
        <v/>
      </c>
      <c r="AG682" s="36" t="str">
        <f aca="false">IF(C682&lt;&gt;"",INT((C682+IF(D682&lt;&gt;"",D682,0)-DATE(1970,1,1))*86400),"")</f>
        <v/>
      </c>
    </row>
    <row r="683" customFormat="false" ht="19.5" hidden="false" customHeight="true" outlineLevel="0" collapsed="false">
      <c r="A683" s="12" t="n">
        <f aca="false">ROW()-4</f>
        <v>679</v>
      </c>
      <c r="B683" s="13"/>
      <c r="C683" s="14"/>
      <c r="D683" s="15"/>
      <c r="E683" s="14"/>
      <c r="F683" s="15"/>
      <c r="G683" s="16"/>
      <c r="H683" s="17"/>
      <c r="I683" s="18"/>
      <c r="J683" s="19"/>
      <c r="K683" s="14"/>
      <c r="L683" s="17"/>
      <c r="M683" s="19"/>
      <c r="N683" s="20"/>
      <c r="O683" s="19"/>
      <c r="P683" s="21"/>
      <c r="Q683" s="22" t="str">
        <f aca="false">IF(L683="","",IF(M683&lt;&gt;"",M683*L683*100,IF(AND(O683&lt;&gt;"",B683&lt;&gt;""),IFERROR(AVERAGEIF($B$5:$B$1004,B683,$M$5:$M$1004)*L683*100,""),"")))</f>
        <v/>
      </c>
      <c r="R683" s="22" t="str">
        <f aca="false">IF(AND(O683&lt;&gt;"",L683&lt;&gt;""),O683*L683*100,"")</f>
        <v/>
      </c>
      <c r="S683" s="23" t="str">
        <f aca="false">IF(AND(P683&lt;&gt;"",L683&lt;&gt;""),P683*L683*100,"")</f>
        <v/>
      </c>
      <c r="T683" s="24" t="str">
        <f aca="false">IF(AND(Q683&lt;&gt;"",R683&lt;&gt;""),R683-Q683,"")</f>
        <v/>
      </c>
      <c r="U683" s="25" t="str">
        <f aca="false">IF(AND(Q683&lt;&gt;"",Q683&lt;&gt;0,T683&lt;&gt;""),T683/Q683,"")</f>
        <v/>
      </c>
      <c r="V683" s="26" t="str">
        <f aca="false">IF(AND(S683&lt;&gt;"",Q683&lt;&gt;""),S683-Q683,"")</f>
        <v/>
      </c>
      <c r="W683" s="27" t="str">
        <f aca="false">IF(AND(Q683&lt;&gt;"",Q683&lt;&gt;0,V683&lt;&gt;""),V683/Q683,"")</f>
        <v/>
      </c>
      <c r="X683" s="28" t="s">
        <v>37</v>
      </c>
      <c r="Y683" s="29" t="str">
        <f aca="false">IF(AND(O683&lt;&gt;"",M683&lt;&gt;"",O683&gt;M683),CONCATENATE("1 : ",TEXT((O683-M683)/M683,"0.00")),IF(AND(O683&lt;&gt;"",M683&lt;&gt;"",O683&lt;M683),CONCATENATE("-1 : ",TEXT((M683-O683)/M683,"0.00")),"—"))</f>
        <v>—</v>
      </c>
      <c r="Z683" s="30" t="str">
        <f aca="false">IF(AND(P683&lt;&gt;"",M683&lt;&gt;"",P683&gt;M683),CONCATENATE("1 : ",TEXT((P683-M683)/M683,"0.00")),"—")</f>
        <v>—</v>
      </c>
      <c r="AA683" s="31" t="str">
        <f aca="false">IF(AND(C683&lt;&gt;"",E683&lt;&gt;""),E683-C683,"")</f>
        <v/>
      </c>
      <c r="AB683" s="17"/>
      <c r="AC683" s="32"/>
      <c r="AD683" s="33"/>
      <c r="AE683" s="34" t="str">
        <f aca="false">IF(G683&lt;&gt;"",HYPERLINK("https://www.tradingview.com/chart/?symbol="&amp;G683&amp;"&amp;interval=60&amp;from="&amp;(AG683-10*3600)&amp;"&amp;to="&amp;(AG683+50*3600),"📈 1H"),"")</f>
        <v/>
      </c>
      <c r="AF683" s="35" t="str">
        <f aca="false">IF(G683&lt;&gt;"",HYPERLINK("https://www.tradingview.com/chart/?symbol="&amp;G683&amp;"&amp;interval=240&amp;from="&amp;(AG683-10*14400)&amp;"&amp;to="&amp;(AG683+50*14400),"📈 4H"),"")</f>
        <v/>
      </c>
      <c r="AG683" s="36" t="str">
        <f aca="false">IF(C683&lt;&gt;"",INT((C683+IF(D683&lt;&gt;"",D683,0)-DATE(1970,1,1))*86400),"")</f>
        <v/>
      </c>
    </row>
    <row r="684" customFormat="false" ht="19.5" hidden="false" customHeight="true" outlineLevel="0" collapsed="false">
      <c r="A684" s="37" t="n">
        <f aca="false">ROW()-4</f>
        <v>680</v>
      </c>
      <c r="B684" s="38"/>
      <c r="C684" s="39"/>
      <c r="D684" s="40"/>
      <c r="E684" s="39"/>
      <c r="F684" s="40"/>
      <c r="G684" s="41"/>
      <c r="H684" s="42"/>
      <c r="I684" s="43"/>
      <c r="J684" s="44"/>
      <c r="K684" s="39"/>
      <c r="L684" s="42"/>
      <c r="M684" s="44"/>
      <c r="N684" s="45"/>
      <c r="O684" s="44"/>
      <c r="P684" s="46"/>
      <c r="Q684" s="47" t="str">
        <f aca="false">IF(L684="","",IF(M684&lt;&gt;"",M684*L684*100,IF(AND(O684&lt;&gt;"",B684&lt;&gt;""),IFERROR(AVERAGEIF($B$5:$B$1004,B684,$M$5:$M$1004)*L684*100,""),"")))</f>
        <v/>
      </c>
      <c r="R684" s="47" t="str">
        <f aca="false">IF(AND(O684&lt;&gt;"",L684&lt;&gt;""),O684*L684*100,"")</f>
        <v/>
      </c>
      <c r="S684" s="48" t="str">
        <f aca="false">IF(AND(P684&lt;&gt;"",L684&lt;&gt;""),P684*L684*100,"")</f>
        <v/>
      </c>
      <c r="T684" s="49" t="str">
        <f aca="false">IF(AND(Q684&lt;&gt;"",R684&lt;&gt;""),R684-Q684,"")</f>
        <v/>
      </c>
      <c r="U684" s="50" t="str">
        <f aca="false">IF(AND(Q684&lt;&gt;"",Q684&lt;&gt;0,T684&lt;&gt;""),T684/Q684,"")</f>
        <v/>
      </c>
      <c r="V684" s="51" t="str">
        <f aca="false">IF(AND(S684&lt;&gt;"",Q684&lt;&gt;""),S684-Q684,"")</f>
        <v/>
      </c>
      <c r="W684" s="52" t="str">
        <f aca="false">IF(AND(Q684&lt;&gt;"",Q684&lt;&gt;0,V684&lt;&gt;""),V684/Q684,"")</f>
        <v/>
      </c>
      <c r="X684" s="53" t="s">
        <v>37</v>
      </c>
      <c r="Y684" s="54" t="str">
        <f aca="false">IF(AND(O684&lt;&gt;"",M684&lt;&gt;"",O684&gt;M684),CONCATENATE("1 : ",TEXT((O684-M684)/M684,"0.00")),IF(AND(O684&lt;&gt;"",M684&lt;&gt;"",O684&lt;M684),CONCATENATE("-1 : ",TEXT((M684-O684)/M684,"0.00")),"—"))</f>
        <v>—</v>
      </c>
      <c r="Z684" s="55" t="str">
        <f aca="false">IF(AND(P684&lt;&gt;"",M684&lt;&gt;"",P684&gt;M684),CONCATENATE("1 : ",TEXT((P684-M684)/M684,"0.00")),"—")</f>
        <v>—</v>
      </c>
      <c r="AA684" s="56" t="str">
        <f aca="false">IF(AND(C684&lt;&gt;"",E684&lt;&gt;""),E684-C684,"")</f>
        <v/>
      </c>
      <c r="AB684" s="42"/>
      <c r="AC684" s="57"/>
      <c r="AD684" s="58"/>
      <c r="AE684" s="59" t="str">
        <f aca="false">IF(G684&lt;&gt;"",HYPERLINK("https://www.tradingview.com/chart/?symbol="&amp;G684&amp;"&amp;interval=60&amp;from="&amp;(AG684-10*3600)&amp;"&amp;to="&amp;(AG684+50*3600),"📈 1H"),"")</f>
        <v/>
      </c>
      <c r="AF684" s="60" t="str">
        <f aca="false">IF(G684&lt;&gt;"",HYPERLINK("https://www.tradingview.com/chart/?symbol="&amp;G684&amp;"&amp;interval=240&amp;from="&amp;(AG684-10*14400)&amp;"&amp;to="&amp;(AG684+50*14400),"📈 4H"),"")</f>
        <v/>
      </c>
      <c r="AG684" s="36" t="str">
        <f aca="false">IF(C684&lt;&gt;"",INT((C684+IF(D684&lt;&gt;"",D684,0)-DATE(1970,1,1))*86400),"")</f>
        <v/>
      </c>
    </row>
    <row r="685" customFormat="false" ht="19.5" hidden="false" customHeight="true" outlineLevel="0" collapsed="false">
      <c r="A685" s="12" t="n">
        <f aca="false">ROW()-4</f>
        <v>681</v>
      </c>
      <c r="B685" s="13"/>
      <c r="C685" s="14"/>
      <c r="D685" s="15"/>
      <c r="E685" s="14"/>
      <c r="F685" s="15"/>
      <c r="G685" s="16"/>
      <c r="H685" s="17"/>
      <c r="I685" s="18"/>
      <c r="J685" s="19"/>
      <c r="K685" s="14"/>
      <c r="L685" s="17"/>
      <c r="M685" s="19"/>
      <c r="N685" s="20"/>
      <c r="O685" s="19"/>
      <c r="P685" s="21"/>
      <c r="Q685" s="22" t="str">
        <f aca="false">IF(L685="","",IF(M685&lt;&gt;"",M685*L685*100,IF(AND(O685&lt;&gt;"",B685&lt;&gt;""),IFERROR(AVERAGEIF($B$5:$B$1004,B685,$M$5:$M$1004)*L685*100,""),"")))</f>
        <v/>
      </c>
      <c r="R685" s="22" t="str">
        <f aca="false">IF(AND(O685&lt;&gt;"",L685&lt;&gt;""),O685*L685*100,"")</f>
        <v/>
      </c>
      <c r="S685" s="23" t="str">
        <f aca="false">IF(AND(P685&lt;&gt;"",L685&lt;&gt;""),P685*L685*100,"")</f>
        <v/>
      </c>
      <c r="T685" s="24" t="str">
        <f aca="false">IF(AND(Q685&lt;&gt;"",R685&lt;&gt;""),R685-Q685,"")</f>
        <v/>
      </c>
      <c r="U685" s="25" t="str">
        <f aca="false">IF(AND(Q685&lt;&gt;"",Q685&lt;&gt;0,T685&lt;&gt;""),T685/Q685,"")</f>
        <v/>
      </c>
      <c r="V685" s="26" t="str">
        <f aca="false">IF(AND(S685&lt;&gt;"",Q685&lt;&gt;""),S685-Q685,"")</f>
        <v/>
      </c>
      <c r="W685" s="27" t="str">
        <f aca="false">IF(AND(Q685&lt;&gt;"",Q685&lt;&gt;0,V685&lt;&gt;""),V685/Q685,"")</f>
        <v/>
      </c>
      <c r="X685" s="28" t="s">
        <v>37</v>
      </c>
      <c r="Y685" s="29" t="str">
        <f aca="false">IF(AND(O685&lt;&gt;"",M685&lt;&gt;"",O685&gt;M685),CONCATENATE("1 : ",TEXT((O685-M685)/M685,"0.00")),IF(AND(O685&lt;&gt;"",M685&lt;&gt;"",O685&lt;M685),CONCATENATE("-1 : ",TEXT((M685-O685)/M685,"0.00")),"—"))</f>
        <v>—</v>
      </c>
      <c r="Z685" s="30" t="str">
        <f aca="false">IF(AND(P685&lt;&gt;"",M685&lt;&gt;"",P685&gt;M685),CONCATENATE("1 : ",TEXT((P685-M685)/M685,"0.00")),"—")</f>
        <v>—</v>
      </c>
      <c r="AA685" s="31" t="str">
        <f aca="false">IF(AND(C685&lt;&gt;"",E685&lt;&gt;""),E685-C685,"")</f>
        <v/>
      </c>
      <c r="AB685" s="17"/>
      <c r="AC685" s="32"/>
      <c r="AD685" s="33"/>
      <c r="AE685" s="34" t="str">
        <f aca="false">IF(G685&lt;&gt;"",HYPERLINK("https://www.tradingview.com/chart/?symbol="&amp;G685&amp;"&amp;interval=60&amp;from="&amp;(AG685-10*3600)&amp;"&amp;to="&amp;(AG685+50*3600),"📈 1H"),"")</f>
        <v/>
      </c>
      <c r="AF685" s="35" t="str">
        <f aca="false">IF(G685&lt;&gt;"",HYPERLINK("https://www.tradingview.com/chart/?symbol="&amp;G685&amp;"&amp;interval=240&amp;from="&amp;(AG685-10*14400)&amp;"&amp;to="&amp;(AG685+50*14400),"📈 4H"),"")</f>
        <v/>
      </c>
      <c r="AG685" s="36" t="str">
        <f aca="false">IF(C685&lt;&gt;"",INT((C685+IF(D685&lt;&gt;"",D685,0)-DATE(1970,1,1))*86400),"")</f>
        <v/>
      </c>
    </row>
    <row r="686" customFormat="false" ht="19.5" hidden="false" customHeight="true" outlineLevel="0" collapsed="false">
      <c r="A686" s="37" t="n">
        <f aca="false">ROW()-4</f>
        <v>682</v>
      </c>
      <c r="B686" s="38"/>
      <c r="C686" s="39"/>
      <c r="D686" s="40"/>
      <c r="E686" s="39"/>
      <c r="F686" s="40"/>
      <c r="G686" s="41"/>
      <c r="H686" s="42"/>
      <c r="I686" s="43"/>
      <c r="J686" s="44"/>
      <c r="K686" s="39"/>
      <c r="L686" s="42"/>
      <c r="M686" s="44"/>
      <c r="N686" s="45"/>
      <c r="O686" s="44"/>
      <c r="P686" s="46"/>
      <c r="Q686" s="47" t="str">
        <f aca="false">IF(L686="","",IF(M686&lt;&gt;"",M686*L686*100,IF(AND(O686&lt;&gt;"",B686&lt;&gt;""),IFERROR(AVERAGEIF($B$5:$B$1004,B686,$M$5:$M$1004)*L686*100,""),"")))</f>
        <v/>
      </c>
      <c r="R686" s="47" t="str">
        <f aca="false">IF(AND(O686&lt;&gt;"",L686&lt;&gt;""),O686*L686*100,"")</f>
        <v/>
      </c>
      <c r="S686" s="48" t="str">
        <f aca="false">IF(AND(P686&lt;&gt;"",L686&lt;&gt;""),P686*L686*100,"")</f>
        <v/>
      </c>
      <c r="T686" s="49" t="str">
        <f aca="false">IF(AND(Q686&lt;&gt;"",R686&lt;&gt;""),R686-Q686,"")</f>
        <v/>
      </c>
      <c r="U686" s="50" t="str">
        <f aca="false">IF(AND(Q686&lt;&gt;"",Q686&lt;&gt;0,T686&lt;&gt;""),T686/Q686,"")</f>
        <v/>
      </c>
      <c r="V686" s="51" t="str">
        <f aca="false">IF(AND(S686&lt;&gt;"",Q686&lt;&gt;""),S686-Q686,"")</f>
        <v/>
      </c>
      <c r="W686" s="52" t="str">
        <f aca="false">IF(AND(Q686&lt;&gt;"",Q686&lt;&gt;0,V686&lt;&gt;""),V686/Q686,"")</f>
        <v/>
      </c>
      <c r="X686" s="53" t="s">
        <v>37</v>
      </c>
      <c r="Y686" s="54" t="str">
        <f aca="false">IF(AND(O686&lt;&gt;"",M686&lt;&gt;"",O686&gt;M686),CONCATENATE("1 : ",TEXT((O686-M686)/M686,"0.00")),IF(AND(O686&lt;&gt;"",M686&lt;&gt;"",O686&lt;M686),CONCATENATE("-1 : ",TEXT((M686-O686)/M686,"0.00")),"—"))</f>
        <v>—</v>
      </c>
      <c r="Z686" s="55" t="str">
        <f aca="false">IF(AND(P686&lt;&gt;"",M686&lt;&gt;"",P686&gt;M686),CONCATENATE("1 : ",TEXT((P686-M686)/M686,"0.00")),"—")</f>
        <v>—</v>
      </c>
      <c r="AA686" s="56" t="str">
        <f aca="false">IF(AND(C686&lt;&gt;"",E686&lt;&gt;""),E686-C686,"")</f>
        <v/>
      </c>
      <c r="AB686" s="42"/>
      <c r="AC686" s="57"/>
      <c r="AD686" s="58"/>
      <c r="AE686" s="59" t="str">
        <f aca="false">IF(G686&lt;&gt;"",HYPERLINK("https://www.tradingview.com/chart/?symbol="&amp;G686&amp;"&amp;interval=60&amp;from="&amp;(AG686-10*3600)&amp;"&amp;to="&amp;(AG686+50*3600),"📈 1H"),"")</f>
        <v/>
      </c>
      <c r="AF686" s="60" t="str">
        <f aca="false">IF(G686&lt;&gt;"",HYPERLINK("https://www.tradingview.com/chart/?symbol="&amp;G686&amp;"&amp;interval=240&amp;from="&amp;(AG686-10*14400)&amp;"&amp;to="&amp;(AG686+50*14400),"📈 4H"),"")</f>
        <v/>
      </c>
      <c r="AG686" s="36" t="str">
        <f aca="false">IF(C686&lt;&gt;"",INT((C686+IF(D686&lt;&gt;"",D686,0)-DATE(1970,1,1))*86400),"")</f>
        <v/>
      </c>
    </row>
    <row r="687" customFormat="false" ht="19.5" hidden="false" customHeight="true" outlineLevel="0" collapsed="false">
      <c r="A687" s="12" t="n">
        <f aca="false">ROW()-4</f>
        <v>683</v>
      </c>
      <c r="B687" s="13"/>
      <c r="C687" s="14"/>
      <c r="D687" s="15"/>
      <c r="E687" s="14"/>
      <c r="F687" s="15"/>
      <c r="G687" s="16"/>
      <c r="H687" s="17"/>
      <c r="I687" s="18"/>
      <c r="J687" s="19"/>
      <c r="K687" s="14"/>
      <c r="L687" s="17"/>
      <c r="M687" s="19"/>
      <c r="N687" s="20"/>
      <c r="O687" s="19"/>
      <c r="P687" s="21"/>
      <c r="Q687" s="22" t="str">
        <f aca="false">IF(L687="","",IF(M687&lt;&gt;"",M687*L687*100,IF(AND(O687&lt;&gt;"",B687&lt;&gt;""),IFERROR(AVERAGEIF($B$5:$B$1004,B687,$M$5:$M$1004)*L687*100,""),"")))</f>
        <v/>
      </c>
      <c r="R687" s="22" t="str">
        <f aca="false">IF(AND(O687&lt;&gt;"",L687&lt;&gt;""),O687*L687*100,"")</f>
        <v/>
      </c>
      <c r="S687" s="23" t="str">
        <f aca="false">IF(AND(P687&lt;&gt;"",L687&lt;&gt;""),P687*L687*100,"")</f>
        <v/>
      </c>
      <c r="T687" s="24" t="str">
        <f aca="false">IF(AND(Q687&lt;&gt;"",R687&lt;&gt;""),R687-Q687,"")</f>
        <v/>
      </c>
      <c r="U687" s="25" t="str">
        <f aca="false">IF(AND(Q687&lt;&gt;"",Q687&lt;&gt;0,T687&lt;&gt;""),T687/Q687,"")</f>
        <v/>
      </c>
      <c r="V687" s="26" t="str">
        <f aca="false">IF(AND(S687&lt;&gt;"",Q687&lt;&gt;""),S687-Q687,"")</f>
        <v/>
      </c>
      <c r="W687" s="27" t="str">
        <f aca="false">IF(AND(Q687&lt;&gt;"",Q687&lt;&gt;0,V687&lt;&gt;""),V687/Q687,"")</f>
        <v/>
      </c>
      <c r="X687" s="28" t="s">
        <v>37</v>
      </c>
      <c r="Y687" s="29" t="str">
        <f aca="false">IF(AND(O687&lt;&gt;"",M687&lt;&gt;"",O687&gt;M687),CONCATENATE("1 : ",TEXT((O687-M687)/M687,"0.00")),IF(AND(O687&lt;&gt;"",M687&lt;&gt;"",O687&lt;M687),CONCATENATE("-1 : ",TEXT((M687-O687)/M687,"0.00")),"—"))</f>
        <v>—</v>
      </c>
      <c r="Z687" s="30" t="str">
        <f aca="false">IF(AND(P687&lt;&gt;"",M687&lt;&gt;"",P687&gt;M687),CONCATENATE("1 : ",TEXT((P687-M687)/M687,"0.00")),"—")</f>
        <v>—</v>
      </c>
      <c r="AA687" s="31" t="str">
        <f aca="false">IF(AND(C687&lt;&gt;"",E687&lt;&gt;""),E687-C687,"")</f>
        <v/>
      </c>
      <c r="AB687" s="17"/>
      <c r="AC687" s="32"/>
      <c r="AD687" s="33"/>
      <c r="AE687" s="34" t="str">
        <f aca="false">IF(G687&lt;&gt;"",HYPERLINK("https://www.tradingview.com/chart/?symbol="&amp;G687&amp;"&amp;interval=60&amp;from="&amp;(AG687-10*3600)&amp;"&amp;to="&amp;(AG687+50*3600),"📈 1H"),"")</f>
        <v/>
      </c>
      <c r="AF687" s="35" t="str">
        <f aca="false">IF(G687&lt;&gt;"",HYPERLINK("https://www.tradingview.com/chart/?symbol="&amp;G687&amp;"&amp;interval=240&amp;from="&amp;(AG687-10*14400)&amp;"&amp;to="&amp;(AG687+50*14400),"📈 4H"),"")</f>
        <v/>
      </c>
      <c r="AG687" s="36" t="str">
        <f aca="false">IF(C687&lt;&gt;"",INT((C687+IF(D687&lt;&gt;"",D687,0)-DATE(1970,1,1))*86400),"")</f>
        <v/>
      </c>
    </row>
    <row r="688" customFormat="false" ht="19.5" hidden="false" customHeight="true" outlineLevel="0" collapsed="false">
      <c r="A688" s="37" t="n">
        <f aca="false">ROW()-4</f>
        <v>684</v>
      </c>
      <c r="B688" s="38"/>
      <c r="C688" s="39"/>
      <c r="D688" s="40"/>
      <c r="E688" s="39"/>
      <c r="F688" s="40"/>
      <c r="G688" s="41"/>
      <c r="H688" s="42"/>
      <c r="I688" s="43"/>
      <c r="J688" s="44"/>
      <c r="K688" s="39"/>
      <c r="L688" s="42"/>
      <c r="M688" s="44"/>
      <c r="N688" s="45"/>
      <c r="O688" s="44"/>
      <c r="P688" s="46"/>
      <c r="Q688" s="47" t="str">
        <f aca="false">IF(L688="","",IF(M688&lt;&gt;"",M688*L688*100,IF(AND(O688&lt;&gt;"",B688&lt;&gt;""),IFERROR(AVERAGEIF($B$5:$B$1004,B688,$M$5:$M$1004)*L688*100,""),"")))</f>
        <v/>
      </c>
      <c r="R688" s="47" t="str">
        <f aca="false">IF(AND(O688&lt;&gt;"",L688&lt;&gt;""),O688*L688*100,"")</f>
        <v/>
      </c>
      <c r="S688" s="48" t="str">
        <f aca="false">IF(AND(P688&lt;&gt;"",L688&lt;&gt;""),P688*L688*100,"")</f>
        <v/>
      </c>
      <c r="T688" s="49" t="str">
        <f aca="false">IF(AND(Q688&lt;&gt;"",R688&lt;&gt;""),R688-Q688,"")</f>
        <v/>
      </c>
      <c r="U688" s="50" t="str">
        <f aca="false">IF(AND(Q688&lt;&gt;"",Q688&lt;&gt;0,T688&lt;&gt;""),T688/Q688,"")</f>
        <v/>
      </c>
      <c r="V688" s="51" t="str">
        <f aca="false">IF(AND(S688&lt;&gt;"",Q688&lt;&gt;""),S688-Q688,"")</f>
        <v/>
      </c>
      <c r="W688" s="52" t="str">
        <f aca="false">IF(AND(Q688&lt;&gt;"",Q688&lt;&gt;0,V688&lt;&gt;""),V688/Q688,"")</f>
        <v/>
      </c>
      <c r="X688" s="53" t="s">
        <v>37</v>
      </c>
      <c r="Y688" s="54" t="str">
        <f aca="false">IF(AND(O688&lt;&gt;"",M688&lt;&gt;"",O688&gt;M688),CONCATENATE("1 : ",TEXT((O688-M688)/M688,"0.00")),IF(AND(O688&lt;&gt;"",M688&lt;&gt;"",O688&lt;M688),CONCATENATE("-1 : ",TEXT((M688-O688)/M688,"0.00")),"—"))</f>
        <v>—</v>
      </c>
      <c r="Z688" s="55" t="str">
        <f aca="false">IF(AND(P688&lt;&gt;"",M688&lt;&gt;"",P688&gt;M688),CONCATENATE("1 : ",TEXT((P688-M688)/M688,"0.00")),"—")</f>
        <v>—</v>
      </c>
      <c r="AA688" s="56" t="str">
        <f aca="false">IF(AND(C688&lt;&gt;"",E688&lt;&gt;""),E688-C688,"")</f>
        <v/>
      </c>
      <c r="AB688" s="42"/>
      <c r="AC688" s="57"/>
      <c r="AD688" s="58"/>
      <c r="AE688" s="59" t="str">
        <f aca="false">IF(G688&lt;&gt;"",HYPERLINK("https://www.tradingview.com/chart/?symbol="&amp;G688&amp;"&amp;interval=60&amp;from="&amp;(AG688-10*3600)&amp;"&amp;to="&amp;(AG688+50*3600),"📈 1H"),"")</f>
        <v/>
      </c>
      <c r="AF688" s="60" t="str">
        <f aca="false">IF(G688&lt;&gt;"",HYPERLINK("https://www.tradingview.com/chart/?symbol="&amp;G688&amp;"&amp;interval=240&amp;from="&amp;(AG688-10*14400)&amp;"&amp;to="&amp;(AG688+50*14400),"📈 4H"),"")</f>
        <v/>
      </c>
      <c r="AG688" s="36" t="str">
        <f aca="false">IF(C688&lt;&gt;"",INT((C688+IF(D688&lt;&gt;"",D688,0)-DATE(1970,1,1))*86400),"")</f>
        <v/>
      </c>
    </row>
    <row r="689" customFormat="false" ht="19.5" hidden="false" customHeight="true" outlineLevel="0" collapsed="false">
      <c r="A689" s="12" t="n">
        <f aca="false">ROW()-4</f>
        <v>685</v>
      </c>
      <c r="B689" s="13"/>
      <c r="C689" s="14"/>
      <c r="D689" s="15"/>
      <c r="E689" s="14"/>
      <c r="F689" s="15"/>
      <c r="G689" s="16"/>
      <c r="H689" s="17"/>
      <c r="I689" s="18"/>
      <c r="J689" s="19"/>
      <c r="K689" s="14"/>
      <c r="L689" s="17"/>
      <c r="M689" s="19"/>
      <c r="N689" s="20"/>
      <c r="O689" s="19"/>
      <c r="P689" s="21"/>
      <c r="Q689" s="22" t="str">
        <f aca="false">IF(L689="","",IF(M689&lt;&gt;"",M689*L689*100,IF(AND(O689&lt;&gt;"",B689&lt;&gt;""),IFERROR(AVERAGEIF($B$5:$B$1004,B689,$M$5:$M$1004)*L689*100,""),"")))</f>
        <v/>
      </c>
      <c r="R689" s="22" t="str">
        <f aca="false">IF(AND(O689&lt;&gt;"",L689&lt;&gt;""),O689*L689*100,"")</f>
        <v/>
      </c>
      <c r="S689" s="23" t="str">
        <f aca="false">IF(AND(P689&lt;&gt;"",L689&lt;&gt;""),P689*L689*100,"")</f>
        <v/>
      </c>
      <c r="T689" s="24" t="str">
        <f aca="false">IF(AND(Q689&lt;&gt;"",R689&lt;&gt;""),R689-Q689,"")</f>
        <v/>
      </c>
      <c r="U689" s="25" t="str">
        <f aca="false">IF(AND(Q689&lt;&gt;"",Q689&lt;&gt;0,T689&lt;&gt;""),T689/Q689,"")</f>
        <v/>
      </c>
      <c r="V689" s="26" t="str">
        <f aca="false">IF(AND(S689&lt;&gt;"",Q689&lt;&gt;""),S689-Q689,"")</f>
        <v/>
      </c>
      <c r="W689" s="27" t="str">
        <f aca="false">IF(AND(Q689&lt;&gt;"",Q689&lt;&gt;0,V689&lt;&gt;""),V689/Q689,"")</f>
        <v/>
      </c>
      <c r="X689" s="28" t="s">
        <v>37</v>
      </c>
      <c r="Y689" s="29" t="str">
        <f aca="false">IF(AND(O689&lt;&gt;"",M689&lt;&gt;"",O689&gt;M689),CONCATENATE("1 : ",TEXT((O689-M689)/M689,"0.00")),IF(AND(O689&lt;&gt;"",M689&lt;&gt;"",O689&lt;M689),CONCATENATE("-1 : ",TEXT((M689-O689)/M689,"0.00")),"—"))</f>
        <v>—</v>
      </c>
      <c r="Z689" s="30" t="str">
        <f aca="false">IF(AND(P689&lt;&gt;"",M689&lt;&gt;"",P689&gt;M689),CONCATENATE("1 : ",TEXT((P689-M689)/M689,"0.00")),"—")</f>
        <v>—</v>
      </c>
      <c r="AA689" s="31" t="str">
        <f aca="false">IF(AND(C689&lt;&gt;"",E689&lt;&gt;""),E689-C689,"")</f>
        <v/>
      </c>
      <c r="AB689" s="17"/>
      <c r="AC689" s="32"/>
      <c r="AD689" s="33"/>
      <c r="AE689" s="34" t="str">
        <f aca="false">IF(G689&lt;&gt;"",HYPERLINK("https://www.tradingview.com/chart/?symbol="&amp;G689&amp;"&amp;interval=60&amp;from="&amp;(AG689-10*3600)&amp;"&amp;to="&amp;(AG689+50*3600),"📈 1H"),"")</f>
        <v/>
      </c>
      <c r="AF689" s="35" t="str">
        <f aca="false">IF(G689&lt;&gt;"",HYPERLINK("https://www.tradingview.com/chart/?symbol="&amp;G689&amp;"&amp;interval=240&amp;from="&amp;(AG689-10*14400)&amp;"&amp;to="&amp;(AG689+50*14400),"📈 4H"),"")</f>
        <v/>
      </c>
      <c r="AG689" s="36" t="str">
        <f aca="false">IF(C689&lt;&gt;"",INT((C689+IF(D689&lt;&gt;"",D689,0)-DATE(1970,1,1))*86400),"")</f>
        <v/>
      </c>
    </row>
    <row r="690" customFormat="false" ht="19.5" hidden="false" customHeight="true" outlineLevel="0" collapsed="false">
      <c r="A690" s="37" t="n">
        <f aca="false">ROW()-4</f>
        <v>686</v>
      </c>
      <c r="B690" s="38"/>
      <c r="C690" s="39"/>
      <c r="D690" s="40"/>
      <c r="E690" s="39"/>
      <c r="F690" s="40"/>
      <c r="G690" s="41"/>
      <c r="H690" s="42"/>
      <c r="I690" s="43"/>
      <c r="J690" s="44"/>
      <c r="K690" s="39"/>
      <c r="L690" s="42"/>
      <c r="M690" s="44"/>
      <c r="N690" s="45"/>
      <c r="O690" s="44"/>
      <c r="P690" s="46"/>
      <c r="Q690" s="47" t="str">
        <f aca="false">IF(L690="","",IF(M690&lt;&gt;"",M690*L690*100,IF(AND(O690&lt;&gt;"",B690&lt;&gt;""),IFERROR(AVERAGEIF($B$5:$B$1004,B690,$M$5:$M$1004)*L690*100,""),"")))</f>
        <v/>
      </c>
      <c r="R690" s="47" t="str">
        <f aca="false">IF(AND(O690&lt;&gt;"",L690&lt;&gt;""),O690*L690*100,"")</f>
        <v/>
      </c>
      <c r="S690" s="48" t="str">
        <f aca="false">IF(AND(P690&lt;&gt;"",L690&lt;&gt;""),P690*L690*100,"")</f>
        <v/>
      </c>
      <c r="T690" s="49" t="str">
        <f aca="false">IF(AND(Q690&lt;&gt;"",R690&lt;&gt;""),R690-Q690,"")</f>
        <v/>
      </c>
      <c r="U690" s="50" t="str">
        <f aca="false">IF(AND(Q690&lt;&gt;"",Q690&lt;&gt;0,T690&lt;&gt;""),T690/Q690,"")</f>
        <v/>
      </c>
      <c r="V690" s="51" t="str">
        <f aca="false">IF(AND(S690&lt;&gt;"",Q690&lt;&gt;""),S690-Q690,"")</f>
        <v/>
      </c>
      <c r="W690" s="52" t="str">
        <f aca="false">IF(AND(Q690&lt;&gt;"",Q690&lt;&gt;0,V690&lt;&gt;""),V690/Q690,"")</f>
        <v/>
      </c>
      <c r="X690" s="53" t="s">
        <v>37</v>
      </c>
      <c r="Y690" s="54" t="str">
        <f aca="false">IF(AND(O690&lt;&gt;"",M690&lt;&gt;"",O690&gt;M690),CONCATENATE("1 : ",TEXT((O690-M690)/M690,"0.00")),IF(AND(O690&lt;&gt;"",M690&lt;&gt;"",O690&lt;M690),CONCATENATE("-1 : ",TEXT((M690-O690)/M690,"0.00")),"—"))</f>
        <v>—</v>
      </c>
      <c r="Z690" s="55" t="str">
        <f aca="false">IF(AND(P690&lt;&gt;"",M690&lt;&gt;"",P690&gt;M690),CONCATENATE("1 : ",TEXT((P690-M690)/M690,"0.00")),"—")</f>
        <v>—</v>
      </c>
      <c r="AA690" s="56" t="str">
        <f aca="false">IF(AND(C690&lt;&gt;"",E690&lt;&gt;""),E690-C690,"")</f>
        <v/>
      </c>
      <c r="AB690" s="42"/>
      <c r="AC690" s="57"/>
      <c r="AD690" s="58"/>
      <c r="AE690" s="59" t="str">
        <f aca="false">IF(G690&lt;&gt;"",HYPERLINK("https://www.tradingview.com/chart/?symbol="&amp;G690&amp;"&amp;interval=60&amp;from="&amp;(AG690-10*3600)&amp;"&amp;to="&amp;(AG690+50*3600),"📈 1H"),"")</f>
        <v/>
      </c>
      <c r="AF690" s="60" t="str">
        <f aca="false">IF(G690&lt;&gt;"",HYPERLINK("https://www.tradingview.com/chart/?symbol="&amp;G690&amp;"&amp;interval=240&amp;from="&amp;(AG690-10*14400)&amp;"&amp;to="&amp;(AG690+50*14400),"📈 4H"),"")</f>
        <v/>
      </c>
      <c r="AG690" s="36" t="str">
        <f aca="false">IF(C690&lt;&gt;"",INT((C690+IF(D690&lt;&gt;"",D690,0)-DATE(1970,1,1))*86400),"")</f>
        <v/>
      </c>
    </row>
    <row r="691" customFormat="false" ht="19.5" hidden="false" customHeight="true" outlineLevel="0" collapsed="false">
      <c r="A691" s="12" t="n">
        <f aca="false">ROW()-4</f>
        <v>687</v>
      </c>
      <c r="B691" s="13"/>
      <c r="C691" s="14"/>
      <c r="D691" s="15"/>
      <c r="E691" s="14"/>
      <c r="F691" s="15"/>
      <c r="G691" s="16"/>
      <c r="H691" s="17"/>
      <c r="I691" s="18"/>
      <c r="J691" s="19"/>
      <c r="K691" s="14"/>
      <c r="L691" s="17"/>
      <c r="M691" s="19"/>
      <c r="N691" s="20"/>
      <c r="O691" s="19"/>
      <c r="P691" s="21"/>
      <c r="Q691" s="22" t="str">
        <f aca="false">IF(L691="","",IF(M691&lt;&gt;"",M691*L691*100,IF(AND(O691&lt;&gt;"",B691&lt;&gt;""),IFERROR(AVERAGEIF($B$5:$B$1004,B691,$M$5:$M$1004)*L691*100,""),"")))</f>
        <v/>
      </c>
      <c r="R691" s="22" t="str">
        <f aca="false">IF(AND(O691&lt;&gt;"",L691&lt;&gt;""),O691*L691*100,"")</f>
        <v/>
      </c>
      <c r="S691" s="23" t="str">
        <f aca="false">IF(AND(P691&lt;&gt;"",L691&lt;&gt;""),P691*L691*100,"")</f>
        <v/>
      </c>
      <c r="T691" s="24" t="str">
        <f aca="false">IF(AND(Q691&lt;&gt;"",R691&lt;&gt;""),R691-Q691,"")</f>
        <v/>
      </c>
      <c r="U691" s="25" t="str">
        <f aca="false">IF(AND(Q691&lt;&gt;"",Q691&lt;&gt;0,T691&lt;&gt;""),T691/Q691,"")</f>
        <v/>
      </c>
      <c r="V691" s="26" t="str">
        <f aca="false">IF(AND(S691&lt;&gt;"",Q691&lt;&gt;""),S691-Q691,"")</f>
        <v/>
      </c>
      <c r="W691" s="27" t="str">
        <f aca="false">IF(AND(Q691&lt;&gt;"",Q691&lt;&gt;0,V691&lt;&gt;""),V691/Q691,"")</f>
        <v/>
      </c>
      <c r="X691" s="28" t="s">
        <v>37</v>
      </c>
      <c r="Y691" s="29" t="str">
        <f aca="false">IF(AND(O691&lt;&gt;"",M691&lt;&gt;"",O691&gt;M691),CONCATENATE("1 : ",TEXT((O691-M691)/M691,"0.00")),IF(AND(O691&lt;&gt;"",M691&lt;&gt;"",O691&lt;M691),CONCATENATE("-1 : ",TEXT((M691-O691)/M691,"0.00")),"—"))</f>
        <v>—</v>
      </c>
      <c r="Z691" s="30" t="str">
        <f aca="false">IF(AND(P691&lt;&gt;"",M691&lt;&gt;"",P691&gt;M691),CONCATENATE("1 : ",TEXT((P691-M691)/M691,"0.00")),"—")</f>
        <v>—</v>
      </c>
      <c r="AA691" s="31" t="str">
        <f aca="false">IF(AND(C691&lt;&gt;"",E691&lt;&gt;""),E691-C691,"")</f>
        <v/>
      </c>
      <c r="AB691" s="17"/>
      <c r="AC691" s="32"/>
      <c r="AD691" s="33"/>
      <c r="AE691" s="34" t="str">
        <f aca="false">IF(G691&lt;&gt;"",HYPERLINK("https://www.tradingview.com/chart/?symbol="&amp;G691&amp;"&amp;interval=60&amp;from="&amp;(AG691-10*3600)&amp;"&amp;to="&amp;(AG691+50*3600),"📈 1H"),"")</f>
        <v/>
      </c>
      <c r="AF691" s="35" t="str">
        <f aca="false">IF(G691&lt;&gt;"",HYPERLINK("https://www.tradingview.com/chart/?symbol="&amp;G691&amp;"&amp;interval=240&amp;from="&amp;(AG691-10*14400)&amp;"&amp;to="&amp;(AG691+50*14400),"📈 4H"),"")</f>
        <v/>
      </c>
      <c r="AG691" s="36" t="str">
        <f aca="false">IF(C691&lt;&gt;"",INT((C691+IF(D691&lt;&gt;"",D691,0)-DATE(1970,1,1))*86400),"")</f>
        <v/>
      </c>
    </row>
    <row r="692" customFormat="false" ht="19.5" hidden="false" customHeight="true" outlineLevel="0" collapsed="false">
      <c r="A692" s="37" t="n">
        <f aca="false">ROW()-4</f>
        <v>688</v>
      </c>
      <c r="B692" s="38"/>
      <c r="C692" s="39"/>
      <c r="D692" s="40"/>
      <c r="E692" s="39"/>
      <c r="F692" s="40"/>
      <c r="G692" s="41"/>
      <c r="H692" s="42"/>
      <c r="I692" s="43"/>
      <c r="J692" s="44"/>
      <c r="K692" s="39"/>
      <c r="L692" s="42"/>
      <c r="M692" s="44"/>
      <c r="N692" s="45"/>
      <c r="O692" s="44"/>
      <c r="P692" s="46"/>
      <c r="Q692" s="47" t="str">
        <f aca="false">IF(L692="","",IF(M692&lt;&gt;"",M692*L692*100,IF(AND(O692&lt;&gt;"",B692&lt;&gt;""),IFERROR(AVERAGEIF($B$5:$B$1004,B692,$M$5:$M$1004)*L692*100,""),"")))</f>
        <v/>
      </c>
      <c r="R692" s="47" t="str">
        <f aca="false">IF(AND(O692&lt;&gt;"",L692&lt;&gt;""),O692*L692*100,"")</f>
        <v/>
      </c>
      <c r="S692" s="48" t="str">
        <f aca="false">IF(AND(P692&lt;&gt;"",L692&lt;&gt;""),P692*L692*100,"")</f>
        <v/>
      </c>
      <c r="T692" s="49" t="str">
        <f aca="false">IF(AND(Q692&lt;&gt;"",R692&lt;&gt;""),R692-Q692,"")</f>
        <v/>
      </c>
      <c r="U692" s="50" t="str">
        <f aca="false">IF(AND(Q692&lt;&gt;"",Q692&lt;&gt;0,T692&lt;&gt;""),T692/Q692,"")</f>
        <v/>
      </c>
      <c r="V692" s="51" t="str">
        <f aca="false">IF(AND(S692&lt;&gt;"",Q692&lt;&gt;""),S692-Q692,"")</f>
        <v/>
      </c>
      <c r="W692" s="52" t="str">
        <f aca="false">IF(AND(Q692&lt;&gt;"",Q692&lt;&gt;0,V692&lt;&gt;""),V692/Q692,"")</f>
        <v/>
      </c>
      <c r="X692" s="53" t="s">
        <v>37</v>
      </c>
      <c r="Y692" s="54" t="str">
        <f aca="false">IF(AND(O692&lt;&gt;"",M692&lt;&gt;"",O692&gt;M692),CONCATENATE("1 : ",TEXT((O692-M692)/M692,"0.00")),IF(AND(O692&lt;&gt;"",M692&lt;&gt;"",O692&lt;M692),CONCATENATE("-1 : ",TEXT((M692-O692)/M692,"0.00")),"—"))</f>
        <v>—</v>
      </c>
      <c r="Z692" s="55" t="str">
        <f aca="false">IF(AND(P692&lt;&gt;"",M692&lt;&gt;"",P692&gt;M692),CONCATENATE("1 : ",TEXT((P692-M692)/M692,"0.00")),"—")</f>
        <v>—</v>
      </c>
      <c r="AA692" s="56" t="str">
        <f aca="false">IF(AND(C692&lt;&gt;"",E692&lt;&gt;""),E692-C692,"")</f>
        <v/>
      </c>
      <c r="AB692" s="42"/>
      <c r="AC692" s="57"/>
      <c r="AD692" s="58"/>
      <c r="AE692" s="59" t="str">
        <f aca="false">IF(G692&lt;&gt;"",HYPERLINK("https://www.tradingview.com/chart/?symbol="&amp;G692&amp;"&amp;interval=60&amp;from="&amp;(AG692-10*3600)&amp;"&amp;to="&amp;(AG692+50*3600),"📈 1H"),"")</f>
        <v/>
      </c>
      <c r="AF692" s="60" t="str">
        <f aca="false">IF(G692&lt;&gt;"",HYPERLINK("https://www.tradingview.com/chart/?symbol="&amp;G692&amp;"&amp;interval=240&amp;from="&amp;(AG692-10*14400)&amp;"&amp;to="&amp;(AG692+50*14400),"📈 4H"),"")</f>
        <v/>
      </c>
      <c r="AG692" s="36" t="str">
        <f aca="false">IF(C692&lt;&gt;"",INT((C692+IF(D692&lt;&gt;"",D692,0)-DATE(1970,1,1))*86400),"")</f>
        <v/>
      </c>
    </row>
    <row r="693" customFormat="false" ht="19.5" hidden="false" customHeight="true" outlineLevel="0" collapsed="false">
      <c r="A693" s="12" t="n">
        <f aca="false">ROW()-4</f>
        <v>689</v>
      </c>
      <c r="B693" s="13"/>
      <c r="C693" s="14"/>
      <c r="D693" s="15"/>
      <c r="E693" s="14"/>
      <c r="F693" s="15"/>
      <c r="G693" s="16"/>
      <c r="H693" s="17"/>
      <c r="I693" s="18"/>
      <c r="J693" s="19"/>
      <c r="K693" s="14"/>
      <c r="L693" s="17"/>
      <c r="M693" s="19"/>
      <c r="N693" s="20"/>
      <c r="O693" s="19"/>
      <c r="P693" s="21"/>
      <c r="Q693" s="22" t="str">
        <f aca="false">IF(L693="","",IF(M693&lt;&gt;"",M693*L693*100,IF(AND(O693&lt;&gt;"",B693&lt;&gt;""),IFERROR(AVERAGEIF($B$5:$B$1004,B693,$M$5:$M$1004)*L693*100,""),"")))</f>
        <v/>
      </c>
      <c r="R693" s="22" t="str">
        <f aca="false">IF(AND(O693&lt;&gt;"",L693&lt;&gt;""),O693*L693*100,"")</f>
        <v/>
      </c>
      <c r="S693" s="23" t="str">
        <f aca="false">IF(AND(P693&lt;&gt;"",L693&lt;&gt;""),P693*L693*100,"")</f>
        <v/>
      </c>
      <c r="T693" s="24" t="str">
        <f aca="false">IF(AND(Q693&lt;&gt;"",R693&lt;&gt;""),R693-Q693,"")</f>
        <v/>
      </c>
      <c r="U693" s="25" t="str">
        <f aca="false">IF(AND(Q693&lt;&gt;"",Q693&lt;&gt;0,T693&lt;&gt;""),T693/Q693,"")</f>
        <v/>
      </c>
      <c r="V693" s="26" t="str">
        <f aca="false">IF(AND(S693&lt;&gt;"",Q693&lt;&gt;""),S693-Q693,"")</f>
        <v/>
      </c>
      <c r="W693" s="27" t="str">
        <f aca="false">IF(AND(Q693&lt;&gt;"",Q693&lt;&gt;0,V693&lt;&gt;""),V693/Q693,"")</f>
        <v/>
      </c>
      <c r="X693" s="28" t="s">
        <v>37</v>
      </c>
      <c r="Y693" s="29" t="str">
        <f aca="false">IF(AND(O693&lt;&gt;"",M693&lt;&gt;"",O693&gt;M693),CONCATENATE("1 : ",TEXT((O693-M693)/M693,"0.00")),IF(AND(O693&lt;&gt;"",M693&lt;&gt;"",O693&lt;M693),CONCATENATE("-1 : ",TEXT((M693-O693)/M693,"0.00")),"—"))</f>
        <v>—</v>
      </c>
      <c r="Z693" s="30" t="str">
        <f aca="false">IF(AND(P693&lt;&gt;"",M693&lt;&gt;"",P693&gt;M693),CONCATENATE("1 : ",TEXT((P693-M693)/M693,"0.00")),"—")</f>
        <v>—</v>
      </c>
      <c r="AA693" s="31" t="str">
        <f aca="false">IF(AND(C693&lt;&gt;"",E693&lt;&gt;""),E693-C693,"")</f>
        <v/>
      </c>
      <c r="AB693" s="17"/>
      <c r="AC693" s="32"/>
      <c r="AD693" s="33"/>
      <c r="AE693" s="34" t="str">
        <f aca="false">IF(G693&lt;&gt;"",HYPERLINK("https://www.tradingview.com/chart/?symbol="&amp;G693&amp;"&amp;interval=60&amp;from="&amp;(AG693-10*3600)&amp;"&amp;to="&amp;(AG693+50*3600),"📈 1H"),"")</f>
        <v/>
      </c>
      <c r="AF693" s="35" t="str">
        <f aca="false">IF(G693&lt;&gt;"",HYPERLINK("https://www.tradingview.com/chart/?symbol="&amp;G693&amp;"&amp;interval=240&amp;from="&amp;(AG693-10*14400)&amp;"&amp;to="&amp;(AG693+50*14400),"📈 4H"),"")</f>
        <v/>
      </c>
      <c r="AG693" s="36" t="str">
        <f aca="false">IF(C693&lt;&gt;"",INT((C693+IF(D693&lt;&gt;"",D693,0)-DATE(1970,1,1))*86400),"")</f>
        <v/>
      </c>
    </row>
    <row r="694" customFormat="false" ht="19.5" hidden="false" customHeight="true" outlineLevel="0" collapsed="false">
      <c r="A694" s="37" t="n">
        <f aca="false">ROW()-4</f>
        <v>690</v>
      </c>
      <c r="B694" s="38"/>
      <c r="C694" s="39"/>
      <c r="D694" s="40"/>
      <c r="E694" s="39"/>
      <c r="F694" s="40"/>
      <c r="G694" s="41"/>
      <c r="H694" s="42"/>
      <c r="I694" s="43"/>
      <c r="J694" s="44"/>
      <c r="K694" s="39"/>
      <c r="L694" s="42"/>
      <c r="M694" s="44"/>
      <c r="N694" s="45"/>
      <c r="O694" s="44"/>
      <c r="P694" s="46"/>
      <c r="Q694" s="47" t="str">
        <f aca="false">IF(L694="","",IF(M694&lt;&gt;"",M694*L694*100,IF(AND(O694&lt;&gt;"",B694&lt;&gt;""),IFERROR(AVERAGEIF($B$5:$B$1004,B694,$M$5:$M$1004)*L694*100,""),"")))</f>
        <v/>
      </c>
      <c r="R694" s="47" t="str">
        <f aca="false">IF(AND(O694&lt;&gt;"",L694&lt;&gt;""),O694*L694*100,"")</f>
        <v/>
      </c>
      <c r="S694" s="48" t="str">
        <f aca="false">IF(AND(P694&lt;&gt;"",L694&lt;&gt;""),P694*L694*100,"")</f>
        <v/>
      </c>
      <c r="T694" s="49" t="str">
        <f aca="false">IF(AND(Q694&lt;&gt;"",R694&lt;&gt;""),R694-Q694,"")</f>
        <v/>
      </c>
      <c r="U694" s="50" t="str">
        <f aca="false">IF(AND(Q694&lt;&gt;"",Q694&lt;&gt;0,T694&lt;&gt;""),T694/Q694,"")</f>
        <v/>
      </c>
      <c r="V694" s="51" t="str">
        <f aca="false">IF(AND(S694&lt;&gt;"",Q694&lt;&gt;""),S694-Q694,"")</f>
        <v/>
      </c>
      <c r="W694" s="52" t="str">
        <f aca="false">IF(AND(Q694&lt;&gt;"",Q694&lt;&gt;0,V694&lt;&gt;""),V694/Q694,"")</f>
        <v/>
      </c>
      <c r="X694" s="53" t="s">
        <v>37</v>
      </c>
      <c r="Y694" s="54" t="str">
        <f aca="false">IF(AND(O694&lt;&gt;"",M694&lt;&gt;"",O694&gt;M694),CONCATENATE("1 : ",TEXT((O694-M694)/M694,"0.00")),IF(AND(O694&lt;&gt;"",M694&lt;&gt;"",O694&lt;M694),CONCATENATE("-1 : ",TEXT((M694-O694)/M694,"0.00")),"—"))</f>
        <v>—</v>
      </c>
      <c r="Z694" s="55" t="str">
        <f aca="false">IF(AND(P694&lt;&gt;"",M694&lt;&gt;"",P694&gt;M694),CONCATENATE("1 : ",TEXT((P694-M694)/M694,"0.00")),"—")</f>
        <v>—</v>
      </c>
      <c r="AA694" s="56" t="str">
        <f aca="false">IF(AND(C694&lt;&gt;"",E694&lt;&gt;""),E694-C694,"")</f>
        <v/>
      </c>
      <c r="AB694" s="42"/>
      <c r="AC694" s="57"/>
      <c r="AD694" s="58"/>
      <c r="AE694" s="59" t="str">
        <f aca="false">IF(G694&lt;&gt;"",HYPERLINK("https://www.tradingview.com/chart/?symbol="&amp;G694&amp;"&amp;interval=60&amp;from="&amp;(AG694-10*3600)&amp;"&amp;to="&amp;(AG694+50*3600),"📈 1H"),"")</f>
        <v/>
      </c>
      <c r="AF694" s="60" t="str">
        <f aca="false">IF(G694&lt;&gt;"",HYPERLINK("https://www.tradingview.com/chart/?symbol="&amp;G694&amp;"&amp;interval=240&amp;from="&amp;(AG694-10*14400)&amp;"&amp;to="&amp;(AG694+50*14400),"📈 4H"),"")</f>
        <v/>
      </c>
      <c r="AG694" s="36" t="str">
        <f aca="false">IF(C694&lt;&gt;"",INT((C694+IF(D694&lt;&gt;"",D694,0)-DATE(1970,1,1))*86400),"")</f>
        <v/>
      </c>
    </row>
    <row r="695" customFormat="false" ht="19.5" hidden="false" customHeight="true" outlineLevel="0" collapsed="false">
      <c r="A695" s="12" t="n">
        <f aca="false">ROW()-4</f>
        <v>691</v>
      </c>
      <c r="B695" s="13"/>
      <c r="C695" s="14"/>
      <c r="D695" s="15"/>
      <c r="E695" s="14"/>
      <c r="F695" s="15"/>
      <c r="G695" s="16"/>
      <c r="H695" s="17"/>
      <c r="I695" s="18"/>
      <c r="J695" s="19"/>
      <c r="K695" s="14"/>
      <c r="L695" s="17"/>
      <c r="M695" s="19"/>
      <c r="N695" s="20"/>
      <c r="O695" s="19"/>
      <c r="P695" s="21"/>
      <c r="Q695" s="22" t="str">
        <f aca="false">IF(L695="","",IF(M695&lt;&gt;"",M695*L695*100,IF(AND(O695&lt;&gt;"",B695&lt;&gt;""),IFERROR(AVERAGEIF($B$5:$B$1004,B695,$M$5:$M$1004)*L695*100,""),"")))</f>
        <v/>
      </c>
      <c r="R695" s="22" t="str">
        <f aca="false">IF(AND(O695&lt;&gt;"",L695&lt;&gt;""),O695*L695*100,"")</f>
        <v/>
      </c>
      <c r="S695" s="23" t="str">
        <f aca="false">IF(AND(P695&lt;&gt;"",L695&lt;&gt;""),P695*L695*100,"")</f>
        <v/>
      </c>
      <c r="T695" s="24" t="str">
        <f aca="false">IF(AND(Q695&lt;&gt;"",R695&lt;&gt;""),R695-Q695,"")</f>
        <v/>
      </c>
      <c r="U695" s="25" t="str">
        <f aca="false">IF(AND(Q695&lt;&gt;"",Q695&lt;&gt;0,T695&lt;&gt;""),T695/Q695,"")</f>
        <v/>
      </c>
      <c r="V695" s="26" t="str">
        <f aca="false">IF(AND(S695&lt;&gt;"",Q695&lt;&gt;""),S695-Q695,"")</f>
        <v/>
      </c>
      <c r="W695" s="27" t="str">
        <f aca="false">IF(AND(Q695&lt;&gt;"",Q695&lt;&gt;0,V695&lt;&gt;""),V695/Q695,"")</f>
        <v/>
      </c>
      <c r="X695" s="28" t="s">
        <v>37</v>
      </c>
      <c r="Y695" s="29" t="str">
        <f aca="false">IF(AND(O695&lt;&gt;"",M695&lt;&gt;"",O695&gt;M695),CONCATENATE("1 : ",TEXT((O695-M695)/M695,"0.00")),IF(AND(O695&lt;&gt;"",M695&lt;&gt;"",O695&lt;M695),CONCATENATE("-1 : ",TEXT((M695-O695)/M695,"0.00")),"—"))</f>
        <v>—</v>
      </c>
      <c r="Z695" s="30" t="str">
        <f aca="false">IF(AND(P695&lt;&gt;"",M695&lt;&gt;"",P695&gt;M695),CONCATENATE("1 : ",TEXT((P695-M695)/M695,"0.00")),"—")</f>
        <v>—</v>
      </c>
      <c r="AA695" s="31" t="str">
        <f aca="false">IF(AND(C695&lt;&gt;"",E695&lt;&gt;""),E695-C695,"")</f>
        <v/>
      </c>
      <c r="AB695" s="17"/>
      <c r="AC695" s="32"/>
      <c r="AD695" s="33"/>
      <c r="AE695" s="34" t="str">
        <f aca="false">IF(G695&lt;&gt;"",HYPERLINK("https://www.tradingview.com/chart/?symbol="&amp;G695&amp;"&amp;interval=60&amp;from="&amp;(AG695-10*3600)&amp;"&amp;to="&amp;(AG695+50*3600),"📈 1H"),"")</f>
        <v/>
      </c>
      <c r="AF695" s="35" t="str">
        <f aca="false">IF(G695&lt;&gt;"",HYPERLINK("https://www.tradingview.com/chart/?symbol="&amp;G695&amp;"&amp;interval=240&amp;from="&amp;(AG695-10*14400)&amp;"&amp;to="&amp;(AG695+50*14400),"📈 4H"),"")</f>
        <v/>
      </c>
      <c r="AG695" s="36" t="str">
        <f aca="false">IF(C695&lt;&gt;"",INT((C695+IF(D695&lt;&gt;"",D695,0)-DATE(1970,1,1))*86400),"")</f>
        <v/>
      </c>
    </row>
    <row r="696" customFormat="false" ht="19.5" hidden="false" customHeight="true" outlineLevel="0" collapsed="false">
      <c r="A696" s="37" t="n">
        <f aca="false">ROW()-4</f>
        <v>692</v>
      </c>
      <c r="B696" s="38"/>
      <c r="C696" s="39"/>
      <c r="D696" s="40"/>
      <c r="E696" s="39"/>
      <c r="F696" s="40"/>
      <c r="G696" s="41"/>
      <c r="H696" s="42"/>
      <c r="I696" s="43"/>
      <c r="J696" s="44"/>
      <c r="K696" s="39"/>
      <c r="L696" s="42"/>
      <c r="M696" s="44"/>
      <c r="N696" s="45"/>
      <c r="O696" s="44"/>
      <c r="P696" s="46"/>
      <c r="Q696" s="47" t="str">
        <f aca="false">IF(L696="","",IF(M696&lt;&gt;"",M696*L696*100,IF(AND(O696&lt;&gt;"",B696&lt;&gt;""),IFERROR(AVERAGEIF($B$5:$B$1004,B696,$M$5:$M$1004)*L696*100,""),"")))</f>
        <v/>
      </c>
      <c r="R696" s="47" t="str">
        <f aca="false">IF(AND(O696&lt;&gt;"",L696&lt;&gt;""),O696*L696*100,"")</f>
        <v/>
      </c>
      <c r="S696" s="48" t="str">
        <f aca="false">IF(AND(P696&lt;&gt;"",L696&lt;&gt;""),P696*L696*100,"")</f>
        <v/>
      </c>
      <c r="T696" s="49" t="str">
        <f aca="false">IF(AND(Q696&lt;&gt;"",R696&lt;&gt;""),R696-Q696,"")</f>
        <v/>
      </c>
      <c r="U696" s="50" t="str">
        <f aca="false">IF(AND(Q696&lt;&gt;"",Q696&lt;&gt;0,T696&lt;&gt;""),T696/Q696,"")</f>
        <v/>
      </c>
      <c r="V696" s="51" t="str">
        <f aca="false">IF(AND(S696&lt;&gt;"",Q696&lt;&gt;""),S696-Q696,"")</f>
        <v/>
      </c>
      <c r="W696" s="52" t="str">
        <f aca="false">IF(AND(Q696&lt;&gt;"",Q696&lt;&gt;0,V696&lt;&gt;""),V696/Q696,"")</f>
        <v/>
      </c>
      <c r="X696" s="53" t="s">
        <v>37</v>
      </c>
      <c r="Y696" s="54" t="str">
        <f aca="false">IF(AND(O696&lt;&gt;"",M696&lt;&gt;"",O696&gt;M696),CONCATENATE("1 : ",TEXT((O696-M696)/M696,"0.00")),IF(AND(O696&lt;&gt;"",M696&lt;&gt;"",O696&lt;M696),CONCATENATE("-1 : ",TEXT((M696-O696)/M696,"0.00")),"—"))</f>
        <v>—</v>
      </c>
      <c r="Z696" s="55" t="str">
        <f aca="false">IF(AND(P696&lt;&gt;"",M696&lt;&gt;"",P696&gt;M696),CONCATENATE("1 : ",TEXT((P696-M696)/M696,"0.00")),"—")</f>
        <v>—</v>
      </c>
      <c r="AA696" s="56" t="str">
        <f aca="false">IF(AND(C696&lt;&gt;"",E696&lt;&gt;""),E696-C696,"")</f>
        <v/>
      </c>
      <c r="AB696" s="42"/>
      <c r="AC696" s="57"/>
      <c r="AD696" s="58"/>
      <c r="AE696" s="59" t="str">
        <f aca="false">IF(G696&lt;&gt;"",HYPERLINK("https://www.tradingview.com/chart/?symbol="&amp;G696&amp;"&amp;interval=60&amp;from="&amp;(AG696-10*3600)&amp;"&amp;to="&amp;(AG696+50*3600),"📈 1H"),"")</f>
        <v/>
      </c>
      <c r="AF696" s="60" t="str">
        <f aca="false">IF(G696&lt;&gt;"",HYPERLINK("https://www.tradingview.com/chart/?symbol="&amp;G696&amp;"&amp;interval=240&amp;from="&amp;(AG696-10*14400)&amp;"&amp;to="&amp;(AG696+50*14400),"📈 4H"),"")</f>
        <v/>
      </c>
      <c r="AG696" s="36" t="str">
        <f aca="false">IF(C696&lt;&gt;"",INT((C696+IF(D696&lt;&gt;"",D696,0)-DATE(1970,1,1))*86400),"")</f>
        <v/>
      </c>
    </row>
    <row r="697" customFormat="false" ht="19.5" hidden="false" customHeight="true" outlineLevel="0" collapsed="false">
      <c r="A697" s="12" t="n">
        <f aca="false">ROW()-4</f>
        <v>693</v>
      </c>
      <c r="B697" s="13"/>
      <c r="C697" s="14"/>
      <c r="D697" s="15"/>
      <c r="E697" s="14"/>
      <c r="F697" s="15"/>
      <c r="G697" s="16"/>
      <c r="H697" s="17"/>
      <c r="I697" s="18"/>
      <c r="J697" s="19"/>
      <c r="K697" s="14"/>
      <c r="L697" s="17"/>
      <c r="M697" s="19"/>
      <c r="N697" s="20"/>
      <c r="O697" s="19"/>
      <c r="P697" s="21"/>
      <c r="Q697" s="22" t="str">
        <f aca="false">IF(L697="","",IF(M697&lt;&gt;"",M697*L697*100,IF(AND(O697&lt;&gt;"",B697&lt;&gt;""),IFERROR(AVERAGEIF($B$5:$B$1004,B697,$M$5:$M$1004)*L697*100,""),"")))</f>
        <v/>
      </c>
      <c r="R697" s="22" t="str">
        <f aca="false">IF(AND(O697&lt;&gt;"",L697&lt;&gt;""),O697*L697*100,"")</f>
        <v/>
      </c>
      <c r="S697" s="23" t="str">
        <f aca="false">IF(AND(P697&lt;&gt;"",L697&lt;&gt;""),P697*L697*100,"")</f>
        <v/>
      </c>
      <c r="T697" s="24" t="str">
        <f aca="false">IF(AND(Q697&lt;&gt;"",R697&lt;&gt;""),R697-Q697,"")</f>
        <v/>
      </c>
      <c r="U697" s="25" t="str">
        <f aca="false">IF(AND(Q697&lt;&gt;"",Q697&lt;&gt;0,T697&lt;&gt;""),T697/Q697,"")</f>
        <v/>
      </c>
      <c r="V697" s="26" t="str">
        <f aca="false">IF(AND(S697&lt;&gt;"",Q697&lt;&gt;""),S697-Q697,"")</f>
        <v/>
      </c>
      <c r="W697" s="27" t="str">
        <f aca="false">IF(AND(Q697&lt;&gt;"",Q697&lt;&gt;0,V697&lt;&gt;""),V697/Q697,"")</f>
        <v/>
      </c>
      <c r="X697" s="28" t="s">
        <v>37</v>
      </c>
      <c r="Y697" s="29" t="str">
        <f aca="false">IF(AND(O697&lt;&gt;"",M697&lt;&gt;"",O697&gt;M697),CONCATENATE("1 : ",TEXT((O697-M697)/M697,"0.00")),IF(AND(O697&lt;&gt;"",M697&lt;&gt;"",O697&lt;M697),CONCATENATE("-1 : ",TEXT((M697-O697)/M697,"0.00")),"—"))</f>
        <v>—</v>
      </c>
      <c r="Z697" s="30" t="str">
        <f aca="false">IF(AND(P697&lt;&gt;"",M697&lt;&gt;"",P697&gt;M697),CONCATENATE("1 : ",TEXT((P697-M697)/M697,"0.00")),"—")</f>
        <v>—</v>
      </c>
      <c r="AA697" s="31" t="str">
        <f aca="false">IF(AND(C697&lt;&gt;"",E697&lt;&gt;""),E697-C697,"")</f>
        <v/>
      </c>
      <c r="AB697" s="17"/>
      <c r="AC697" s="32"/>
      <c r="AD697" s="33"/>
      <c r="AE697" s="34" t="str">
        <f aca="false">IF(G697&lt;&gt;"",HYPERLINK("https://www.tradingview.com/chart/?symbol="&amp;G697&amp;"&amp;interval=60&amp;from="&amp;(AG697-10*3600)&amp;"&amp;to="&amp;(AG697+50*3600),"📈 1H"),"")</f>
        <v/>
      </c>
      <c r="AF697" s="35" t="str">
        <f aca="false">IF(G697&lt;&gt;"",HYPERLINK("https://www.tradingview.com/chart/?symbol="&amp;G697&amp;"&amp;interval=240&amp;from="&amp;(AG697-10*14400)&amp;"&amp;to="&amp;(AG697+50*14400),"📈 4H"),"")</f>
        <v/>
      </c>
      <c r="AG697" s="36" t="str">
        <f aca="false">IF(C697&lt;&gt;"",INT((C697+IF(D697&lt;&gt;"",D697,0)-DATE(1970,1,1))*86400),"")</f>
        <v/>
      </c>
    </row>
    <row r="698" customFormat="false" ht="19.5" hidden="false" customHeight="true" outlineLevel="0" collapsed="false">
      <c r="A698" s="37" t="n">
        <f aca="false">ROW()-4</f>
        <v>694</v>
      </c>
      <c r="B698" s="38"/>
      <c r="C698" s="39"/>
      <c r="D698" s="40"/>
      <c r="E698" s="39"/>
      <c r="F698" s="40"/>
      <c r="G698" s="41"/>
      <c r="H698" s="42"/>
      <c r="I698" s="43"/>
      <c r="J698" s="44"/>
      <c r="K698" s="39"/>
      <c r="L698" s="42"/>
      <c r="M698" s="44"/>
      <c r="N698" s="45"/>
      <c r="O698" s="44"/>
      <c r="P698" s="46"/>
      <c r="Q698" s="47" t="str">
        <f aca="false">IF(L698="","",IF(M698&lt;&gt;"",M698*L698*100,IF(AND(O698&lt;&gt;"",B698&lt;&gt;""),IFERROR(AVERAGEIF($B$5:$B$1004,B698,$M$5:$M$1004)*L698*100,""),"")))</f>
        <v/>
      </c>
      <c r="R698" s="47" t="str">
        <f aca="false">IF(AND(O698&lt;&gt;"",L698&lt;&gt;""),O698*L698*100,"")</f>
        <v/>
      </c>
      <c r="S698" s="48" t="str">
        <f aca="false">IF(AND(P698&lt;&gt;"",L698&lt;&gt;""),P698*L698*100,"")</f>
        <v/>
      </c>
      <c r="T698" s="49" t="str">
        <f aca="false">IF(AND(Q698&lt;&gt;"",R698&lt;&gt;""),R698-Q698,"")</f>
        <v/>
      </c>
      <c r="U698" s="50" t="str">
        <f aca="false">IF(AND(Q698&lt;&gt;"",Q698&lt;&gt;0,T698&lt;&gt;""),T698/Q698,"")</f>
        <v/>
      </c>
      <c r="V698" s="51" t="str">
        <f aca="false">IF(AND(S698&lt;&gt;"",Q698&lt;&gt;""),S698-Q698,"")</f>
        <v/>
      </c>
      <c r="W698" s="52" t="str">
        <f aca="false">IF(AND(Q698&lt;&gt;"",Q698&lt;&gt;0,V698&lt;&gt;""),V698/Q698,"")</f>
        <v/>
      </c>
      <c r="X698" s="53" t="s">
        <v>37</v>
      </c>
      <c r="Y698" s="54" t="str">
        <f aca="false">IF(AND(O698&lt;&gt;"",M698&lt;&gt;"",O698&gt;M698),CONCATENATE("1 : ",TEXT((O698-M698)/M698,"0.00")),IF(AND(O698&lt;&gt;"",M698&lt;&gt;"",O698&lt;M698),CONCATENATE("-1 : ",TEXT((M698-O698)/M698,"0.00")),"—"))</f>
        <v>—</v>
      </c>
      <c r="Z698" s="55" t="str">
        <f aca="false">IF(AND(P698&lt;&gt;"",M698&lt;&gt;"",P698&gt;M698),CONCATENATE("1 : ",TEXT((P698-M698)/M698,"0.00")),"—")</f>
        <v>—</v>
      </c>
      <c r="AA698" s="56" t="str">
        <f aca="false">IF(AND(C698&lt;&gt;"",E698&lt;&gt;""),E698-C698,"")</f>
        <v/>
      </c>
      <c r="AB698" s="42"/>
      <c r="AC698" s="57"/>
      <c r="AD698" s="58"/>
      <c r="AE698" s="59" t="str">
        <f aca="false">IF(G698&lt;&gt;"",HYPERLINK("https://www.tradingview.com/chart/?symbol="&amp;G698&amp;"&amp;interval=60&amp;from="&amp;(AG698-10*3600)&amp;"&amp;to="&amp;(AG698+50*3600),"📈 1H"),"")</f>
        <v/>
      </c>
      <c r="AF698" s="60" t="str">
        <f aca="false">IF(G698&lt;&gt;"",HYPERLINK("https://www.tradingview.com/chart/?symbol="&amp;G698&amp;"&amp;interval=240&amp;from="&amp;(AG698-10*14400)&amp;"&amp;to="&amp;(AG698+50*14400),"📈 4H"),"")</f>
        <v/>
      </c>
      <c r="AG698" s="36" t="str">
        <f aca="false">IF(C698&lt;&gt;"",INT((C698+IF(D698&lt;&gt;"",D698,0)-DATE(1970,1,1))*86400),"")</f>
        <v/>
      </c>
    </row>
    <row r="699" customFormat="false" ht="19.5" hidden="false" customHeight="true" outlineLevel="0" collapsed="false">
      <c r="A699" s="12" t="n">
        <f aca="false">ROW()-4</f>
        <v>695</v>
      </c>
      <c r="B699" s="13"/>
      <c r="C699" s="14"/>
      <c r="D699" s="15"/>
      <c r="E699" s="14"/>
      <c r="F699" s="15"/>
      <c r="G699" s="16"/>
      <c r="H699" s="17"/>
      <c r="I699" s="18"/>
      <c r="J699" s="19"/>
      <c r="K699" s="14"/>
      <c r="L699" s="17"/>
      <c r="M699" s="19"/>
      <c r="N699" s="20"/>
      <c r="O699" s="19"/>
      <c r="P699" s="21"/>
      <c r="Q699" s="22" t="str">
        <f aca="false">IF(L699="","",IF(M699&lt;&gt;"",M699*L699*100,IF(AND(O699&lt;&gt;"",B699&lt;&gt;""),IFERROR(AVERAGEIF($B$5:$B$1004,B699,$M$5:$M$1004)*L699*100,""),"")))</f>
        <v/>
      </c>
      <c r="R699" s="22" t="str">
        <f aca="false">IF(AND(O699&lt;&gt;"",L699&lt;&gt;""),O699*L699*100,"")</f>
        <v/>
      </c>
      <c r="S699" s="23" t="str">
        <f aca="false">IF(AND(P699&lt;&gt;"",L699&lt;&gt;""),P699*L699*100,"")</f>
        <v/>
      </c>
      <c r="T699" s="24" t="str">
        <f aca="false">IF(AND(Q699&lt;&gt;"",R699&lt;&gt;""),R699-Q699,"")</f>
        <v/>
      </c>
      <c r="U699" s="25" t="str">
        <f aca="false">IF(AND(Q699&lt;&gt;"",Q699&lt;&gt;0,T699&lt;&gt;""),T699/Q699,"")</f>
        <v/>
      </c>
      <c r="V699" s="26" t="str">
        <f aca="false">IF(AND(S699&lt;&gt;"",Q699&lt;&gt;""),S699-Q699,"")</f>
        <v/>
      </c>
      <c r="W699" s="27" t="str">
        <f aca="false">IF(AND(Q699&lt;&gt;"",Q699&lt;&gt;0,V699&lt;&gt;""),V699/Q699,"")</f>
        <v/>
      </c>
      <c r="X699" s="28" t="s">
        <v>37</v>
      </c>
      <c r="Y699" s="29" t="str">
        <f aca="false">IF(AND(O699&lt;&gt;"",M699&lt;&gt;"",O699&gt;M699),CONCATENATE("1 : ",TEXT((O699-M699)/M699,"0.00")),IF(AND(O699&lt;&gt;"",M699&lt;&gt;"",O699&lt;M699),CONCATENATE("-1 : ",TEXT((M699-O699)/M699,"0.00")),"—"))</f>
        <v>—</v>
      </c>
      <c r="Z699" s="30" t="str">
        <f aca="false">IF(AND(P699&lt;&gt;"",M699&lt;&gt;"",P699&gt;M699),CONCATENATE("1 : ",TEXT((P699-M699)/M699,"0.00")),"—")</f>
        <v>—</v>
      </c>
      <c r="AA699" s="31" t="str">
        <f aca="false">IF(AND(C699&lt;&gt;"",E699&lt;&gt;""),E699-C699,"")</f>
        <v/>
      </c>
      <c r="AB699" s="17"/>
      <c r="AC699" s="32"/>
      <c r="AD699" s="33"/>
      <c r="AE699" s="34" t="str">
        <f aca="false">IF(G699&lt;&gt;"",HYPERLINK("https://www.tradingview.com/chart/?symbol="&amp;G699&amp;"&amp;interval=60&amp;from="&amp;(AG699-10*3600)&amp;"&amp;to="&amp;(AG699+50*3600),"📈 1H"),"")</f>
        <v/>
      </c>
      <c r="AF699" s="35" t="str">
        <f aca="false">IF(G699&lt;&gt;"",HYPERLINK("https://www.tradingview.com/chart/?symbol="&amp;G699&amp;"&amp;interval=240&amp;from="&amp;(AG699-10*14400)&amp;"&amp;to="&amp;(AG699+50*14400),"📈 4H"),"")</f>
        <v/>
      </c>
      <c r="AG699" s="36" t="str">
        <f aca="false">IF(C699&lt;&gt;"",INT((C699+IF(D699&lt;&gt;"",D699,0)-DATE(1970,1,1))*86400),"")</f>
        <v/>
      </c>
    </row>
    <row r="700" customFormat="false" ht="19.5" hidden="false" customHeight="true" outlineLevel="0" collapsed="false">
      <c r="A700" s="37" t="n">
        <f aca="false">ROW()-4</f>
        <v>696</v>
      </c>
      <c r="B700" s="38"/>
      <c r="C700" s="39"/>
      <c r="D700" s="40"/>
      <c r="E700" s="39"/>
      <c r="F700" s="40"/>
      <c r="G700" s="41"/>
      <c r="H700" s="42"/>
      <c r="I700" s="43"/>
      <c r="J700" s="44"/>
      <c r="K700" s="39"/>
      <c r="L700" s="42"/>
      <c r="M700" s="44"/>
      <c r="N700" s="45"/>
      <c r="O700" s="44"/>
      <c r="P700" s="46"/>
      <c r="Q700" s="47" t="str">
        <f aca="false">IF(L700="","",IF(M700&lt;&gt;"",M700*L700*100,IF(AND(O700&lt;&gt;"",B700&lt;&gt;""),IFERROR(AVERAGEIF($B$5:$B$1004,B700,$M$5:$M$1004)*L700*100,""),"")))</f>
        <v/>
      </c>
      <c r="R700" s="47" t="str">
        <f aca="false">IF(AND(O700&lt;&gt;"",L700&lt;&gt;""),O700*L700*100,"")</f>
        <v/>
      </c>
      <c r="S700" s="48" t="str">
        <f aca="false">IF(AND(P700&lt;&gt;"",L700&lt;&gt;""),P700*L700*100,"")</f>
        <v/>
      </c>
      <c r="T700" s="49" t="str">
        <f aca="false">IF(AND(Q700&lt;&gt;"",R700&lt;&gt;""),R700-Q700,"")</f>
        <v/>
      </c>
      <c r="U700" s="50" t="str">
        <f aca="false">IF(AND(Q700&lt;&gt;"",Q700&lt;&gt;0,T700&lt;&gt;""),T700/Q700,"")</f>
        <v/>
      </c>
      <c r="V700" s="51" t="str">
        <f aca="false">IF(AND(S700&lt;&gt;"",Q700&lt;&gt;""),S700-Q700,"")</f>
        <v/>
      </c>
      <c r="W700" s="52" t="str">
        <f aca="false">IF(AND(Q700&lt;&gt;"",Q700&lt;&gt;0,V700&lt;&gt;""),V700/Q700,"")</f>
        <v/>
      </c>
      <c r="X700" s="53" t="s">
        <v>37</v>
      </c>
      <c r="Y700" s="54" t="str">
        <f aca="false">IF(AND(O700&lt;&gt;"",M700&lt;&gt;"",O700&gt;M700),CONCATENATE("1 : ",TEXT((O700-M700)/M700,"0.00")),IF(AND(O700&lt;&gt;"",M700&lt;&gt;"",O700&lt;M700),CONCATENATE("-1 : ",TEXT((M700-O700)/M700,"0.00")),"—"))</f>
        <v>—</v>
      </c>
      <c r="Z700" s="55" t="str">
        <f aca="false">IF(AND(P700&lt;&gt;"",M700&lt;&gt;"",P700&gt;M700),CONCATENATE("1 : ",TEXT((P700-M700)/M700,"0.00")),"—")</f>
        <v>—</v>
      </c>
      <c r="AA700" s="56" t="str">
        <f aca="false">IF(AND(C700&lt;&gt;"",E700&lt;&gt;""),E700-C700,"")</f>
        <v/>
      </c>
      <c r="AB700" s="42"/>
      <c r="AC700" s="57"/>
      <c r="AD700" s="58"/>
      <c r="AE700" s="59" t="str">
        <f aca="false">IF(G700&lt;&gt;"",HYPERLINK("https://www.tradingview.com/chart/?symbol="&amp;G700&amp;"&amp;interval=60&amp;from="&amp;(AG700-10*3600)&amp;"&amp;to="&amp;(AG700+50*3600),"📈 1H"),"")</f>
        <v/>
      </c>
      <c r="AF700" s="60" t="str">
        <f aca="false">IF(G700&lt;&gt;"",HYPERLINK("https://www.tradingview.com/chart/?symbol="&amp;G700&amp;"&amp;interval=240&amp;from="&amp;(AG700-10*14400)&amp;"&amp;to="&amp;(AG700+50*14400),"📈 4H"),"")</f>
        <v/>
      </c>
      <c r="AG700" s="36" t="str">
        <f aca="false">IF(C700&lt;&gt;"",INT((C700+IF(D700&lt;&gt;"",D700,0)-DATE(1970,1,1))*86400),"")</f>
        <v/>
      </c>
    </row>
    <row r="701" customFormat="false" ht="19.5" hidden="false" customHeight="true" outlineLevel="0" collapsed="false">
      <c r="A701" s="12" t="n">
        <f aca="false">ROW()-4</f>
        <v>697</v>
      </c>
      <c r="B701" s="13"/>
      <c r="C701" s="14"/>
      <c r="D701" s="15"/>
      <c r="E701" s="14"/>
      <c r="F701" s="15"/>
      <c r="G701" s="16"/>
      <c r="H701" s="17"/>
      <c r="I701" s="18"/>
      <c r="J701" s="19"/>
      <c r="K701" s="14"/>
      <c r="L701" s="17"/>
      <c r="M701" s="19"/>
      <c r="N701" s="20"/>
      <c r="O701" s="19"/>
      <c r="P701" s="21"/>
      <c r="Q701" s="22" t="str">
        <f aca="false">IF(L701="","",IF(M701&lt;&gt;"",M701*L701*100,IF(AND(O701&lt;&gt;"",B701&lt;&gt;""),IFERROR(AVERAGEIF($B$5:$B$1004,B701,$M$5:$M$1004)*L701*100,""),"")))</f>
        <v/>
      </c>
      <c r="R701" s="22" t="str">
        <f aca="false">IF(AND(O701&lt;&gt;"",L701&lt;&gt;""),O701*L701*100,"")</f>
        <v/>
      </c>
      <c r="S701" s="23" t="str">
        <f aca="false">IF(AND(P701&lt;&gt;"",L701&lt;&gt;""),P701*L701*100,"")</f>
        <v/>
      </c>
      <c r="T701" s="24" t="str">
        <f aca="false">IF(AND(Q701&lt;&gt;"",R701&lt;&gt;""),R701-Q701,"")</f>
        <v/>
      </c>
      <c r="U701" s="25" t="str">
        <f aca="false">IF(AND(Q701&lt;&gt;"",Q701&lt;&gt;0,T701&lt;&gt;""),T701/Q701,"")</f>
        <v/>
      </c>
      <c r="V701" s="26" t="str">
        <f aca="false">IF(AND(S701&lt;&gt;"",Q701&lt;&gt;""),S701-Q701,"")</f>
        <v/>
      </c>
      <c r="W701" s="27" t="str">
        <f aca="false">IF(AND(Q701&lt;&gt;"",Q701&lt;&gt;0,V701&lt;&gt;""),V701/Q701,"")</f>
        <v/>
      </c>
      <c r="X701" s="28" t="s">
        <v>37</v>
      </c>
      <c r="Y701" s="29" t="str">
        <f aca="false">IF(AND(O701&lt;&gt;"",M701&lt;&gt;"",O701&gt;M701),CONCATENATE("1 : ",TEXT((O701-M701)/M701,"0.00")),IF(AND(O701&lt;&gt;"",M701&lt;&gt;"",O701&lt;M701),CONCATENATE("-1 : ",TEXT((M701-O701)/M701,"0.00")),"—"))</f>
        <v>—</v>
      </c>
      <c r="Z701" s="30" t="str">
        <f aca="false">IF(AND(P701&lt;&gt;"",M701&lt;&gt;"",P701&gt;M701),CONCATENATE("1 : ",TEXT((P701-M701)/M701,"0.00")),"—")</f>
        <v>—</v>
      </c>
      <c r="AA701" s="31" t="str">
        <f aca="false">IF(AND(C701&lt;&gt;"",E701&lt;&gt;""),E701-C701,"")</f>
        <v/>
      </c>
      <c r="AB701" s="17"/>
      <c r="AC701" s="32"/>
      <c r="AD701" s="33"/>
      <c r="AE701" s="34" t="str">
        <f aca="false">IF(G701&lt;&gt;"",HYPERLINK("https://www.tradingview.com/chart/?symbol="&amp;G701&amp;"&amp;interval=60&amp;from="&amp;(AG701-10*3600)&amp;"&amp;to="&amp;(AG701+50*3600),"📈 1H"),"")</f>
        <v/>
      </c>
      <c r="AF701" s="35" t="str">
        <f aca="false">IF(G701&lt;&gt;"",HYPERLINK("https://www.tradingview.com/chart/?symbol="&amp;G701&amp;"&amp;interval=240&amp;from="&amp;(AG701-10*14400)&amp;"&amp;to="&amp;(AG701+50*14400),"📈 4H"),"")</f>
        <v/>
      </c>
      <c r="AG701" s="36" t="str">
        <f aca="false">IF(C701&lt;&gt;"",INT((C701+IF(D701&lt;&gt;"",D701,0)-DATE(1970,1,1))*86400),"")</f>
        <v/>
      </c>
    </row>
    <row r="702" customFormat="false" ht="19.5" hidden="false" customHeight="true" outlineLevel="0" collapsed="false">
      <c r="A702" s="37" t="n">
        <f aca="false">ROW()-4</f>
        <v>698</v>
      </c>
      <c r="B702" s="38"/>
      <c r="C702" s="39"/>
      <c r="D702" s="40"/>
      <c r="E702" s="39"/>
      <c r="F702" s="40"/>
      <c r="G702" s="41"/>
      <c r="H702" s="42"/>
      <c r="I702" s="43"/>
      <c r="J702" s="44"/>
      <c r="K702" s="39"/>
      <c r="L702" s="42"/>
      <c r="M702" s="44"/>
      <c r="N702" s="45"/>
      <c r="O702" s="44"/>
      <c r="P702" s="46"/>
      <c r="Q702" s="47" t="str">
        <f aca="false">IF(L702="","",IF(M702&lt;&gt;"",M702*L702*100,IF(AND(O702&lt;&gt;"",B702&lt;&gt;""),IFERROR(AVERAGEIF($B$5:$B$1004,B702,$M$5:$M$1004)*L702*100,""),"")))</f>
        <v/>
      </c>
      <c r="R702" s="47" t="str">
        <f aca="false">IF(AND(O702&lt;&gt;"",L702&lt;&gt;""),O702*L702*100,"")</f>
        <v/>
      </c>
      <c r="S702" s="48" t="str">
        <f aca="false">IF(AND(P702&lt;&gt;"",L702&lt;&gt;""),P702*L702*100,"")</f>
        <v/>
      </c>
      <c r="T702" s="49" t="str">
        <f aca="false">IF(AND(Q702&lt;&gt;"",R702&lt;&gt;""),R702-Q702,"")</f>
        <v/>
      </c>
      <c r="U702" s="50" t="str">
        <f aca="false">IF(AND(Q702&lt;&gt;"",Q702&lt;&gt;0,T702&lt;&gt;""),T702/Q702,"")</f>
        <v/>
      </c>
      <c r="V702" s="51" t="str">
        <f aca="false">IF(AND(S702&lt;&gt;"",Q702&lt;&gt;""),S702-Q702,"")</f>
        <v/>
      </c>
      <c r="W702" s="52" t="str">
        <f aca="false">IF(AND(Q702&lt;&gt;"",Q702&lt;&gt;0,V702&lt;&gt;""),V702/Q702,"")</f>
        <v/>
      </c>
      <c r="X702" s="53" t="s">
        <v>37</v>
      </c>
      <c r="Y702" s="54" t="str">
        <f aca="false">IF(AND(O702&lt;&gt;"",M702&lt;&gt;"",O702&gt;M702),CONCATENATE("1 : ",TEXT((O702-M702)/M702,"0.00")),IF(AND(O702&lt;&gt;"",M702&lt;&gt;"",O702&lt;M702),CONCATENATE("-1 : ",TEXT((M702-O702)/M702,"0.00")),"—"))</f>
        <v>—</v>
      </c>
      <c r="Z702" s="55" t="str">
        <f aca="false">IF(AND(P702&lt;&gt;"",M702&lt;&gt;"",P702&gt;M702),CONCATENATE("1 : ",TEXT((P702-M702)/M702,"0.00")),"—")</f>
        <v>—</v>
      </c>
      <c r="AA702" s="56" t="str">
        <f aca="false">IF(AND(C702&lt;&gt;"",E702&lt;&gt;""),E702-C702,"")</f>
        <v/>
      </c>
      <c r="AB702" s="42"/>
      <c r="AC702" s="57"/>
      <c r="AD702" s="58"/>
      <c r="AE702" s="59" t="str">
        <f aca="false">IF(G702&lt;&gt;"",HYPERLINK("https://www.tradingview.com/chart/?symbol="&amp;G702&amp;"&amp;interval=60&amp;from="&amp;(AG702-10*3600)&amp;"&amp;to="&amp;(AG702+50*3600),"📈 1H"),"")</f>
        <v/>
      </c>
      <c r="AF702" s="60" t="str">
        <f aca="false">IF(G702&lt;&gt;"",HYPERLINK("https://www.tradingview.com/chart/?symbol="&amp;G702&amp;"&amp;interval=240&amp;from="&amp;(AG702-10*14400)&amp;"&amp;to="&amp;(AG702+50*14400),"📈 4H"),"")</f>
        <v/>
      </c>
      <c r="AG702" s="36" t="str">
        <f aca="false">IF(C702&lt;&gt;"",INT((C702+IF(D702&lt;&gt;"",D702,0)-DATE(1970,1,1))*86400),"")</f>
        <v/>
      </c>
    </row>
    <row r="703" customFormat="false" ht="19.5" hidden="false" customHeight="true" outlineLevel="0" collapsed="false">
      <c r="A703" s="12" t="n">
        <f aca="false">ROW()-4</f>
        <v>699</v>
      </c>
      <c r="B703" s="13"/>
      <c r="C703" s="14"/>
      <c r="D703" s="15"/>
      <c r="E703" s="14"/>
      <c r="F703" s="15"/>
      <c r="G703" s="16"/>
      <c r="H703" s="17"/>
      <c r="I703" s="18"/>
      <c r="J703" s="19"/>
      <c r="K703" s="14"/>
      <c r="L703" s="17"/>
      <c r="M703" s="19"/>
      <c r="N703" s="20"/>
      <c r="O703" s="19"/>
      <c r="P703" s="21"/>
      <c r="Q703" s="22" t="str">
        <f aca="false">IF(L703="","",IF(M703&lt;&gt;"",M703*L703*100,IF(AND(O703&lt;&gt;"",B703&lt;&gt;""),IFERROR(AVERAGEIF($B$5:$B$1004,B703,$M$5:$M$1004)*L703*100,""),"")))</f>
        <v/>
      </c>
      <c r="R703" s="22" t="str">
        <f aca="false">IF(AND(O703&lt;&gt;"",L703&lt;&gt;""),O703*L703*100,"")</f>
        <v/>
      </c>
      <c r="S703" s="23" t="str">
        <f aca="false">IF(AND(P703&lt;&gt;"",L703&lt;&gt;""),P703*L703*100,"")</f>
        <v/>
      </c>
      <c r="T703" s="24" t="str">
        <f aca="false">IF(AND(Q703&lt;&gt;"",R703&lt;&gt;""),R703-Q703,"")</f>
        <v/>
      </c>
      <c r="U703" s="25" t="str">
        <f aca="false">IF(AND(Q703&lt;&gt;"",Q703&lt;&gt;0,T703&lt;&gt;""),T703/Q703,"")</f>
        <v/>
      </c>
      <c r="V703" s="26" t="str">
        <f aca="false">IF(AND(S703&lt;&gt;"",Q703&lt;&gt;""),S703-Q703,"")</f>
        <v/>
      </c>
      <c r="W703" s="27" t="str">
        <f aca="false">IF(AND(Q703&lt;&gt;"",Q703&lt;&gt;0,V703&lt;&gt;""),V703/Q703,"")</f>
        <v/>
      </c>
      <c r="X703" s="28" t="s">
        <v>37</v>
      </c>
      <c r="Y703" s="29" t="str">
        <f aca="false">IF(AND(O703&lt;&gt;"",M703&lt;&gt;"",O703&gt;M703),CONCATENATE("1 : ",TEXT((O703-M703)/M703,"0.00")),IF(AND(O703&lt;&gt;"",M703&lt;&gt;"",O703&lt;M703),CONCATENATE("-1 : ",TEXT((M703-O703)/M703,"0.00")),"—"))</f>
        <v>—</v>
      </c>
      <c r="Z703" s="30" t="str">
        <f aca="false">IF(AND(P703&lt;&gt;"",M703&lt;&gt;"",P703&gt;M703),CONCATENATE("1 : ",TEXT((P703-M703)/M703,"0.00")),"—")</f>
        <v>—</v>
      </c>
      <c r="AA703" s="31" t="str">
        <f aca="false">IF(AND(C703&lt;&gt;"",E703&lt;&gt;""),E703-C703,"")</f>
        <v/>
      </c>
      <c r="AB703" s="17"/>
      <c r="AC703" s="32"/>
      <c r="AD703" s="33"/>
      <c r="AE703" s="34" t="str">
        <f aca="false">IF(G703&lt;&gt;"",HYPERLINK("https://www.tradingview.com/chart/?symbol="&amp;G703&amp;"&amp;interval=60&amp;from="&amp;(AG703-10*3600)&amp;"&amp;to="&amp;(AG703+50*3600),"📈 1H"),"")</f>
        <v/>
      </c>
      <c r="AF703" s="35" t="str">
        <f aca="false">IF(G703&lt;&gt;"",HYPERLINK("https://www.tradingview.com/chart/?symbol="&amp;G703&amp;"&amp;interval=240&amp;from="&amp;(AG703-10*14400)&amp;"&amp;to="&amp;(AG703+50*14400),"📈 4H"),"")</f>
        <v/>
      </c>
      <c r="AG703" s="36" t="str">
        <f aca="false">IF(C703&lt;&gt;"",INT((C703+IF(D703&lt;&gt;"",D703,0)-DATE(1970,1,1))*86400),"")</f>
        <v/>
      </c>
    </row>
    <row r="704" customFormat="false" ht="19.5" hidden="false" customHeight="true" outlineLevel="0" collapsed="false">
      <c r="A704" s="37" t="n">
        <f aca="false">ROW()-4</f>
        <v>700</v>
      </c>
      <c r="B704" s="38"/>
      <c r="C704" s="39"/>
      <c r="D704" s="40"/>
      <c r="E704" s="39"/>
      <c r="F704" s="40"/>
      <c r="G704" s="41"/>
      <c r="H704" s="42"/>
      <c r="I704" s="43"/>
      <c r="J704" s="44"/>
      <c r="K704" s="39"/>
      <c r="L704" s="42"/>
      <c r="M704" s="44"/>
      <c r="N704" s="45"/>
      <c r="O704" s="44"/>
      <c r="P704" s="46"/>
      <c r="Q704" s="47" t="str">
        <f aca="false">IF(L704="","",IF(M704&lt;&gt;"",M704*L704*100,IF(AND(O704&lt;&gt;"",B704&lt;&gt;""),IFERROR(AVERAGEIF($B$5:$B$1004,B704,$M$5:$M$1004)*L704*100,""),"")))</f>
        <v/>
      </c>
      <c r="R704" s="47" t="str">
        <f aca="false">IF(AND(O704&lt;&gt;"",L704&lt;&gt;""),O704*L704*100,"")</f>
        <v/>
      </c>
      <c r="S704" s="48" t="str">
        <f aca="false">IF(AND(P704&lt;&gt;"",L704&lt;&gt;""),P704*L704*100,"")</f>
        <v/>
      </c>
      <c r="T704" s="49" t="str">
        <f aca="false">IF(AND(Q704&lt;&gt;"",R704&lt;&gt;""),R704-Q704,"")</f>
        <v/>
      </c>
      <c r="U704" s="50" t="str">
        <f aca="false">IF(AND(Q704&lt;&gt;"",Q704&lt;&gt;0,T704&lt;&gt;""),T704/Q704,"")</f>
        <v/>
      </c>
      <c r="V704" s="51" t="str">
        <f aca="false">IF(AND(S704&lt;&gt;"",Q704&lt;&gt;""),S704-Q704,"")</f>
        <v/>
      </c>
      <c r="W704" s="52" t="str">
        <f aca="false">IF(AND(Q704&lt;&gt;"",Q704&lt;&gt;0,V704&lt;&gt;""),V704/Q704,"")</f>
        <v/>
      </c>
      <c r="X704" s="53" t="s">
        <v>37</v>
      </c>
      <c r="Y704" s="54" t="str">
        <f aca="false">IF(AND(O704&lt;&gt;"",M704&lt;&gt;"",O704&gt;M704),CONCATENATE("1 : ",TEXT((O704-M704)/M704,"0.00")),IF(AND(O704&lt;&gt;"",M704&lt;&gt;"",O704&lt;M704),CONCATENATE("-1 : ",TEXT((M704-O704)/M704,"0.00")),"—"))</f>
        <v>—</v>
      </c>
      <c r="Z704" s="55" t="str">
        <f aca="false">IF(AND(P704&lt;&gt;"",M704&lt;&gt;"",P704&gt;M704),CONCATENATE("1 : ",TEXT((P704-M704)/M704,"0.00")),"—")</f>
        <v>—</v>
      </c>
      <c r="AA704" s="56" t="str">
        <f aca="false">IF(AND(C704&lt;&gt;"",E704&lt;&gt;""),E704-C704,"")</f>
        <v/>
      </c>
      <c r="AB704" s="42"/>
      <c r="AC704" s="57"/>
      <c r="AD704" s="58"/>
      <c r="AE704" s="59" t="str">
        <f aca="false">IF(G704&lt;&gt;"",HYPERLINK("https://www.tradingview.com/chart/?symbol="&amp;G704&amp;"&amp;interval=60&amp;from="&amp;(AG704-10*3600)&amp;"&amp;to="&amp;(AG704+50*3600),"📈 1H"),"")</f>
        <v/>
      </c>
      <c r="AF704" s="60" t="str">
        <f aca="false">IF(G704&lt;&gt;"",HYPERLINK("https://www.tradingview.com/chart/?symbol="&amp;G704&amp;"&amp;interval=240&amp;from="&amp;(AG704-10*14400)&amp;"&amp;to="&amp;(AG704+50*14400),"📈 4H"),"")</f>
        <v/>
      </c>
      <c r="AG704" s="36" t="str">
        <f aca="false">IF(C704&lt;&gt;"",INT((C704+IF(D704&lt;&gt;"",D704,0)-DATE(1970,1,1))*86400),"")</f>
        <v/>
      </c>
    </row>
    <row r="705" customFormat="false" ht="19.5" hidden="false" customHeight="true" outlineLevel="0" collapsed="false">
      <c r="A705" s="12" t="n">
        <f aca="false">ROW()-4</f>
        <v>701</v>
      </c>
      <c r="B705" s="13"/>
      <c r="C705" s="14"/>
      <c r="D705" s="15"/>
      <c r="E705" s="14"/>
      <c r="F705" s="15"/>
      <c r="G705" s="16"/>
      <c r="H705" s="17"/>
      <c r="I705" s="18"/>
      <c r="J705" s="19"/>
      <c r="K705" s="14"/>
      <c r="L705" s="17"/>
      <c r="M705" s="19"/>
      <c r="N705" s="20"/>
      <c r="O705" s="19"/>
      <c r="P705" s="21"/>
      <c r="Q705" s="22" t="str">
        <f aca="false">IF(L705="","",IF(M705&lt;&gt;"",M705*L705*100,IF(AND(O705&lt;&gt;"",B705&lt;&gt;""),IFERROR(AVERAGEIF($B$5:$B$1004,B705,$M$5:$M$1004)*L705*100,""),"")))</f>
        <v/>
      </c>
      <c r="R705" s="22" t="str">
        <f aca="false">IF(AND(O705&lt;&gt;"",L705&lt;&gt;""),O705*L705*100,"")</f>
        <v/>
      </c>
      <c r="S705" s="23" t="str">
        <f aca="false">IF(AND(P705&lt;&gt;"",L705&lt;&gt;""),P705*L705*100,"")</f>
        <v/>
      </c>
      <c r="T705" s="24" t="str">
        <f aca="false">IF(AND(Q705&lt;&gt;"",R705&lt;&gt;""),R705-Q705,"")</f>
        <v/>
      </c>
      <c r="U705" s="25" t="str">
        <f aca="false">IF(AND(Q705&lt;&gt;"",Q705&lt;&gt;0,T705&lt;&gt;""),T705/Q705,"")</f>
        <v/>
      </c>
      <c r="V705" s="26" t="str">
        <f aca="false">IF(AND(S705&lt;&gt;"",Q705&lt;&gt;""),S705-Q705,"")</f>
        <v/>
      </c>
      <c r="W705" s="27" t="str">
        <f aca="false">IF(AND(Q705&lt;&gt;"",Q705&lt;&gt;0,V705&lt;&gt;""),V705/Q705,"")</f>
        <v/>
      </c>
      <c r="X705" s="28" t="s">
        <v>37</v>
      </c>
      <c r="Y705" s="29" t="str">
        <f aca="false">IF(AND(O705&lt;&gt;"",M705&lt;&gt;"",O705&gt;M705),CONCATENATE("1 : ",TEXT((O705-M705)/M705,"0.00")),IF(AND(O705&lt;&gt;"",M705&lt;&gt;"",O705&lt;M705),CONCATENATE("-1 : ",TEXT((M705-O705)/M705,"0.00")),"—"))</f>
        <v>—</v>
      </c>
      <c r="Z705" s="30" t="str">
        <f aca="false">IF(AND(P705&lt;&gt;"",M705&lt;&gt;"",P705&gt;M705),CONCATENATE("1 : ",TEXT((P705-M705)/M705,"0.00")),"—")</f>
        <v>—</v>
      </c>
      <c r="AA705" s="31" t="str">
        <f aca="false">IF(AND(C705&lt;&gt;"",E705&lt;&gt;""),E705-C705,"")</f>
        <v/>
      </c>
      <c r="AB705" s="17"/>
      <c r="AC705" s="32"/>
      <c r="AD705" s="33"/>
      <c r="AE705" s="34" t="str">
        <f aca="false">IF(G705&lt;&gt;"",HYPERLINK("https://www.tradingview.com/chart/?symbol="&amp;G705&amp;"&amp;interval=60&amp;from="&amp;(AG705-10*3600)&amp;"&amp;to="&amp;(AG705+50*3600),"📈 1H"),"")</f>
        <v/>
      </c>
      <c r="AF705" s="35" t="str">
        <f aca="false">IF(G705&lt;&gt;"",HYPERLINK("https://www.tradingview.com/chart/?symbol="&amp;G705&amp;"&amp;interval=240&amp;from="&amp;(AG705-10*14400)&amp;"&amp;to="&amp;(AG705+50*14400),"📈 4H"),"")</f>
        <v/>
      </c>
      <c r="AG705" s="36" t="str">
        <f aca="false">IF(C705&lt;&gt;"",INT((C705+IF(D705&lt;&gt;"",D705,0)-DATE(1970,1,1))*86400),"")</f>
        <v/>
      </c>
    </row>
    <row r="706" customFormat="false" ht="19.5" hidden="false" customHeight="true" outlineLevel="0" collapsed="false">
      <c r="A706" s="37" t="n">
        <f aca="false">ROW()-4</f>
        <v>702</v>
      </c>
      <c r="B706" s="38"/>
      <c r="C706" s="39"/>
      <c r="D706" s="40"/>
      <c r="E706" s="39"/>
      <c r="F706" s="40"/>
      <c r="G706" s="41"/>
      <c r="H706" s="42"/>
      <c r="I706" s="43"/>
      <c r="J706" s="44"/>
      <c r="K706" s="39"/>
      <c r="L706" s="42"/>
      <c r="M706" s="44"/>
      <c r="N706" s="45"/>
      <c r="O706" s="44"/>
      <c r="P706" s="46"/>
      <c r="Q706" s="47" t="str">
        <f aca="false">IF(L706="","",IF(M706&lt;&gt;"",M706*L706*100,IF(AND(O706&lt;&gt;"",B706&lt;&gt;""),IFERROR(AVERAGEIF($B$5:$B$1004,B706,$M$5:$M$1004)*L706*100,""),"")))</f>
        <v/>
      </c>
      <c r="R706" s="47" t="str">
        <f aca="false">IF(AND(O706&lt;&gt;"",L706&lt;&gt;""),O706*L706*100,"")</f>
        <v/>
      </c>
      <c r="S706" s="48" t="str">
        <f aca="false">IF(AND(P706&lt;&gt;"",L706&lt;&gt;""),P706*L706*100,"")</f>
        <v/>
      </c>
      <c r="T706" s="49" t="str">
        <f aca="false">IF(AND(Q706&lt;&gt;"",R706&lt;&gt;""),R706-Q706,"")</f>
        <v/>
      </c>
      <c r="U706" s="50" t="str">
        <f aca="false">IF(AND(Q706&lt;&gt;"",Q706&lt;&gt;0,T706&lt;&gt;""),T706/Q706,"")</f>
        <v/>
      </c>
      <c r="V706" s="51" t="str">
        <f aca="false">IF(AND(S706&lt;&gt;"",Q706&lt;&gt;""),S706-Q706,"")</f>
        <v/>
      </c>
      <c r="W706" s="52" t="str">
        <f aca="false">IF(AND(Q706&lt;&gt;"",Q706&lt;&gt;0,V706&lt;&gt;""),V706/Q706,"")</f>
        <v/>
      </c>
      <c r="X706" s="53" t="s">
        <v>37</v>
      </c>
      <c r="Y706" s="54" t="str">
        <f aca="false">IF(AND(O706&lt;&gt;"",M706&lt;&gt;"",O706&gt;M706),CONCATENATE("1 : ",TEXT((O706-M706)/M706,"0.00")),IF(AND(O706&lt;&gt;"",M706&lt;&gt;"",O706&lt;M706),CONCATENATE("-1 : ",TEXT((M706-O706)/M706,"0.00")),"—"))</f>
        <v>—</v>
      </c>
      <c r="Z706" s="55" t="str">
        <f aca="false">IF(AND(P706&lt;&gt;"",M706&lt;&gt;"",P706&gt;M706),CONCATENATE("1 : ",TEXT((P706-M706)/M706,"0.00")),"—")</f>
        <v>—</v>
      </c>
      <c r="AA706" s="56" t="str">
        <f aca="false">IF(AND(C706&lt;&gt;"",E706&lt;&gt;""),E706-C706,"")</f>
        <v/>
      </c>
      <c r="AB706" s="42"/>
      <c r="AC706" s="57"/>
      <c r="AD706" s="58"/>
      <c r="AE706" s="59" t="str">
        <f aca="false">IF(G706&lt;&gt;"",HYPERLINK("https://www.tradingview.com/chart/?symbol="&amp;G706&amp;"&amp;interval=60&amp;from="&amp;(AG706-10*3600)&amp;"&amp;to="&amp;(AG706+50*3600),"📈 1H"),"")</f>
        <v/>
      </c>
      <c r="AF706" s="60" t="str">
        <f aca="false">IF(G706&lt;&gt;"",HYPERLINK("https://www.tradingview.com/chart/?symbol="&amp;G706&amp;"&amp;interval=240&amp;from="&amp;(AG706-10*14400)&amp;"&amp;to="&amp;(AG706+50*14400),"📈 4H"),"")</f>
        <v/>
      </c>
      <c r="AG706" s="36" t="str">
        <f aca="false">IF(C706&lt;&gt;"",INT((C706+IF(D706&lt;&gt;"",D706,0)-DATE(1970,1,1))*86400),"")</f>
        <v/>
      </c>
    </row>
    <row r="707" customFormat="false" ht="19.5" hidden="false" customHeight="true" outlineLevel="0" collapsed="false">
      <c r="A707" s="12" t="n">
        <f aca="false">ROW()-4</f>
        <v>703</v>
      </c>
      <c r="B707" s="13"/>
      <c r="C707" s="14"/>
      <c r="D707" s="15"/>
      <c r="E707" s="14"/>
      <c r="F707" s="15"/>
      <c r="G707" s="16"/>
      <c r="H707" s="17"/>
      <c r="I707" s="18"/>
      <c r="J707" s="19"/>
      <c r="K707" s="14"/>
      <c r="L707" s="17"/>
      <c r="M707" s="19"/>
      <c r="N707" s="20"/>
      <c r="O707" s="19"/>
      <c r="P707" s="21"/>
      <c r="Q707" s="22" t="str">
        <f aca="false">IF(L707="","",IF(M707&lt;&gt;"",M707*L707*100,IF(AND(O707&lt;&gt;"",B707&lt;&gt;""),IFERROR(AVERAGEIF($B$5:$B$1004,B707,$M$5:$M$1004)*L707*100,""),"")))</f>
        <v/>
      </c>
      <c r="R707" s="22" t="str">
        <f aca="false">IF(AND(O707&lt;&gt;"",L707&lt;&gt;""),O707*L707*100,"")</f>
        <v/>
      </c>
      <c r="S707" s="23" t="str">
        <f aca="false">IF(AND(P707&lt;&gt;"",L707&lt;&gt;""),P707*L707*100,"")</f>
        <v/>
      </c>
      <c r="T707" s="24" t="str">
        <f aca="false">IF(AND(Q707&lt;&gt;"",R707&lt;&gt;""),R707-Q707,"")</f>
        <v/>
      </c>
      <c r="U707" s="25" t="str">
        <f aca="false">IF(AND(Q707&lt;&gt;"",Q707&lt;&gt;0,T707&lt;&gt;""),T707/Q707,"")</f>
        <v/>
      </c>
      <c r="V707" s="26" t="str">
        <f aca="false">IF(AND(S707&lt;&gt;"",Q707&lt;&gt;""),S707-Q707,"")</f>
        <v/>
      </c>
      <c r="W707" s="27" t="str">
        <f aca="false">IF(AND(Q707&lt;&gt;"",Q707&lt;&gt;0,V707&lt;&gt;""),V707/Q707,"")</f>
        <v/>
      </c>
      <c r="X707" s="28" t="s">
        <v>37</v>
      </c>
      <c r="Y707" s="29" t="str">
        <f aca="false">IF(AND(O707&lt;&gt;"",M707&lt;&gt;"",O707&gt;M707),CONCATENATE("1 : ",TEXT((O707-M707)/M707,"0.00")),IF(AND(O707&lt;&gt;"",M707&lt;&gt;"",O707&lt;M707),CONCATENATE("-1 : ",TEXT((M707-O707)/M707,"0.00")),"—"))</f>
        <v>—</v>
      </c>
      <c r="Z707" s="30" t="str">
        <f aca="false">IF(AND(P707&lt;&gt;"",M707&lt;&gt;"",P707&gt;M707),CONCATENATE("1 : ",TEXT((P707-M707)/M707,"0.00")),"—")</f>
        <v>—</v>
      </c>
      <c r="AA707" s="31" t="str">
        <f aca="false">IF(AND(C707&lt;&gt;"",E707&lt;&gt;""),E707-C707,"")</f>
        <v/>
      </c>
      <c r="AB707" s="17"/>
      <c r="AC707" s="32"/>
      <c r="AD707" s="33"/>
      <c r="AE707" s="34" t="str">
        <f aca="false">IF(G707&lt;&gt;"",HYPERLINK("https://www.tradingview.com/chart/?symbol="&amp;G707&amp;"&amp;interval=60&amp;from="&amp;(AG707-10*3600)&amp;"&amp;to="&amp;(AG707+50*3600),"📈 1H"),"")</f>
        <v/>
      </c>
      <c r="AF707" s="35" t="str">
        <f aca="false">IF(G707&lt;&gt;"",HYPERLINK("https://www.tradingview.com/chart/?symbol="&amp;G707&amp;"&amp;interval=240&amp;from="&amp;(AG707-10*14400)&amp;"&amp;to="&amp;(AG707+50*14400),"📈 4H"),"")</f>
        <v/>
      </c>
      <c r="AG707" s="36" t="str">
        <f aca="false">IF(C707&lt;&gt;"",INT((C707+IF(D707&lt;&gt;"",D707,0)-DATE(1970,1,1))*86400),"")</f>
        <v/>
      </c>
    </row>
    <row r="708" customFormat="false" ht="19.5" hidden="false" customHeight="true" outlineLevel="0" collapsed="false">
      <c r="A708" s="37" t="n">
        <f aca="false">ROW()-4</f>
        <v>704</v>
      </c>
      <c r="B708" s="38"/>
      <c r="C708" s="39"/>
      <c r="D708" s="40"/>
      <c r="E708" s="39"/>
      <c r="F708" s="40"/>
      <c r="G708" s="41"/>
      <c r="H708" s="42"/>
      <c r="I708" s="43"/>
      <c r="J708" s="44"/>
      <c r="K708" s="39"/>
      <c r="L708" s="42"/>
      <c r="M708" s="44"/>
      <c r="N708" s="45"/>
      <c r="O708" s="44"/>
      <c r="P708" s="46"/>
      <c r="Q708" s="47" t="str">
        <f aca="false">IF(L708="","",IF(M708&lt;&gt;"",M708*L708*100,IF(AND(O708&lt;&gt;"",B708&lt;&gt;""),IFERROR(AVERAGEIF($B$5:$B$1004,B708,$M$5:$M$1004)*L708*100,""),"")))</f>
        <v/>
      </c>
      <c r="R708" s="47" t="str">
        <f aca="false">IF(AND(O708&lt;&gt;"",L708&lt;&gt;""),O708*L708*100,"")</f>
        <v/>
      </c>
      <c r="S708" s="48" t="str">
        <f aca="false">IF(AND(P708&lt;&gt;"",L708&lt;&gt;""),P708*L708*100,"")</f>
        <v/>
      </c>
      <c r="T708" s="49" t="str">
        <f aca="false">IF(AND(Q708&lt;&gt;"",R708&lt;&gt;""),R708-Q708,"")</f>
        <v/>
      </c>
      <c r="U708" s="50" t="str">
        <f aca="false">IF(AND(Q708&lt;&gt;"",Q708&lt;&gt;0,T708&lt;&gt;""),T708/Q708,"")</f>
        <v/>
      </c>
      <c r="V708" s="51" t="str">
        <f aca="false">IF(AND(S708&lt;&gt;"",Q708&lt;&gt;""),S708-Q708,"")</f>
        <v/>
      </c>
      <c r="W708" s="52" t="str">
        <f aca="false">IF(AND(Q708&lt;&gt;"",Q708&lt;&gt;0,V708&lt;&gt;""),V708/Q708,"")</f>
        <v/>
      </c>
      <c r="X708" s="53" t="s">
        <v>37</v>
      </c>
      <c r="Y708" s="54" t="str">
        <f aca="false">IF(AND(O708&lt;&gt;"",M708&lt;&gt;"",O708&gt;M708),CONCATENATE("1 : ",TEXT((O708-M708)/M708,"0.00")),IF(AND(O708&lt;&gt;"",M708&lt;&gt;"",O708&lt;M708),CONCATENATE("-1 : ",TEXT((M708-O708)/M708,"0.00")),"—"))</f>
        <v>—</v>
      </c>
      <c r="Z708" s="55" t="str">
        <f aca="false">IF(AND(P708&lt;&gt;"",M708&lt;&gt;"",P708&gt;M708),CONCATENATE("1 : ",TEXT((P708-M708)/M708,"0.00")),"—")</f>
        <v>—</v>
      </c>
      <c r="AA708" s="56" t="str">
        <f aca="false">IF(AND(C708&lt;&gt;"",E708&lt;&gt;""),E708-C708,"")</f>
        <v/>
      </c>
      <c r="AB708" s="42"/>
      <c r="AC708" s="57"/>
      <c r="AD708" s="58"/>
      <c r="AE708" s="59" t="str">
        <f aca="false">IF(G708&lt;&gt;"",HYPERLINK("https://www.tradingview.com/chart/?symbol="&amp;G708&amp;"&amp;interval=60&amp;from="&amp;(AG708-10*3600)&amp;"&amp;to="&amp;(AG708+50*3600),"📈 1H"),"")</f>
        <v/>
      </c>
      <c r="AF708" s="60" t="str">
        <f aca="false">IF(G708&lt;&gt;"",HYPERLINK("https://www.tradingview.com/chart/?symbol="&amp;G708&amp;"&amp;interval=240&amp;from="&amp;(AG708-10*14400)&amp;"&amp;to="&amp;(AG708+50*14400),"📈 4H"),"")</f>
        <v/>
      </c>
      <c r="AG708" s="36" t="str">
        <f aca="false">IF(C708&lt;&gt;"",INT((C708+IF(D708&lt;&gt;"",D708,0)-DATE(1970,1,1))*86400),"")</f>
        <v/>
      </c>
    </row>
    <row r="709" customFormat="false" ht="19.5" hidden="false" customHeight="true" outlineLevel="0" collapsed="false">
      <c r="A709" s="12" t="n">
        <f aca="false">ROW()-4</f>
        <v>705</v>
      </c>
      <c r="B709" s="13"/>
      <c r="C709" s="14"/>
      <c r="D709" s="15"/>
      <c r="E709" s="14"/>
      <c r="F709" s="15"/>
      <c r="G709" s="16"/>
      <c r="H709" s="17"/>
      <c r="I709" s="18"/>
      <c r="J709" s="19"/>
      <c r="K709" s="14"/>
      <c r="L709" s="17"/>
      <c r="M709" s="19"/>
      <c r="N709" s="20"/>
      <c r="O709" s="19"/>
      <c r="P709" s="21"/>
      <c r="Q709" s="22" t="str">
        <f aca="false">IF(L709="","",IF(M709&lt;&gt;"",M709*L709*100,IF(AND(O709&lt;&gt;"",B709&lt;&gt;""),IFERROR(AVERAGEIF($B$5:$B$1004,B709,$M$5:$M$1004)*L709*100,""),"")))</f>
        <v/>
      </c>
      <c r="R709" s="22" t="str">
        <f aca="false">IF(AND(O709&lt;&gt;"",L709&lt;&gt;""),O709*L709*100,"")</f>
        <v/>
      </c>
      <c r="S709" s="23" t="str">
        <f aca="false">IF(AND(P709&lt;&gt;"",L709&lt;&gt;""),P709*L709*100,"")</f>
        <v/>
      </c>
      <c r="T709" s="24" t="str">
        <f aca="false">IF(AND(Q709&lt;&gt;"",R709&lt;&gt;""),R709-Q709,"")</f>
        <v/>
      </c>
      <c r="U709" s="25" t="str">
        <f aca="false">IF(AND(Q709&lt;&gt;"",Q709&lt;&gt;0,T709&lt;&gt;""),T709/Q709,"")</f>
        <v/>
      </c>
      <c r="V709" s="26" t="str">
        <f aca="false">IF(AND(S709&lt;&gt;"",Q709&lt;&gt;""),S709-Q709,"")</f>
        <v/>
      </c>
      <c r="W709" s="27" t="str">
        <f aca="false">IF(AND(Q709&lt;&gt;"",Q709&lt;&gt;0,V709&lt;&gt;""),V709/Q709,"")</f>
        <v/>
      </c>
      <c r="X709" s="28" t="s">
        <v>37</v>
      </c>
      <c r="Y709" s="29" t="str">
        <f aca="false">IF(AND(O709&lt;&gt;"",M709&lt;&gt;"",O709&gt;M709),CONCATENATE("1 : ",TEXT((O709-M709)/M709,"0.00")),IF(AND(O709&lt;&gt;"",M709&lt;&gt;"",O709&lt;M709),CONCATENATE("-1 : ",TEXT((M709-O709)/M709,"0.00")),"—"))</f>
        <v>—</v>
      </c>
      <c r="Z709" s="30" t="str">
        <f aca="false">IF(AND(P709&lt;&gt;"",M709&lt;&gt;"",P709&gt;M709),CONCATENATE("1 : ",TEXT((P709-M709)/M709,"0.00")),"—")</f>
        <v>—</v>
      </c>
      <c r="AA709" s="31" t="str">
        <f aca="false">IF(AND(C709&lt;&gt;"",E709&lt;&gt;""),E709-C709,"")</f>
        <v/>
      </c>
      <c r="AB709" s="17"/>
      <c r="AC709" s="32"/>
      <c r="AD709" s="33"/>
      <c r="AE709" s="34" t="str">
        <f aca="false">IF(G709&lt;&gt;"",HYPERLINK("https://www.tradingview.com/chart/?symbol="&amp;G709&amp;"&amp;interval=60&amp;from="&amp;(AG709-10*3600)&amp;"&amp;to="&amp;(AG709+50*3600),"📈 1H"),"")</f>
        <v/>
      </c>
      <c r="AF709" s="35" t="str">
        <f aca="false">IF(G709&lt;&gt;"",HYPERLINK("https://www.tradingview.com/chart/?symbol="&amp;G709&amp;"&amp;interval=240&amp;from="&amp;(AG709-10*14400)&amp;"&amp;to="&amp;(AG709+50*14400),"📈 4H"),"")</f>
        <v/>
      </c>
      <c r="AG709" s="36" t="str">
        <f aca="false">IF(C709&lt;&gt;"",INT((C709+IF(D709&lt;&gt;"",D709,0)-DATE(1970,1,1))*86400),"")</f>
        <v/>
      </c>
    </row>
    <row r="710" customFormat="false" ht="19.5" hidden="false" customHeight="true" outlineLevel="0" collapsed="false">
      <c r="A710" s="37" t="n">
        <f aca="false">ROW()-4</f>
        <v>706</v>
      </c>
      <c r="B710" s="38"/>
      <c r="C710" s="39"/>
      <c r="D710" s="40"/>
      <c r="E710" s="39"/>
      <c r="F710" s="40"/>
      <c r="G710" s="41"/>
      <c r="H710" s="42"/>
      <c r="I710" s="43"/>
      <c r="J710" s="44"/>
      <c r="K710" s="39"/>
      <c r="L710" s="42"/>
      <c r="M710" s="44"/>
      <c r="N710" s="45"/>
      <c r="O710" s="44"/>
      <c r="P710" s="46"/>
      <c r="Q710" s="47" t="str">
        <f aca="false">IF(L710="","",IF(M710&lt;&gt;"",M710*L710*100,IF(AND(O710&lt;&gt;"",B710&lt;&gt;""),IFERROR(AVERAGEIF($B$5:$B$1004,B710,$M$5:$M$1004)*L710*100,""),"")))</f>
        <v/>
      </c>
      <c r="R710" s="47" t="str">
        <f aca="false">IF(AND(O710&lt;&gt;"",L710&lt;&gt;""),O710*L710*100,"")</f>
        <v/>
      </c>
      <c r="S710" s="48" t="str">
        <f aca="false">IF(AND(P710&lt;&gt;"",L710&lt;&gt;""),P710*L710*100,"")</f>
        <v/>
      </c>
      <c r="T710" s="49" t="str">
        <f aca="false">IF(AND(Q710&lt;&gt;"",R710&lt;&gt;""),R710-Q710,"")</f>
        <v/>
      </c>
      <c r="U710" s="50" t="str">
        <f aca="false">IF(AND(Q710&lt;&gt;"",Q710&lt;&gt;0,T710&lt;&gt;""),T710/Q710,"")</f>
        <v/>
      </c>
      <c r="V710" s="51" t="str">
        <f aca="false">IF(AND(S710&lt;&gt;"",Q710&lt;&gt;""),S710-Q710,"")</f>
        <v/>
      </c>
      <c r="W710" s="52" t="str">
        <f aca="false">IF(AND(Q710&lt;&gt;"",Q710&lt;&gt;0,V710&lt;&gt;""),V710/Q710,"")</f>
        <v/>
      </c>
      <c r="X710" s="53" t="s">
        <v>37</v>
      </c>
      <c r="Y710" s="54" t="str">
        <f aca="false">IF(AND(O710&lt;&gt;"",M710&lt;&gt;"",O710&gt;M710),CONCATENATE("1 : ",TEXT((O710-M710)/M710,"0.00")),IF(AND(O710&lt;&gt;"",M710&lt;&gt;"",O710&lt;M710),CONCATENATE("-1 : ",TEXT((M710-O710)/M710,"0.00")),"—"))</f>
        <v>—</v>
      </c>
      <c r="Z710" s="55" t="str">
        <f aca="false">IF(AND(P710&lt;&gt;"",M710&lt;&gt;"",P710&gt;M710),CONCATENATE("1 : ",TEXT((P710-M710)/M710,"0.00")),"—")</f>
        <v>—</v>
      </c>
      <c r="AA710" s="56" t="str">
        <f aca="false">IF(AND(C710&lt;&gt;"",E710&lt;&gt;""),E710-C710,"")</f>
        <v/>
      </c>
      <c r="AB710" s="42"/>
      <c r="AC710" s="57"/>
      <c r="AD710" s="58"/>
      <c r="AE710" s="59" t="str">
        <f aca="false">IF(G710&lt;&gt;"",HYPERLINK("https://www.tradingview.com/chart/?symbol="&amp;G710&amp;"&amp;interval=60&amp;from="&amp;(AG710-10*3600)&amp;"&amp;to="&amp;(AG710+50*3600),"📈 1H"),"")</f>
        <v/>
      </c>
      <c r="AF710" s="60" t="str">
        <f aca="false">IF(G710&lt;&gt;"",HYPERLINK("https://www.tradingview.com/chart/?symbol="&amp;G710&amp;"&amp;interval=240&amp;from="&amp;(AG710-10*14400)&amp;"&amp;to="&amp;(AG710+50*14400),"📈 4H"),"")</f>
        <v/>
      </c>
      <c r="AG710" s="36" t="str">
        <f aca="false">IF(C710&lt;&gt;"",INT((C710+IF(D710&lt;&gt;"",D710,0)-DATE(1970,1,1))*86400),"")</f>
        <v/>
      </c>
    </row>
    <row r="711" customFormat="false" ht="19.5" hidden="false" customHeight="true" outlineLevel="0" collapsed="false">
      <c r="A711" s="12" t="n">
        <f aca="false">ROW()-4</f>
        <v>707</v>
      </c>
      <c r="B711" s="13"/>
      <c r="C711" s="14"/>
      <c r="D711" s="15"/>
      <c r="E711" s="14"/>
      <c r="F711" s="15"/>
      <c r="G711" s="16"/>
      <c r="H711" s="17"/>
      <c r="I711" s="18"/>
      <c r="J711" s="19"/>
      <c r="K711" s="14"/>
      <c r="L711" s="17"/>
      <c r="M711" s="19"/>
      <c r="N711" s="20"/>
      <c r="O711" s="19"/>
      <c r="P711" s="21"/>
      <c r="Q711" s="22" t="str">
        <f aca="false">IF(L711="","",IF(M711&lt;&gt;"",M711*L711*100,IF(AND(O711&lt;&gt;"",B711&lt;&gt;""),IFERROR(AVERAGEIF($B$5:$B$1004,B711,$M$5:$M$1004)*L711*100,""),"")))</f>
        <v/>
      </c>
      <c r="R711" s="22" t="str">
        <f aca="false">IF(AND(O711&lt;&gt;"",L711&lt;&gt;""),O711*L711*100,"")</f>
        <v/>
      </c>
      <c r="S711" s="23" t="str">
        <f aca="false">IF(AND(P711&lt;&gt;"",L711&lt;&gt;""),P711*L711*100,"")</f>
        <v/>
      </c>
      <c r="T711" s="24" t="str">
        <f aca="false">IF(AND(Q711&lt;&gt;"",R711&lt;&gt;""),R711-Q711,"")</f>
        <v/>
      </c>
      <c r="U711" s="25" t="str">
        <f aca="false">IF(AND(Q711&lt;&gt;"",Q711&lt;&gt;0,T711&lt;&gt;""),T711/Q711,"")</f>
        <v/>
      </c>
      <c r="V711" s="26" t="str">
        <f aca="false">IF(AND(S711&lt;&gt;"",Q711&lt;&gt;""),S711-Q711,"")</f>
        <v/>
      </c>
      <c r="W711" s="27" t="str">
        <f aca="false">IF(AND(Q711&lt;&gt;"",Q711&lt;&gt;0,V711&lt;&gt;""),V711/Q711,"")</f>
        <v/>
      </c>
      <c r="X711" s="28" t="s">
        <v>37</v>
      </c>
      <c r="Y711" s="29" t="str">
        <f aca="false">IF(AND(O711&lt;&gt;"",M711&lt;&gt;"",O711&gt;M711),CONCATENATE("1 : ",TEXT((O711-M711)/M711,"0.00")),IF(AND(O711&lt;&gt;"",M711&lt;&gt;"",O711&lt;M711),CONCATENATE("-1 : ",TEXT((M711-O711)/M711,"0.00")),"—"))</f>
        <v>—</v>
      </c>
      <c r="Z711" s="30" t="str">
        <f aca="false">IF(AND(P711&lt;&gt;"",M711&lt;&gt;"",P711&gt;M711),CONCATENATE("1 : ",TEXT((P711-M711)/M711,"0.00")),"—")</f>
        <v>—</v>
      </c>
      <c r="AA711" s="31" t="str">
        <f aca="false">IF(AND(C711&lt;&gt;"",E711&lt;&gt;""),E711-C711,"")</f>
        <v/>
      </c>
      <c r="AB711" s="17"/>
      <c r="AC711" s="32"/>
      <c r="AD711" s="33"/>
      <c r="AE711" s="34" t="str">
        <f aca="false">IF(G711&lt;&gt;"",HYPERLINK("https://www.tradingview.com/chart/?symbol="&amp;G711&amp;"&amp;interval=60&amp;from="&amp;(AG711-10*3600)&amp;"&amp;to="&amp;(AG711+50*3600),"📈 1H"),"")</f>
        <v/>
      </c>
      <c r="AF711" s="35" t="str">
        <f aca="false">IF(G711&lt;&gt;"",HYPERLINK("https://www.tradingview.com/chart/?symbol="&amp;G711&amp;"&amp;interval=240&amp;from="&amp;(AG711-10*14400)&amp;"&amp;to="&amp;(AG711+50*14400),"📈 4H"),"")</f>
        <v/>
      </c>
      <c r="AG711" s="36" t="str">
        <f aca="false">IF(C711&lt;&gt;"",INT((C711+IF(D711&lt;&gt;"",D711,0)-DATE(1970,1,1))*86400),"")</f>
        <v/>
      </c>
    </row>
    <row r="712" customFormat="false" ht="19.5" hidden="false" customHeight="true" outlineLevel="0" collapsed="false">
      <c r="A712" s="37" t="n">
        <f aca="false">ROW()-4</f>
        <v>708</v>
      </c>
      <c r="B712" s="38"/>
      <c r="C712" s="39"/>
      <c r="D712" s="40"/>
      <c r="E712" s="39"/>
      <c r="F712" s="40"/>
      <c r="G712" s="41"/>
      <c r="H712" s="42"/>
      <c r="I712" s="43"/>
      <c r="J712" s="44"/>
      <c r="K712" s="39"/>
      <c r="L712" s="42"/>
      <c r="M712" s="44"/>
      <c r="N712" s="45"/>
      <c r="O712" s="44"/>
      <c r="P712" s="46"/>
      <c r="Q712" s="47" t="str">
        <f aca="false">IF(L712="","",IF(M712&lt;&gt;"",M712*L712*100,IF(AND(O712&lt;&gt;"",B712&lt;&gt;""),IFERROR(AVERAGEIF($B$5:$B$1004,B712,$M$5:$M$1004)*L712*100,""),"")))</f>
        <v/>
      </c>
      <c r="R712" s="47" t="str">
        <f aca="false">IF(AND(O712&lt;&gt;"",L712&lt;&gt;""),O712*L712*100,"")</f>
        <v/>
      </c>
      <c r="S712" s="48" t="str">
        <f aca="false">IF(AND(P712&lt;&gt;"",L712&lt;&gt;""),P712*L712*100,"")</f>
        <v/>
      </c>
      <c r="T712" s="49" t="str">
        <f aca="false">IF(AND(Q712&lt;&gt;"",R712&lt;&gt;""),R712-Q712,"")</f>
        <v/>
      </c>
      <c r="U712" s="50" t="str">
        <f aca="false">IF(AND(Q712&lt;&gt;"",Q712&lt;&gt;0,T712&lt;&gt;""),T712/Q712,"")</f>
        <v/>
      </c>
      <c r="V712" s="51" t="str">
        <f aca="false">IF(AND(S712&lt;&gt;"",Q712&lt;&gt;""),S712-Q712,"")</f>
        <v/>
      </c>
      <c r="W712" s="52" t="str">
        <f aca="false">IF(AND(Q712&lt;&gt;"",Q712&lt;&gt;0,V712&lt;&gt;""),V712/Q712,"")</f>
        <v/>
      </c>
      <c r="X712" s="53" t="s">
        <v>37</v>
      </c>
      <c r="Y712" s="54" t="str">
        <f aca="false">IF(AND(O712&lt;&gt;"",M712&lt;&gt;"",O712&gt;M712),CONCATENATE("1 : ",TEXT((O712-M712)/M712,"0.00")),IF(AND(O712&lt;&gt;"",M712&lt;&gt;"",O712&lt;M712),CONCATENATE("-1 : ",TEXT((M712-O712)/M712,"0.00")),"—"))</f>
        <v>—</v>
      </c>
      <c r="Z712" s="55" t="str">
        <f aca="false">IF(AND(P712&lt;&gt;"",M712&lt;&gt;"",P712&gt;M712),CONCATENATE("1 : ",TEXT((P712-M712)/M712,"0.00")),"—")</f>
        <v>—</v>
      </c>
      <c r="AA712" s="56" t="str">
        <f aca="false">IF(AND(C712&lt;&gt;"",E712&lt;&gt;""),E712-C712,"")</f>
        <v/>
      </c>
      <c r="AB712" s="42"/>
      <c r="AC712" s="57"/>
      <c r="AD712" s="58"/>
      <c r="AE712" s="59" t="str">
        <f aca="false">IF(G712&lt;&gt;"",HYPERLINK("https://www.tradingview.com/chart/?symbol="&amp;G712&amp;"&amp;interval=60&amp;from="&amp;(AG712-10*3600)&amp;"&amp;to="&amp;(AG712+50*3600),"📈 1H"),"")</f>
        <v/>
      </c>
      <c r="AF712" s="60" t="str">
        <f aca="false">IF(G712&lt;&gt;"",HYPERLINK("https://www.tradingview.com/chart/?symbol="&amp;G712&amp;"&amp;interval=240&amp;from="&amp;(AG712-10*14400)&amp;"&amp;to="&amp;(AG712+50*14400),"📈 4H"),"")</f>
        <v/>
      </c>
      <c r="AG712" s="36" t="str">
        <f aca="false">IF(C712&lt;&gt;"",INT((C712+IF(D712&lt;&gt;"",D712,0)-DATE(1970,1,1))*86400),"")</f>
        <v/>
      </c>
    </row>
    <row r="713" customFormat="false" ht="19.5" hidden="false" customHeight="true" outlineLevel="0" collapsed="false">
      <c r="A713" s="12" t="n">
        <f aca="false">ROW()-4</f>
        <v>709</v>
      </c>
      <c r="B713" s="13"/>
      <c r="C713" s="14"/>
      <c r="D713" s="15"/>
      <c r="E713" s="14"/>
      <c r="F713" s="15"/>
      <c r="G713" s="16"/>
      <c r="H713" s="17"/>
      <c r="I713" s="18"/>
      <c r="J713" s="19"/>
      <c r="K713" s="14"/>
      <c r="L713" s="17"/>
      <c r="M713" s="19"/>
      <c r="N713" s="20"/>
      <c r="O713" s="19"/>
      <c r="P713" s="21"/>
      <c r="Q713" s="22" t="str">
        <f aca="false">IF(L713="","",IF(M713&lt;&gt;"",M713*L713*100,IF(AND(O713&lt;&gt;"",B713&lt;&gt;""),IFERROR(AVERAGEIF($B$5:$B$1004,B713,$M$5:$M$1004)*L713*100,""),"")))</f>
        <v/>
      </c>
      <c r="R713" s="22" t="str">
        <f aca="false">IF(AND(O713&lt;&gt;"",L713&lt;&gt;""),O713*L713*100,"")</f>
        <v/>
      </c>
      <c r="S713" s="23" t="str">
        <f aca="false">IF(AND(P713&lt;&gt;"",L713&lt;&gt;""),P713*L713*100,"")</f>
        <v/>
      </c>
      <c r="T713" s="24" t="str">
        <f aca="false">IF(AND(Q713&lt;&gt;"",R713&lt;&gt;""),R713-Q713,"")</f>
        <v/>
      </c>
      <c r="U713" s="25" t="str">
        <f aca="false">IF(AND(Q713&lt;&gt;"",Q713&lt;&gt;0,T713&lt;&gt;""),T713/Q713,"")</f>
        <v/>
      </c>
      <c r="V713" s="26" t="str">
        <f aca="false">IF(AND(S713&lt;&gt;"",Q713&lt;&gt;""),S713-Q713,"")</f>
        <v/>
      </c>
      <c r="W713" s="27" t="str">
        <f aca="false">IF(AND(Q713&lt;&gt;"",Q713&lt;&gt;0,V713&lt;&gt;""),V713/Q713,"")</f>
        <v/>
      </c>
      <c r="X713" s="28" t="s">
        <v>37</v>
      </c>
      <c r="Y713" s="29" t="str">
        <f aca="false">IF(AND(O713&lt;&gt;"",M713&lt;&gt;"",O713&gt;M713),CONCATENATE("1 : ",TEXT((O713-M713)/M713,"0.00")),IF(AND(O713&lt;&gt;"",M713&lt;&gt;"",O713&lt;M713),CONCATENATE("-1 : ",TEXT((M713-O713)/M713,"0.00")),"—"))</f>
        <v>—</v>
      </c>
      <c r="Z713" s="30" t="str">
        <f aca="false">IF(AND(P713&lt;&gt;"",M713&lt;&gt;"",P713&gt;M713),CONCATENATE("1 : ",TEXT((P713-M713)/M713,"0.00")),"—")</f>
        <v>—</v>
      </c>
      <c r="AA713" s="31" t="str">
        <f aca="false">IF(AND(C713&lt;&gt;"",E713&lt;&gt;""),E713-C713,"")</f>
        <v/>
      </c>
      <c r="AB713" s="17"/>
      <c r="AC713" s="32"/>
      <c r="AD713" s="33"/>
      <c r="AE713" s="34" t="str">
        <f aca="false">IF(G713&lt;&gt;"",HYPERLINK("https://www.tradingview.com/chart/?symbol="&amp;G713&amp;"&amp;interval=60&amp;from="&amp;(AG713-10*3600)&amp;"&amp;to="&amp;(AG713+50*3600),"📈 1H"),"")</f>
        <v/>
      </c>
      <c r="AF713" s="35" t="str">
        <f aca="false">IF(G713&lt;&gt;"",HYPERLINK("https://www.tradingview.com/chart/?symbol="&amp;G713&amp;"&amp;interval=240&amp;from="&amp;(AG713-10*14400)&amp;"&amp;to="&amp;(AG713+50*14400),"📈 4H"),"")</f>
        <v/>
      </c>
      <c r="AG713" s="36" t="str">
        <f aca="false">IF(C713&lt;&gt;"",INT((C713+IF(D713&lt;&gt;"",D713,0)-DATE(1970,1,1))*86400),"")</f>
        <v/>
      </c>
    </row>
    <row r="714" customFormat="false" ht="19.5" hidden="false" customHeight="true" outlineLevel="0" collapsed="false">
      <c r="A714" s="37" t="n">
        <f aca="false">ROW()-4</f>
        <v>710</v>
      </c>
      <c r="B714" s="38"/>
      <c r="C714" s="39"/>
      <c r="D714" s="40"/>
      <c r="E714" s="39"/>
      <c r="F714" s="40"/>
      <c r="G714" s="41"/>
      <c r="H714" s="42"/>
      <c r="I714" s="43"/>
      <c r="J714" s="44"/>
      <c r="K714" s="39"/>
      <c r="L714" s="42"/>
      <c r="M714" s="44"/>
      <c r="N714" s="45"/>
      <c r="O714" s="44"/>
      <c r="P714" s="46"/>
      <c r="Q714" s="47" t="str">
        <f aca="false">IF(L714="","",IF(M714&lt;&gt;"",M714*L714*100,IF(AND(O714&lt;&gt;"",B714&lt;&gt;""),IFERROR(AVERAGEIF($B$5:$B$1004,B714,$M$5:$M$1004)*L714*100,""),"")))</f>
        <v/>
      </c>
      <c r="R714" s="47" t="str">
        <f aca="false">IF(AND(O714&lt;&gt;"",L714&lt;&gt;""),O714*L714*100,"")</f>
        <v/>
      </c>
      <c r="S714" s="48" t="str">
        <f aca="false">IF(AND(P714&lt;&gt;"",L714&lt;&gt;""),P714*L714*100,"")</f>
        <v/>
      </c>
      <c r="T714" s="49" t="str">
        <f aca="false">IF(AND(Q714&lt;&gt;"",R714&lt;&gt;""),R714-Q714,"")</f>
        <v/>
      </c>
      <c r="U714" s="50" t="str">
        <f aca="false">IF(AND(Q714&lt;&gt;"",Q714&lt;&gt;0,T714&lt;&gt;""),T714/Q714,"")</f>
        <v/>
      </c>
      <c r="V714" s="51" t="str">
        <f aca="false">IF(AND(S714&lt;&gt;"",Q714&lt;&gt;""),S714-Q714,"")</f>
        <v/>
      </c>
      <c r="W714" s="52" t="str">
        <f aca="false">IF(AND(Q714&lt;&gt;"",Q714&lt;&gt;0,V714&lt;&gt;""),V714/Q714,"")</f>
        <v/>
      </c>
      <c r="X714" s="53" t="s">
        <v>37</v>
      </c>
      <c r="Y714" s="54" t="str">
        <f aca="false">IF(AND(O714&lt;&gt;"",M714&lt;&gt;"",O714&gt;M714),CONCATENATE("1 : ",TEXT((O714-M714)/M714,"0.00")),IF(AND(O714&lt;&gt;"",M714&lt;&gt;"",O714&lt;M714),CONCATENATE("-1 : ",TEXT((M714-O714)/M714,"0.00")),"—"))</f>
        <v>—</v>
      </c>
      <c r="Z714" s="55" t="str">
        <f aca="false">IF(AND(P714&lt;&gt;"",M714&lt;&gt;"",P714&gt;M714),CONCATENATE("1 : ",TEXT((P714-M714)/M714,"0.00")),"—")</f>
        <v>—</v>
      </c>
      <c r="AA714" s="56" t="str">
        <f aca="false">IF(AND(C714&lt;&gt;"",E714&lt;&gt;""),E714-C714,"")</f>
        <v/>
      </c>
      <c r="AB714" s="42"/>
      <c r="AC714" s="57"/>
      <c r="AD714" s="58"/>
      <c r="AE714" s="59" t="str">
        <f aca="false">IF(G714&lt;&gt;"",HYPERLINK("https://www.tradingview.com/chart/?symbol="&amp;G714&amp;"&amp;interval=60&amp;from="&amp;(AG714-10*3600)&amp;"&amp;to="&amp;(AG714+50*3600),"📈 1H"),"")</f>
        <v/>
      </c>
      <c r="AF714" s="60" t="str">
        <f aca="false">IF(G714&lt;&gt;"",HYPERLINK("https://www.tradingview.com/chart/?symbol="&amp;G714&amp;"&amp;interval=240&amp;from="&amp;(AG714-10*14400)&amp;"&amp;to="&amp;(AG714+50*14400),"📈 4H"),"")</f>
        <v/>
      </c>
      <c r="AG714" s="36" t="str">
        <f aca="false">IF(C714&lt;&gt;"",INT((C714+IF(D714&lt;&gt;"",D714,0)-DATE(1970,1,1))*86400),"")</f>
        <v/>
      </c>
    </row>
    <row r="715" customFormat="false" ht="19.5" hidden="false" customHeight="true" outlineLevel="0" collapsed="false">
      <c r="A715" s="12" t="n">
        <f aca="false">ROW()-4</f>
        <v>711</v>
      </c>
      <c r="B715" s="13"/>
      <c r="C715" s="14"/>
      <c r="D715" s="15"/>
      <c r="E715" s="14"/>
      <c r="F715" s="15"/>
      <c r="G715" s="16"/>
      <c r="H715" s="17"/>
      <c r="I715" s="18"/>
      <c r="J715" s="19"/>
      <c r="K715" s="14"/>
      <c r="L715" s="17"/>
      <c r="M715" s="19"/>
      <c r="N715" s="20"/>
      <c r="O715" s="19"/>
      <c r="P715" s="21"/>
      <c r="Q715" s="22" t="str">
        <f aca="false">IF(L715="","",IF(M715&lt;&gt;"",M715*L715*100,IF(AND(O715&lt;&gt;"",B715&lt;&gt;""),IFERROR(AVERAGEIF($B$5:$B$1004,B715,$M$5:$M$1004)*L715*100,""),"")))</f>
        <v/>
      </c>
      <c r="R715" s="22" t="str">
        <f aca="false">IF(AND(O715&lt;&gt;"",L715&lt;&gt;""),O715*L715*100,"")</f>
        <v/>
      </c>
      <c r="S715" s="23" t="str">
        <f aca="false">IF(AND(P715&lt;&gt;"",L715&lt;&gt;""),P715*L715*100,"")</f>
        <v/>
      </c>
      <c r="T715" s="24" t="str">
        <f aca="false">IF(AND(Q715&lt;&gt;"",R715&lt;&gt;""),R715-Q715,"")</f>
        <v/>
      </c>
      <c r="U715" s="25" t="str">
        <f aca="false">IF(AND(Q715&lt;&gt;"",Q715&lt;&gt;0,T715&lt;&gt;""),T715/Q715,"")</f>
        <v/>
      </c>
      <c r="V715" s="26" t="str">
        <f aca="false">IF(AND(S715&lt;&gt;"",Q715&lt;&gt;""),S715-Q715,"")</f>
        <v/>
      </c>
      <c r="W715" s="27" t="str">
        <f aca="false">IF(AND(Q715&lt;&gt;"",Q715&lt;&gt;0,V715&lt;&gt;""),V715/Q715,"")</f>
        <v/>
      </c>
      <c r="X715" s="28" t="s">
        <v>37</v>
      </c>
      <c r="Y715" s="29" t="str">
        <f aca="false">IF(AND(O715&lt;&gt;"",M715&lt;&gt;"",O715&gt;M715),CONCATENATE("1 : ",TEXT((O715-M715)/M715,"0.00")),IF(AND(O715&lt;&gt;"",M715&lt;&gt;"",O715&lt;M715),CONCATENATE("-1 : ",TEXT((M715-O715)/M715,"0.00")),"—"))</f>
        <v>—</v>
      </c>
      <c r="Z715" s="30" t="str">
        <f aca="false">IF(AND(P715&lt;&gt;"",M715&lt;&gt;"",P715&gt;M715),CONCATENATE("1 : ",TEXT((P715-M715)/M715,"0.00")),"—")</f>
        <v>—</v>
      </c>
      <c r="AA715" s="31" t="str">
        <f aca="false">IF(AND(C715&lt;&gt;"",E715&lt;&gt;""),E715-C715,"")</f>
        <v/>
      </c>
      <c r="AB715" s="17"/>
      <c r="AC715" s="32"/>
      <c r="AD715" s="33"/>
      <c r="AE715" s="34" t="str">
        <f aca="false">IF(G715&lt;&gt;"",HYPERLINK("https://www.tradingview.com/chart/?symbol="&amp;G715&amp;"&amp;interval=60&amp;from="&amp;(AG715-10*3600)&amp;"&amp;to="&amp;(AG715+50*3600),"📈 1H"),"")</f>
        <v/>
      </c>
      <c r="AF715" s="35" t="str">
        <f aca="false">IF(G715&lt;&gt;"",HYPERLINK("https://www.tradingview.com/chart/?symbol="&amp;G715&amp;"&amp;interval=240&amp;from="&amp;(AG715-10*14400)&amp;"&amp;to="&amp;(AG715+50*14400),"📈 4H"),"")</f>
        <v/>
      </c>
      <c r="AG715" s="36" t="str">
        <f aca="false">IF(C715&lt;&gt;"",INT((C715+IF(D715&lt;&gt;"",D715,0)-DATE(1970,1,1))*86400),"")</f>
        <v/>
      </c>
    </row>
    <row r="716" customFormat="false" ht="19.5" hidden="false" customHeight="true" outlineLevel="0" collapsed="false">
      <c r="A716" s="37" t="n">
        <f aca="false">ROW()-4</f>
        <v>712</v>
      </c>
      <c r="B716" s="38"/>
      <c r="C716" s="39"/>
      <c r="D716" s="40"/>
      <c r="E716" s="39"/>
      <c r="F716" s="40"/>
      <c r="G716" s="41"/>
      <c r="H716" s="42"/>
      <c r="I716" s="43"/>
      <c r="J716" s="44"/>
      <c r="K716" s="39"/>
      <c r="L716" s="42"/>
      <c r="M716" s="44"/>
      <c r="N716" s="45"/>
      <c r="O716" s="44"/>
      <c r="P716" s="46"/>
      <c r="Q716" s="47" t="str">
        <f aca="false">IF(L716="","",IF(M716&lt;&gt;"",M716*L716*100,IF(AND(O716&lt;&gt;"",B716&lt;&gt;""),IFERROR(AVERAGEIF($B$5:$B$1004,B716,$M$5:$M$1004)*L716*100,""),"")))</f>
        <v/>
      </c>
      <c r="R716" s="47" t="str">
        <f aca="false">IF(AND(O716&lt;&gt;"",L716&lt;&gt;""),O716*L716*100,"")</f>
        <v/>
      </c>
      <c r="S716" s="48" t="str">
        <f aca="false">IF(AND(P716&lt;&gt;"",L716&lt;&gt;""),P716*L716*100,"")</f>
        <v/>
      </c>
      <c r="T716" s="49" t="str">
        <f aca="false">IF(AND(Q716&lt;&gt;"",R716&lt;&gt;""),R716-Q716,"")</f>
        <v/>
      </c>
      <c r="U716" s="50" t="str">
        <f aca="false">IF(AND(Q716&lt;&gt;"",Q716&lt;&gt;0,T716&lt;&gt;""),T716/Q716,"")</f>
        <v/>
      </c>
      <c r="V716" s="51" t="str">
        <f aca="false">IF(AND(S716&lt;&gt;"",Q716&lt;&gt;""),S716-Q716,"")</f>
        <v/>
      </c>
      <c r="W716" s="52" t="str">
        <f aca="false">IF(AND(Q716&lt;&gt;"",Q716&lt;&gt;0,V716&lt;&gt;""),V716/Q716,"")</f>
        <v/>
      </c>
      <c r="X716" s="53" t="s">
        <v>37</v>
      </c>
      <c r="Y716" s="54" t="str">
        <f aca="false">IF(AND(O716&lt;&gt;"",M716&lt;&gt;"",O716&gt;M716),CONCATENATE("1 : ",TEXT((O716-M716)/M716,"0.00")),IF(AND(O716&lt;&gt;"",M716&lt;&gt;"",O716&lt;M716),CONCATENATE("-1 : ",TEXT((M716-O716)/M716,"0.00")),"—"))</f>
        <v>—</v>
      </c>
      <c r="Z716" s="55" t="str">
        <f aca="false">IF(AND(P716&lt;&gt;"",M716&lt;&gt;"",P716&gt;M716),CONCATENATE("1 : ",TEXT((P716-M716)/M716,"0.00")),"—")</f>
        <v>—</v>
      </c>
      <c r="AA716" s="56" t="str">
        <f aca="false">IF(AND(C716&lt;&gt;"",E716&lt;&gt;""),E716-C716,"")</f>
        <v/>
      </c>
      <c r="AB716" s="42"/>
      <c r="AC716" s="57"/>
      <c r="AD716" s="58"/>
      <c r="AE716" s="59" t="str">
        <f aca="false">IF(G716&lt;&gt;"",HYPERLINK("https://www.tradingview.com/chart/?symbol="&amp;G716&amp;"&amp;interval=60&amp;from="&amp;(AG716-10*3600)&amp;"&amp;to="&amp;(AG716+50*3600),"📈 1H"),"")</f>
        <v/>
      </c>
      <c r="AF716" s="60" t="str">
        <f aca="false">IF(G716&lt;&gt;"",HYPERLINK("https://www.tradingview.com/chart/?symbol="&amp;G716&amp;"&amp;interval=240&amp;from="&amp;(AG716-10*14400)&amp;"&amp;to="&amp;(AG716+50*14400),"📈 4H"),"")</f>
        <v/>
      </c>
      <c r="AG716" s="36" t="str">
        <f aca="false">IF(C716&lt;&gt;"",INT((C716+IF(D716&lt;&gt;"",D716,0)-DATE(1970,1,1))*86400),"")</f>
        <v/>
      </c>
    </row>
    <row r="717" customFormat="false" ht="19.5" hidden="false" customHeight="true" outlineLevel="0" collapsed="false">
      <c r="A717" s="12" t="n">
        <f aca="false">ROW()-4</f>
        <v>713</v>
      </c>
      <c r="B717" s="13"/>
      <c r="C717" s="14"/>
      <c r="D717" s="15"/>
      <c r="E717" s="14"/>
      <c r="F717" s="15"/>
      <c r="G717" s="16"/>
      <c r="H717" s="17"/>
      <c r="I717" s="18"/>
      <c r="J717" s="19"/>
      <c r="K717" s="14"/>
      <c r="L717" s="17"/>
      <c r="M717" s="19"/>
      <c r="N717" s="20"/>
      <c r="O717" s="19"/>
      <c r="P717" s="21"/>
      <c r="Q717" s="22" t="str">
        <f aca="false">IF(L717="","",IF(M717&lt;&gt;"",M717*L717*100,IF(AND(O717&lt;&gt;"",B717&lt;&gt;""),IFERROR(AVERAGEIF($B$5:$B$1004,B717,$M$5:$M$1004)*L717*100,""),"")))</f>
        <v/>
      </c>
      <c r="R717" s="22" t="str">
        <f aca="false">IF(AND(O717&lt;&gt;"",L717&lt;&gt;""),O717*L717*100,"")</f>
        <v/>
      </c>
      <c r="S717" s="23" t="str">
        <f aca="false">IF(AND(P717&lt;&gt;"",L717&lt;&gt;""),P717*L717*100,"")</f>
        <v/>
      </c>
      <c r="T717" s="24" t="str">
        <f aca="false">IF(AND(Q717&lt;&gt;"",R717&lt;&gt;""),R717-Q717,"")</f>
        <v/>
      </c>
      <c r="U717" s="25" t="str">
        <f aca="false">IF(AND(Q717&lt;&gt;"",Q717&lt;&gt;0,T717&lt;&gt;""),T717/Q717,"")</f>
        <v/>
      </c>
      <c r="V717" s="26" t="str">
        <f aca="false">IF(AND(S717&lt;&gt;"",Q717&lt;&gt;""),S717-Q717,"")</f>
        <v/>
      </c>
      <c r="W717" s="27" t="str">
        <f aca="false">IF(AND(Q717&lt;&gt;"",Q717&lt;&gt;0,V717&lt;&gt;""),V717/Q717,"")</f>
        <v/>
      </c>
      <c r="X717" s="28" t="s">
        <v>37</v>
      </c>
      <c r="Y717" s="29" t="str">
        <f aca="false">IF(AND(O717&lt;&gt;"",M717&lt;&gt;"",O717&gt;M717),CONCATENATE("1 : ",TEXT((O717-M717)/M717,"0.00")),IF(AND(O717&lt;&gt;"",M717&lt;&gt;"",O717&lt;M717),CONCATENATE("-1 : ",TEXT((M717-O717)/M717,"0.00")),"—"))</f>
        <v>—</v>
      </c>
      <c r="Z717" s="30" t="str">
        <f aca="false">IF(AND(P717&lt;&gt;"",M717&lt;&gt;"",P717&gt;M717),CONCATENATE("1 : ",TEXT((P717-M717)/M717,"0.00")),"—")</f>
        <v>—</v>
      </c>
      <c r="AA717" s="31" t="str">
        <f aca="false">IF(AND(C717&lt;&gt;"",E717&lt;&gt;""),E717-C717,"")</f>
        <v/>
      </c>
      <c r="AB717" s="17"/>
      <c r="AC717" s="32"/>
      <c r="AD717" s="33"/>
      <c r="AE717" s="34" t="str">
        <f aca="false">IF(G717&lt;&gt;"",HYPERLINK("https://www.tradingview.com/chart/?symbol="&amp;G717&amp;"&amp;interval=60&amp;from="&amp;(AG717-10*3600)&amp;"&amp;to="&amp;(AG717+50*3600),"📈 1H"),"")</f>
        <v/>
      </c>
      <c r="AF717" s="35" t="str">
        <f aca="false">IF(G717&lt;&gt;"",HYPERLINK("https://www.tradingview.com/chart/?symbol="&amp;G717&amp;"&amp;interval=240&amp;from="&amp;(AG717-10*14400)&amp;"&amp;to="&amp;(AG717+50*14400),"📈 4H"),"")</f>
        <v/>
      </c>
      <c r="AG717" s="36" t="str">
        <f aca="false">IF(C717&lt;&gt;"",INT((C717+IF(D717&lt;&gt;"",D717,0)-DATE(1970,1,1))*86400),"")</f>
        <v/>
      </c>
    </row>
    <row r="718" customFormat="false" ht="19.5" hidden="false" customHeight="true" outlineLevel="0" collapsed="false">
      <c r="A718" s="37" t="n">
        <f aca="false">ROW()-4</f>
        <v>714</v>
      </c>
      <c r="B718" s="38"/>
      <c r="C718" s="39"/>
      <c r="D718" s="40"/>
      <c r="E718" s="39"/>
      <c r="F718" s="40"/>
      <c r="G718" s="41"/>
      <c r="H718" s="42"/>
      <c r="I718" s="43"/>
      <c r="J718" s="44"/>
      <c r="K718" s="39"/>
      <c r="L718" s="42"/>
      <c r="M718" s="44"/>
      <c r="N718" s="45"/>
      <c r="O718" s="44"/>
      <c r="P718" s="46"/>
      <c r="Q718" s="47" t="str">
        <f aca="false">IF(L718="","",IF(M718&lt;&gt;"",M718*L718*100,IF(AND(O718&lt;&gt;"",B718&lt;&gt;""),IFERROR(AVERAGEIF($B$5:$B$1004,B718,$M$5:$M$1004)*L718*100,""),"")))</f>
        <v/>
      </c>
      <c r="R718" s="47" t="str">
        <f aca="false">IF(AND(O718&lt;&gt;"",L718&lt;&gt;""),O718*L718*100,"")</f>
        <v/>
      </c>
      <c r="S718" s="48" t="str">
        <f aca="false">IF(AND(P718&lt;&gt;"",L718&lt;&gt;""),P718*L718*100,"")</f>
        <v/>
      </c>
      <c r="T718" s="49" t="str">
        <f aca="false">IF(AND(Q718&lt;&gt;"",R718&lt;&gt;""),R718-Q718,"")</f>
        <v/>
      </c>
      <c r="U718" s="50" t="str">
        <f aca="false">IF(AND(Q718&lt;&gt;"",Q718&lt;&gt;0,T718&lt;&gt;""),T718/Q718,"")</f>
        <v/>
      </c>
      <c r="V718" s="51" t="str">
        <f aca="false">IF(AND(S718&lt;&gt;"",Q718&lt;&gt;""),S718-Q718,"")</f>
        <v/>
      </c>
      <c r="W718" s="52" t="str">
        <f aca="false">IF(AND(Q718&lt;&gt;"",Q718&lt;&gt;0,V718&lt;&gt;""),V718/Q718,"")</f>
        <v/>
      </c>
      <c r="X718" s="53" t="s">
        <v>37</v>
      </c>
      <c r="Y718" s="54" t="str">
        <f aca="false">IF(AND(O718&lt;&gt;"",M718&lt;&gt;"",O718&gt;M718),CONCATENATE("1 : ",TEXT((O718-M718)/M718,"0.00")),IF(AND(O718&lt;&gt;"",M718&lt;&gt;"",O718&lt;M718),CONCATENATE("-1 : ",TEXT((M718-O718)/M718,"0.00")),"—"))</f>
        <v>—</v>
      </c>
      <c r="Z718" s="55" t="str">
        <f aca="false">IF(AND(P718&lt;&gt;"",M718&lt;&gt;"",P718&gt;M718),CONCATENATE("1 : ",TEXT((P718-M718)/M718,"0.00")),"—")</f>
        <v>—</v>
      </c>
      <c r="AA718" s="56" t="str">
        <f aca="false">IF(AND(C718&lt;&gt;"",E718&lt;&gt;""),E718-C718,"")</f>
        <v/>
      </c>
      <c r="AB718" s="42"/>
      <c r="AC718" s="57"/>
      <c r="AD718" s="58"/>
      <c r="AE718" s="59" t="str">
        <f aca="false">IF(G718&lt;&gt;"",HYPERLINK("https://www.tradingview.com/chart/?symbol="&amp;G718&amp;"&amp;interval=60&amp;from="&amp;(AG718-10*3600)&amp;"&amp;to="&amp;(AG718+50*3600),"📈 1H"),"")</f>
        <v/>
      </c>
      <c r="AF718" s="60" t="str">
        <f aca="false">IF(G718&lt;&gt;"",HYPERLINK("https://www.tradingview.com/chart/?symbol="&amp;G718&amp;"&amp;interval=240&amp;from="&amp;(AG718-10*14400)&amp;"&amp;to="&amp;(AG718+50*14400),"📈 4H"),"")</f>
        <v/>
      </c>
      <c r="AG718" s="36" t="str">
        <f aca="false">IF(C718&lt;&gt;"",INT((C718+IF(D718&lt;&gt;"",D718,0)-DATE(1970,1,1))*86400),"")</f>
        <v/>
      </c>
    </row>
    <row r="719" customFormat="false" ht="19.5" hidden="false" customHeight="true" outlineLevel="0" collapsed="false">
      <c r="A719" s="12" t="n">
        <f aca="false">ROW()-4</f>
        <v>715</v>
      </c>
      <c r="B719" s="13"/>
      <c r="C719" s="14"/>
      <c r="D719" s="15"/>
      <c r="E719" s="14"/>
      <c r="F719" s="15"/>
      <c r="G719" s="16"/>
      <c r="H719" s="17"/>
      <c r="I719" s="18"/>
      <c r="J719" s="19"/>
      <c r="K719" s="14"/>
      <c r="L719" s="17"/>
      <c r="M719" s="19"/>
      <c r="N719" s="20"/>
      <c r="O719" s="19"/>
      <c r="P719" s="21"/>
      <c r="Q719" s="22" t="str">
        <f aca="false">IF(L719="","",IF(M719&lt;&gt;"",M719*L719*100,IF(AND(O719&lt;&gt;"",B719&lt;&gt;""),IFERROR(AVERAGEIF($B$5:$B$1004,B719,$M$5:$M$1004)*L719*100,""),"")))</f>
        <v/>
      </c>
      <c r="R719" s="22" t="str">
        <f aca="false">IF(AND(O719&lt;&gt;"",L719&lt;&gt;""),O719*L719*100,"")</f>
        <v/>
      </c>
      <c r="S719" s="23" t="str">
        <f aca="false">IF(AND(P719&lt;&gt;"",L719&lt;&gt;""),P719*L719*100,"")</f>
        <v/>
      </c>
      <c r="T719" s="24" t="str">
        <f aca="false">IF(AND(Q719&lt;&gt;"",R719&lt;&gt;""),R719-Q719,"")</f>
        <v/>
      </c>
      <c r="U719" s="25" t="str">
        <f aca="false">IF(AND(Q719&lt;&gt;"",Q719&lt;&gt;0,T719&lt;&gt;""),T719/Q719,"")</f>
        <v/>
      </c>
      <c r="V719" s="26" t="str">
        <f aca="false">IF(AND(S719&lt;&gt;"",Q719&lt;&gt;""),S719-Q719,"")</f>
        <v/>
      </c>
      <c r="W719" s="27" t="str">
        <f aca="false">IF(AND(Q719&lt;&gt;"",Q719&lt;&gt;0,V719&lt;&gt;""),V719/Q719,"")</f>
        <v/>
      </c>
      <c r="X719" s="28" t="s">
        <v>37</v>
      </c>
      <c r="Y719" s="29" t="str">
        <f aca="false">IF(AND(O719&lt;&gt;"",M719&lt;&gt;"",O719&gt;M719),CONCATENATE("1 : ",TEXT((O719-M719)/M719,"0.00")),IF(AND(O719&lt;&gt;"",M719&lt;&gt;"",O719&lt;M719),CONCATENATE("-1 : ",TEXT((M719-O719)/M719,"0.00")),"—"))</f>
        <v>—</v>
      </c>
      <c r="Z719" s="30" t="str">
        <f aca="false">IF(AND(P719&lt;&gt;"",M719&lt;&gt;"",P719&gt;M719),CONCATENATE("1 : ",TEXT((P719-M719)/M719,"0.00")),"—")</f>
        <v>—</v>
      </c>
      <c r="AA719" s="31" t="str">
        <f aca="false">IF(AND(C719&lt;&gt;"",E719&lt;&gt;""),E719-C719,"")</f>
        <v/>
      </c>
      <c r="AB719" s="17"/>
      <c r="AC719" s="32"/>
      <c r="AD719" s="33"/>
      <c r="AE719" s="34" t="str">
        <f aca="false">IF(G719&lt;&gt;"",HYPERLINK("https://www.tradingview.com/chart/?symbol="&amp;G719&amp;"&amp;interval=60&amp;from="&amp;(AG719-10*3600)&amp;"&amp;to="&amp;(AG719+50*3600),"📈 1H"),"")</f>
        <v/>
      </c>
      <c r="AF719" s="35" t="str">
        <f aca="false">IF(G719&lt;&gt;"",HYPERLINK("https://www.tradingview.com/chart/?symbol="&amp;G719&amp;"&amp;interval=240&amp;from="&amp;(AG719-10*14400)&amp;"&amp;to="&amp;(AG719+50*14400),"📈 4H"),"")</f>
        <v/>
      </c>
      <c r="AG719" s="36" t="str">
        <f aca="false">IF(C719&lt;&gt;"",INT((C719+IF(D719&lt;&gt;"",D719,0)-DATE(1970,1,1))*86400),"")</f>
        <v/>
      </c>
    </row>
    <row r="720" customFormat="false" ht="19.5" hidden="false" customHeight="true" outlineLevel="0" collapsed="false">
      <c r="A720" s="37" t="n">
        <f aca="false">ROW()-4</f>
        <v>716</v>
      </c>
      <c r="B720" s="38"/>
      <c r="C720" s="39"/>
      <c r="D720" s="40"/>
      <c r="E720" s="39"/>
      <c r="F720" s="40"/>
      <c r="G720" s="41"/>
      <c r="H720" s="42"/>
      <c r="I720" s="43"/>
      <c r="J720" s="44"/>
      <c r="K720" s="39"/>
      <c r="L720" s="42"/>
      <c r="M720" s="44"/>
      <c r="N720" s="45"/>
      <c r="O720" s="44"/>
      <c r="P720" s="46"/>
      <c r="Q720" s="47" t="str">
        <f aca="false">IF(L720="","",IF(M720&lt;&gt;"",M720*L720*100,IF(AND(O720&lt;&gt;"",B720&lt;&gt;""),IFERROR(AVERAGEIF($B$5:$B$1004,B720,$M$5:$M$1004)*L720*100,""),"")))</f>
        <v/>
      </c>
      <c r="R720" s="47" t="str">
        <f aca="false">IF(AND(O720&lt;&gt;"",L720&lt;&gt;""),O720*L720*100,"")</f>
        <v/>
      </c>
      <c r="S720" s="48" t="str">
        <f aca="false">IF(AND(P720&lt;&gt;"",L720&lt;&gt;""),P720*L720*100,"")</f>
        <v/>
      </c>
      <c r="T720" s="49" t="str">
        <f aca="false">IF(AND(Q720&lt;&gt;"",R720&lt;&gt;""),R720-Q720,"")</f>
        <v/>
      </c>
      <c r="U720" s="50" t="str">
        <f aca="false">IF(AND(Q720&lt;&gt;"",Q720&lt;&gt;0,T720&lt;&gt;""),T720/Q720,"")</f>
        <v/>
      </c>
      <c r="V720" s="51" t="str">
        <f aca="false">IF(AND(S720&lt;&gt;"",Q720&lt;&gt;""),S720-Q720,"")</f>
        <v/>
      </c>
      <c r="W720" s="52" t="str">
        <f aca="false">IF(AND(Q720&lt;&gt;"",Q720&lt;&gt;0,V720&lt;&gt;""),V720/Q720,"")</f>
        <v/>
      </c>
      <c r="X720" s="53" t="s">
        <v>37</v>
      </c>
      <c r="Y720" s="54" t="str">
        <f aca="false">IF(AND(O720&lt;&gt;"",M720&lt;&gt;"",O720&gt;M720),CONCATENATE("1 : ",TEXT((O720-M720)/M720,"0.00")),IF(AND(O720&lt;&gt;"",M720&lt;&gt;"",O720&lt;M720),CONCATENATE("-1 : ",TEXT((M720-O720)/M720,"0.00")),"—"))</f>
        <v>—</v>
      </c>
      <c r="Z720" s="55" t="str">
        <f aca="false">IF(AND(P720&lt;&gt;"",M720&lt;&gt;"",P720&gt;M720),CONCATENATE("1 : ",TEXT((P720-M720)/M720,"0.00")),"—")</f>
        <v>—</v>
      </c>
      <c r="AA720" s="56" t="str">
        <f aca="false">IF(AND(C720&lt;&gt;"",E720&lt;&gt;""),E720-C720,"")</f>
        <v/>
      </c>
      <c r="AB720" s="42"/>
      <c r="AC720" s="57"/>
      <c r="AD720" s="58"/>
      <c r="AE720" s="59" t="str">
        <f aca="false">IF(G720&lt;&gt;"",HYPERLINK("https://www.tradingview.com/chart/?symbol="&amp;G720&amp;"&amp;interval=60&amp;from="&amp;(AG720-10*3600)&amp;"&amp;to="&amp;(AG720+50*3600),"📈 1H"),"")</f>
        <v/>
      </c>
      <c r="AF720" s="60" t="str">
        <f aca="false">IF(G720&lt;&gt;"",HYPERLINK("https://www.tradingview.com/chart/?symbol="&amp;G720&amp;"&amp;interval=240&amp;from="&amp;(AG720-10*14400)&amp;"&amp;to="&amp;(AG720+50*14400),"📈 4H"),"")</f>
        <v/>
      </c>
      <c r="AG720" s="36" t="str">
        <f aca="false">IF(C720&lt;&gt;"",INT((C720+IF(D720&lt;&gt;"",D720,0)-DATE(1970,1,1))*86400),"")</f>
        <v/>
      </c>
    </row>
    <row r="721" customFormat="false" ht="19.5" hidden="false" customHeight="true" outlineLevel="0" collapsed="false">
      <c r="A721" s="12" t="n">
        <f aca="false">ROW()-4</f>
        <v>717</v>
      </c>
      <c r="B721" s="13"/>
      <c r="C721" s="14"/>
      <c r="D721" s="15"/>
      <c r="E721" s="14"/>
      <c r="F721" s="15"/>
      <c r="G721" s="16"/>
      <c r="H721" s="17"/>
      <c r="I721" s="18"/>
      <c r="J721" s="19"/>
      <c r="K721" s="14"/>
      <c r="L721" s="17"/>
      <c r="M721" s="19"/>
      <c r="N721" s="20"/>
      <c r="O721" s="19"/>
      <c r="P721" s="21"/>
      <c r="Q721" s="22" t="str">
        <f aca="false">IF(L721="","",IF(M721&lt;&gt;"",M721*L721*100,IF(AND(O721&lt;&gt;"",B721&lt;&gt;""),IFERROR(AVERAGEIF($B$5:$B$1004,B721,$M$5:$M$1004)*L721*100,""),"")))</f>
        <v/>
      </c>
      <c r="R721" s="22" t="str">
        <f aca="false">IF(AND(O721&lt;&gt;"",L721&lt;&gt;""),O721*L721*100,"")</f>
        <v/>
      </c>
      <c r="S721" s="23" t="str">
        <f aca="false">IF(AND(P721&lt;&gt;"",L721&lt;&gt;""),P721*L721*100,"")</f>
        <v/>
      </c>
      <c r="T721" s="24" t="str">
        <f aca="false">IF(AND(Q721&lt;&gt;"",R721&lt;&gt;""),R721-Q721,"")</f>
        <v/>
      </c>
      <c r="U721" s="25" t="str">
        <f aca="false">IF(AND(Q721&lt;&gt;"",Q721&lt;&gt;0,T721&lt;&gt;""),T721/Q721,"")</f>
        <v/>
      </c>
      <c r="V721" s="26" t="str">
        <f aca="false">IF(AND(S721&lt;&gt;"",Q721&lt;&gt;""),S721-Q721,"")</f>
        <v/>
      </c>
      <c r="W721" s="27" t="str">
        <f aca="false">IF(AND(Q721&lt;&gt;"",Q721&lt;&gt;0,V721&lt;&gt;""),V721/Q721,"")</f>
        <v/>
      </c>
      <c r="X721" s="28" t="s">
        <v>37</v>
      </c>
      <c r="Y721" s="29" t="str">
        <f aca="false">IF(AND(O721&lt;&gt;"",M721&lt;&gt;"",O721&gt;M721),CONCATENATE("1 : ",TEXT((O721-M721)/M721,"0.00")),IF(AND(O721&lt;&gt;"",M721&lt;&gt;"",O721&lt;M721),CONCATENATE("-1 : ",TEXT((M721-O721)/M721,"0.00")),"—"))</f>
        <v>—</v>
      </c>
      <c r="Z721" s="30" t="str">
        <f aca="false">IF(AND(P721&lt;&gt;"",M721&lt;&gt;"",P721&gt;M721),CONCATENATE("1 : ",TEXT((P721-M721)/M721,"0.00")),"—")</f>
        <v>—</v>
      </c>
      <c r="AA721" s="31" t="str">
        <f aca="false">IF(AND(C721&lt;&gt;"",E721&lt;&gt;""),E721-C721,"")</f>
        <v/>
      </c>
      <c r="AB721" s="17"/>
      <c r="AC721" s="32"/>
      <c r="AD721" s="33"/>
      <c r="AE721" s="34" t="str">
        <f aca="false">IF(G721&lt;&gt;"",HYPERLINK("https://www.tradingview.com/chart/?symbol="&amp;G721&amp;"&amp;interval=60&amp;from="&amp;(AG721-10*3600)&amp;"&amp;to="&amp;(AG721+50*3600),"📈 1H"),"")</f>
        <v/>
      </c>
      <c r="AF721" s="35" t="str">
        <f aca="false">IF(G721&lt;&gt;"",HYPERLINK("https://www.tradingview.com/chart/?symbol="&amp;G721&amp;"&amp;interval=240&amp;from="&amp;(AG721-10*14400)&amp;"&amp;to="&amp;(AG721+50*14400),"📈 4H"),"")</f>
        <v/>
      </c>
      <c r="AG721" s="36" t="str">
        <f aca="false">IF(C721&lt;&gt;"",INT((C721+IF(D721&lt;&gt;"",D721,0)-DATE(1970,1,1))*86400),"")</f>
        <v/>
      </c>
    </row>
    <row r="722" customFormat="false" ht="19.5" hidden="false" customHeight="true" outlineLevel="0" collapsed="false">
      <c r="A722" s="37" t="n">
        <f aca="false">ROW()-4</f>
        <v>718</v>
      </c>
      <c r="B722" s="38"/>
      <c r="C722" s="39"/>
      <c r="D722" s="40"/>
      <c r="E722" s="39"/>
      <c r="F722" s="40"/>
      <c r="G722" s="41"/>
      <c r="H722" s="42"/>
      <c r="I722" s="43"/>
      <c r="J722" s="44"/>
      <c r="K722" s="39"/>
      <c r="L722" s="42"/>
      <c r="M722" s="44"/>
      <c r="N722" s="45"/>
      <c r="O722" s="44"/>
      <c r="P722" s="46"/>
      <c r="Q722" s="47" t="str">
        <f aca="false">IF(L722="","",IF(M722&lt;&gt;"",M722*L722*100,IF(AND(O722&lt;&gt;"",B722&lt;&gt;""),IFERROR(AVERAGEIF($B$5:$B$1004,B722,$M$5:$M$1004)*L722*100,""),"")))</f>
        <v/>
      </c>
      <c r="R722" s="47" t="str">
        <f aca="false">IF(AND(O722&lt;&gt;"",L722&lt;&gt;""),O722*L722*100,"")</f>
        <v/>
      </c>
      <c r="S722" s="48" t="str">
        <f aca="false">IF(AND(P722&lt;&gt;"",L722&lt;&gt;""),P722*L722*100,"")</f>
        <v/>
      </c>
      <c r="T722" s="49" t="str">
        <f aca="false">IF(AND(Q722&lt;&gt;"",R722&lt;&gt;""),R722-Q722,"")</f>
        <v/>
      </c>
      <c r="U722" s="50" t="str">
        <f aca="false">IF(AND(Q722&lt;&gt;"",Q722&lt;&gt;0,T722&lt;&gt;""),T722/Q722,"")</f>
        <v/>
      </c>
      <c r="V722" s="51" t="str">
        <f aca="false">IF(AND(S722&lt;&gt;"",Q722&lt;&gt;""),S722-Q722,"")</f>
        <v/>
      </c>
      <c r="W722" s="52" t="str">
        <f aca="false">IF(AND(Q722&lt;&gt;"",Q722&lt;&gt;0,V722&lt;&gt;""),V722/Q722,"")</f>
        <v/>
      </c>
      <c r="X722" s="53" t="s">
        <v>37</v>
      </c>
      <c r="Y722" s="54" t="str">
        <f aca="false">IF(AND(O722&lt;&gt;"",M722&lt;&gt;"",O722&gt;M722),CONCATENATE("1 : ",TEXT((O722-M722)/M722,"0.00")),IF(AND(O722&lt;&gt;"",M722&lt;&gt;"",O722&lt;M722),CONCATENATE("-1 : ",TEXT((M722-O722)/M722,"0.00")),"—"))</f>
        <v>—</v>
      </c>
      <c r="Z722" s="55" t="str">
        <f aca="false">IF(AND(P722&lt;&gt;"",M722&lt;&gt;"",P722&gt;M722),CONCATENATE("1 : ",TEXT((P722-M722)/M722,"0.00")),"—")</f>
        <v>—</v>
      </c>
      <c r="AA722" s="56" t="str">
        <f aca="false">IF(AND(C722&lt;&gt;"",E722&lt;&gt;""),E722-C722,"")</f>
        <v/>
      </c>
      <c r="AB722" s="42"/>
      <c r="AC722" s="57"/>
      <c r="AD722" s="58"/>
      <c r="AE722" s="59" t="str">
        <f aca="false">IF(G722&lt;&gt;"",HYPERLINK("https://www.tradingview.com/chart/?symbol="&amp;G722&amp;"&amp;interval=60&amp;from="&amp;(AG722-10*3600)&amp;"&amp;to="&amp;(AG722+50*3600),"📈 1H"),"")</f>
        <v/>
      </c>
      <c r="AF722" s="60" t="str">
        <f aca="false">IF(G722&lt;&gt;"",HYPERLINK("https://www.tradingview.com/chart/?symbol="&amp;G722&amp;"&amp;interval=240&amp;from="&amp;(AG722-10*14400)&amp;"&amp;to="&amp;(AG722+50*14400),"📈 4H"),"")</f>
        <v/>
      </c>
      <c r="AG722" s="36" t="str">
        <f aca="false">IF(C722&lt;&gt;"",INT((C722+IF(D722&lt;&gt;"",D722,0)-DATE(1970,1,1))*86400),"")</f>
        <v/>
      </c>
    </row>
    <row r="723" customFormat="false" ht="19.5" hidden="false" customHeight="true" outlineLevel="0" collapsed="false">
      <c r="A723" s="12" t="n">
        <f aca="false">ROW()-4</f>
        <v>719</v>
      </c>
      <c r="B723" s="13"/>
      <c r="C723" s="14"/>
      <c r="D723" s="15"/>
      <c r="E723" s="14"/>
      <c r="F723" s="15"/>
      <c r="G723" s="16"/>
      <c r="H723" s="17"/>
      <c r="I723" s="18"/>
      <c r="J723" s="19"/>
      <c r="K723" s="14"/>
      <c r="L723" s="17"/>
      <c r="M723" s="19"/>
      <c r="N723" s="20"/>
      <c r="O723" s="19"/>
      <c r="P723" s="21"/>
      <c r="Q723" s="22" t="str">
        <f aca="false">IF(L723="","",IF(M723&lt;&gt;"",M723*L723*100,IF(AND(O723&lt;&gt;"",B723&lt;&gt;""),IFERROR(AVERAGEIF($B$5:$B$1004,B723,$M$5:$M$1004)*L723*100,""),"")))</f>
        <v/>
      </c>
      <c r="R723" s="22" t="str">
        <f aca="false">IF(AND(O723&lt;&gt;"",L723&lt;&gt;""),O723*L723*100,"")</f>
        <v/>
      </c>
      <c r="S723" s="23" t="str">
        <f aca="false">IF(AND(P723&lt;&gt;"",L723&lt;&gt;""),P723*L723*100,"")</f>
        <v/>
      </c>
      <c r="T723" s="24" t="str">
        <f aca="false">IF(AND(Q723&lt;&gt;"",R723&lt;&gt;""),R723-Q723,"")</f>
        <v/>
      </c>
      <c r="U723" s="25" t="str">
        <f aca="false">IF(AND(Q723&lt;&gt;"",Q723&lt;&gt;0,T723&lt;&gt;""),T723/Q723,"")</f>
        <v/>
      </c>
      <c r="V723" s="26" t="str">
        <f aca="false">IF(AND(S723&lt;&gt;"",Q723&lt;&gt;""),S723-Q723,"")</f>
        <v/>
      </c>
      <c r="W723" s="27" t="str">
        <f aca="false">IF(AND(Q723&lt;&gt;"",Q723&lt;&gt;0,V723&lt;&gt;""),V723/Q723,"")</f>
        <v/>
      </c>
      <c r="X723" s="28" t="s">
        <v>37</v>
      </c>
      <c r="Y723" s="29" t="str">
        <f aca="false">IF(AND(O723&lt;&gt;"",M723&lt;&gt;"",O723&gt;M723),CONCATENATE("1 : ",TEXT((O723-M723)/M723,"0.00")),IF(AND(O723&lt;&gt;"",M723&lt;&gt;"",O723&lt;M723),CONCATENATE("-1 : ",TEXT((M723-O723)/M723,"0.00")),"—"))</f>
        <v>—</v>
      </c>
      <c r="Z723" s="30" t="str">
        <f aca="false">IF(AND(P723&lt;&gt;"",M723&lt;&gt;"",P723&gt;M723),CONCATENATE("1 : ",TEXT((P723-M723)/M723,"0.00")),"—")</f>
        <v>—</v>
      </c>
      <c r="AA723" s="31" t="str">
        <f aca="false">IF(AND(C723&lt;&gt;"",E723&lt;&gt;""),E723-C723,"")</f>
        <v/>
      </c>
      <c r="AB723" s="17"/>
      <c r="AC723" s="32"/>
      <c r="AD723" s="33"/>
      <c r="AE723" s="34" t="str">
        <f aca="false">IF(G723&lt;&gt;"",HYPERLINK("https://www.tradingview.com/chart/?symbol="&amp;G723&amp;"&amp;interval=60&amp;from="&amp;(AG723-10*3600)&amp;"&amp;to="&amp;(AG723+50*3600),"📈 1H"),"")</f>
        <v/>
      </c>
      <c r="AF723" s="35" t="str">
        <f aca="false">IF(G723&lt;&gt;"",HYPERLINK("https://www.tradingview.com/chart/?symbol="&amp;G723&amp;"&amp;interval=240&amp;from="&amp;(AG723-10*14400)&amp;"&amp;to="&amp;(AG723+50*14400),"📈 4H"),"")</f>
        <v/>
      </c>
      <c r="AG723" s="36" t="str">
        <f aca="false">IF(C723&lt;&gt;"",INT((C723+IF(D723&lt;&gt;"",D723,0)-DATE(1970,1,1))*86400),"")</f>
        <v/>
      </c>
    </row>
    <row r="724" customFormat="false" ht="19.5" hidden="false" customHeight="true" outlineLevel="0" collapsed="false">
      <c r="A724" s="37" t="n">
        <f aca="false">ROW()-4</f>
        <v>720</v>
      </c>
      <c r="B724" s="38"/>
      <c r="C724" s="39"/>
      <c r="D724" s="40"/>
      <c r="E724" s="39"/>
      <c r="F724" s="40"/>
      <c r="G724" s="41"/>
      <c r="H724" s="42"/>
      <c r="I724" s="43"/>
      <c r="J724" s="44"/>
      <c r="K724" s="39"/>
      <c r="L724" s="42"/>
      <c r="M724" s="44"/>
      <c r="N724" s="45"/>
      <c r="O724" s="44"/>
      <c r="P724" s="46"/>
      <c r="Q724" s="47" t="str">
        <f aca="false">IF(L724="","",IF(M724&lt;&gt;"",M724*L724*100,IF(AND(O724&lt;&gt;"",B724&lt;&gt;""),IFERROR(AVERAGEIF($B$5:$B$1004,B724,$M$5:$M$1004)*L724*100,""),"")))</f>
        <v/>
      </c>
      <c r="R724" s="47" t="str">
        <f aca="false">IF(AND(O724&lt;&gt;"",L724&lt;&gt;""),O724*L724*100,"")</f>
        <v/>
      </c>
      <c r="S724" s="48" t="str">
        <f aca="false">IF(AND(P724&lt;&gt;"",L724&lt;&gt;""),P724*L724*100,"")</f>
        <v/>
      </c>
      <c r="T724" s="49" t="str">
        <f aca="false">IF(AND(Q724&lt;&gt;"",R724&lt;&gt;""),R724-Q724,"")</f>
        <v/>
      </c>
      <c r="U724" s="50" t="str">
        <f aca="false">IF(AND(Q724&lt;&gt;"",Q724&lt;&gt;0,T724&lt;&gt;""),T724/Q724,"")</f>
        <v/>
      </c>
      <c r="V724" s="51" t="str">
        <f aca="false">IF(AND(S724&lt;&gt;"",Q724&lt;&gt;""),S724-Q724,"")</f>
        <v/>
      </c>
      <c r="W724" s="52" t="str">
        <f aca="false">IF(AND(Q724&lt;&gt;"",Q724&lt;&gt;0,V724&lt;&gt;""),V724/Q724,"")</f>
        <v/>
      </c>
      <c r="X724" s="53" t="s">
        <v>37</v>
      </c>
      <c r="Y724" s="54" t="str">
        <f aca="false">IF(AND(O724&lt;&gt;"",M724&lt;&gt;"",O724&gt;M724),CONCATENATE("1 : ",TEXT((O724-M724)/M724,"0.00")),IF(AND(O724&lt;&gt;"",M724&lt;&gt;"",O724&lt;M724),CONCATENATE("-1 : ",TEXT((M724-O724)/M724,"0.00")),"—"))</f>
        <v>—</v>
      </c>
      <c r="Z724" s="55" t="str">
        <f aca="false">IF(AND(P724&lt;&gt;"",M724&lt;&gt;"",P724&gt;M724),CONCATENATE("1 : ",TEXT((P724-M724)/M724,"0.00")),"—")</f>
        <v>—</v>
      </c>
      <c r="AA724" s="56" t="str">
        <f aca="false">IF(AND(C724&lt;&gt;"",E724&lt;&gt;""),E724-C724,"")</f>
        <v/>
      </c>
      <c r="AB724" s="42"/>
      <c r="AC724" s="57"/>
      <c r="AD724" s="58"/>
      <c r="AE724" s="59" t="str">
        <f aca="false">IF(G724&lt;&gt;"",HYPERLINK("https://www.tradingview.com/chart/?symbol="&amp;G724&amp;"&amp;interval=60&amp;from="&amp;(AG724-10*3600)&amp;"&amp;to="&amp;(AG724+50*3600),"📈 1H"),"")</f>
        <v/>
      </c>
      <c r="AF724" s="60" t="str">
        <f aca="false">IF(G724&lt;&gt;"",HYPERLINK("https://www.tradingview.com/chart/?symbol="&amp;G724&amp;"&amp;interval=240&amp;from="&amp;(AG724-10*14400)&amp;"&amp;to="&amp;(AG724+50*14400),"📈 4H"),"")</f>
        <v/>
      </c>
      <c r="AG724" s="36" t="str">
        <f aca="false">IF(C724&lt;&gt;"",INT((C724+IF(D724&lt;&gt;"",D724,0)-DATE(1970,1,1))*86400),"")</f>
        <v/>
      </c>
    </row>
    <row r="725" customFormat="false" ht="19.5" hidden="false" customHeight="true" outlineLevel="0" collapsed="false">
      <c r="A725" s="12" t="n">
        <f aca="false">ROW()-4</f>
        <v>721</v>
      </c>
      <c r="B725" s="13"/>
      <c r="C725" s="14"/>
      <c r="D725" s="15"/>
      <c r="E725" s="14"/>
      <c r="F725" s="15"/>
      <c r="G725" s="16"/>
      <c r="H725" s="17"/>
      <c r="I725" s="18"/>
      <c r="J725" s="19"/>
      <c r="K725" s="14"/>
      <c r="L725" s="17"/>
      <c r="M725" s="19"/>
      <c r="N725" s="20"/>
      <c r="O725" s="19"/>
      <c r="P725" s="21"/>
      <c r="Q725" s="22" t="str">
        <f aca="false">IF(L725="","",IF(M725&lt;&gt;"",M725*L725*100,IF(AND(O725&lt;&gt;"",B725&lt;&gt;""),IFERROR(AVERAGEIF($B$5:$B$1004,B725,$M$5:$M$1004)*L725*100,""),"")))</f>
        <v/>
      </c>
      <c r="R725" s="22" t="str">
        <f aca="false">IF(AND(O725&lt;&gt;"",L725&lt;&gt;""),O725*L725*100,"")</f>
        <v/>
      </c>
      <c r="S725" s="23" t="str">
        <f aca="false">IF(AND(P725&lt;&gt;"",L725&lt;&gt;""),P725*L725*100,"")</f>
        <v/>
      </c>
      <c r="T725" s="24" t="str">
        <f aca="false">IF(AND(Q725&lt;&gt;"",R725&lt;&gt;""),R725-Q725,"")</f>
        <v/>
      </c>
      <c r="U725" s="25" t="str">
        <f aca="false">IF(AND(Q725&lt;&gt;"",Q725&lt;&gt;0,T725&lt;&gt;""),T725/Q725,"")</f>
        <v/>
      </c>
      <c r="V725" s="26" t="str">
        <f aca="false">IF(AND(S725&lt;&gt;"",Q725&lt;&gt;""),S725-Q725,"")</f>
        <v/>
      </c>
      <c r="W725" s="27" t="str">
        <f aca="false">IF(AND(Q725&lt;&gt;"",Q725&lt;&gt;0,V725&lt;&gt;""),V725/Q725,"")</f>
        <v/>
      </c>
      <c r="X725" s="28" t="s">
        <v>37</v>
      </c>
      <c r="Y725" s="29" t="str">
        <f aca="false">IF(AND(O725&lt;&gt;"",M725&lt;&gt;"",O725&gt;M725),CONCATENATE("1 : ",TEXT((O725-M725)/M725,"0.00")),IF(AND(O725&lt;&gt;"",M725&lt;&gt;"",O725&lt;M725),CONCATENATE("-1 : ",TEXT((M725-O725)/M725,"0.00")),"—"))</f>
        <v>—</v>
      </c>
      <c r="Z725" s="30" t="str">
        <f aca="false">IF(AND(P725&lt;&gt;"",M725&lt;&gt;"",P725&gt;M725),CONCATENATE("1 : ",TEXT((P725-M725)/M725,"0.00")),"—")</f>
        <v>—</v>
      </c>
      <c r="AA725" s="31" t="str">
        <f aca="false">IF(AND(C725&lt;&gt;"",E725&lt;&gt;""),E725-C725,"")</f>
        <v/>
      </c>
      <c r="AB725" s="17"/>
      <c r="AC725" s="32"/>
      <c r="AD725" s="33"/>
      <c r="AE725" s="34" t="str">
        <f aca="false">IF(G725&lt;&gt;"",HYPERLINK("https://www.tradingview.com/chart/?symbol="&amp;G725&amp;"&amp;interval=60&amp;from="&amp;(AG725-10*3600)&amp;"&amp;to="&amp;(AG725+50*3600),"📈 1H"),"")</f>
        <v/>
      </c>
      <c r="AF725" s="35" t="str">
        <f aca="false">IF(G725&lt;&gt;"",HYPERLINK("https://www.tradingview.com/chart/?symbol="&amp;G725&amp;"&amp;interval=240&amp;from="&amp;(AG725-10*14400)&amp;"&amp;to="&amp;(AG725+50*14400),"📈 4H"),"")</f>
        <v/>
      </c>
      <c r="AG725" s="36" t="str">
        <f aca="false">IF(C725&lt;&gt;"",INT((C725+IF(D725&lt;&gt;"",D725,0)-DATE(1970,1,1))*86400),"")</f>
        <v/>
      </c>
    </row>
    <row r="726" customFormat="false" ht="19.5" hidden="false" customHeight="true" outlineLevel="0" collapsed="false">
      <c r="A726" s="37" t="n">
        <f aca="false">ROW()-4</f>
        <v>722</v>
      </c>
      <c r="B726" s="38"/>
      <c r="C726" s="39"/>
      <c r="D726" s="40"/>
      <c r="E726" s="39"/>
      <c r="F726" s="40"/>
      <c r="G726" s="41"/>
      <c r="H726" s="42"/>
      <c r="I726" s="43"/>
      <c r="J726" s="44"/>
      <c r="K726" s="39"/>
      <c r="L726" s="42"/>
      <c r="M726" s="44"/>
      <c r="N726" s="45"/>
      <c r="O726" s="44"/>
      <c r="P726" s="46"/>
      <c r="Q726" s="47" t="str">
        <f aca="false">IF(L726="","",IF(M726&lt;&gt;"",M726*L726*100,IF(AND(O726&lt;&gt;"",B726&lt;&gt;""),IFERROR(AVERAGEIF($B$5:$B$1004,B726,$M$5:$M$1004)*L726*100,""),"")))</f>
        <v/>
      </c>
      <c r="R726" s="47" t="str">
        <f aca="false">IF(AND(O726&lt;&gt;"",L726&lt;&gt;""),O726*L726*100,"")</f>
        <v/>
      </c>
      <c r="S726" s="48" t="str">
        <f aca="false">IF(AND(P726&lt;&gt;"",L726&lt;&gt;""),P726*L726*100,"")</f>
        <v/>
      </c>
      <c r="T726" s="49" t="str">
        <f aca="false">IF(AND(Q726&lt;&gt;"",R726&lt;&gt;""),R726-Q726,"")</f>
        <v/>
      </c>
      <c r="U726" s="50" t="str">
        <f aca="false">IF(AND(Q726&lt;&gt;"",Q726&lt;&gt;0,T726&lt;&gt;""),T726/Q726,"")</f>
        <v/>
      </c>
      <c r="V726" s="51" t="str">
        <f aca="false">IF(AND(S726&lt;&gt;"",Q726&lt;&gt;""),S726-Q726,"")</f>
        <v/>
      </c>
      <c r="W726" s="52" t="str">
        <f aca="false">IF(AND(Q726&lt;&gt;"",Q726&lt;&gt;0,V726&lt;&gt;""),V726/Q726,"")</f>
        <v/>
      </c>
      <c r="X726" s="53" t="s">
        <v>37</v>
      </c>
      <c r="Y726" s="54" t="str">
        <f aca="false">IF(AND(O726&lt;&gt;"",M726&lt;&gt;"",O726&gt;M726),CONCATENATE("1 : ",TEXT((O726-M726)/M726,"0.00")),IF(AND(O726&lt;&gt;"",M726&lt;&gt;"",O726&lt;M726),CONCATENATE("-1 : ",TEXT((M726-O726)/M726,"0.00")),"—"))</f>
        <v>—</v>
      </c>
      <c r="Z726" s="55" t="str">
        <f aca="false">IF(AND(P726&lt;&gt;"",M726&lt;&gt;"",P726&gt;M726),CONCATENATE("1 : ",TEXT((P726-M726)/M726,"0.00")),"—")</f>
        <v>—</v>
      </c>
      <c r="AA726" s="56" t="str">
        <f aca="false">IF(AND(C726&lt;&gt;"",E726&lt;&gt;""),E726-C726,"")</f>
        <v/>
      </c>
      <c r="AB726" s="42"/>
      <c r="AC726" s="57"/>
      <c r="AD726" s="58"/>
      <c r="AE726" s="59" t="str">
        <f aca="false">IF(G726&lt;&gt;"",HYPERLINK("https://www.tradingview.com/chart/?symbol="&amp;G726&amp;"&amp;interval=60&amp;from="&amp;(AG726-10*3600)&amp;"&amp;to="&amp;(AG726+50*3600),"📈 1H"),"")</f>
        <v/>
      </c>
      <c r="AF726" s="60" t="str">
        <f aca="false">IF(G726&lt;&gt;"",HYPERLINK("https://www.tradingview.com/chart/?symbol="&amp;G726&amp;"&amp;interval=240&amp;from="&amp;(AG726-10*14400)&amp;"&amp;to="&amp;(AG726+50*14400),"📈 4H"),"")</f>
        <v/>
      </c>
      <c r="AG726" s="36" t="str">
        <f aca="false">IF(C726&lt;&gt;"",INT((C726+IF(D726&lt;&gt;"",D726,0)-DATE(1970,1,1))*86400),"")</f>
        <v/>
      </c>
    </row>
    <row r="727" customFormat="false" ht="19.5" hidden="false" customHeight="true" outlineLevel="0" collapsed="false">
      <c r="A727" s="12" t="n">
        <f aca="false">ROW()-4</f>
        <v>723</v>
      </c>
      <c r="B727" s="13"/>
      <c r="C727" s="14"/>
      <c r="D727" s="15"/>
      <c r="E727" s="14"/>
      <c r="F727" s="15"/>
      <c r="G727" s="16"/>
      <c r="H727" s="17"/>
      <c r="I727" s="18"/>
      <c r="J727" s="19"/>
      <c r="K727" s="14"/>
      <c r="L727" s="17"/>
      <c r="M727" s="19"/>
      <c r="N727" s="20"/>
      <c r="O727" s="19"/>
      <c r="P727" s="21"/>
      <c r="Q727" s="22" t="str">
        <f aca="false">IF(L727="","",IF(M727&lt;&gt;"",M727*L727*100,IF(AND(O727&lt;&gt;"",B727&lt;&gt;""),IFERROR(AVERAGEIF($B$5:$B$1004,B727,$M$5:$M$1004)*L727*100,""),"")))</f>
        <v/>
      </c>
      <c r="R727" s="22" t="str">
        <f aca="false">IF(AND(O727&lt;&gt;"",L727&lt;&gt;""),O727*L727*100,"")</f>
        <v/>
      </c>
      <c r="S727" s="23" t="str">
        <f aca="false">IF(AND(P727&lt;&gt;"",L727&lt;&gt;""),P727*L727*100,"")</f>
        <v/>
      </c>
      <c r="T727" s="24" t="str">
        <f aca="false">IF(AND(Q727&lt;&gt;"",R727&lt;&gt;""),R727-Q727,"")</f>
        <v/>
      </c>
      <c r="U727" s="25" t="str">
        <f aca="false">IF(AND(Q727&lt;&gt;"",Q727&lt;&gt;0,T727&lt;&gt;""),T727/Q727,"")</f>
        <v/>
      </c>
      <c r="V727" s="26" t="str">
        <f aca="false">IF(AND(S727&lt;&gt;"",Q727&lt;&gt;""),S727-Q727,"")</f>
        <v/>
      </c>
      <c r="W727" s="27" t="str">
        <f aca="false">IF(AND(Q727&lt;&gt;"",Q727&lt;&gt;0,V727&lt;&gt;""),V727/Q727,"")</f>
        <v/>
      </c>
      <c r="X727" s="28" t="s">
        <v>37</v>
      </c>
      <c r="Y727" s="29" t="str">
        <f aca="false">IF(AND(O727&lt;&gt;"",M727&lt;&gt;"",O727&gt;M727),CONCATENATE("1 : ",TEXT((O727-M727)/M727,"0.00")),IF(AND(O727&lt;&gt;"",M727&lt;&gt;"",O727&lt;M727),CONCATENATE("-1 : ",TEXT((M727-O727)/M727,"0.00")),"—"))</f>
        <v>—</v>
      </c>
      <c r="Z727" s="30" t="str">
        <f aca="false">IF(AND(P727&lt;&gt;"",M727&lt;&gt;"",P727&gt;M727),CONCATENATE("1 : ",TEXT((P727-M727)/M727,"0.00")),"—")</f>
        <v>—</v>
      </c>
      <c r="AA727" s="31" t="str">
        <f aca="false">IF(AND(C727&lt;&gt;"",E727&lt;&gt;""),E727-C727,"")</f>
        <v/>
      </c>
      <c r="AB727" s="17"/>
      <c r="AC727" s="32"/>
      <c r="AD727" s="33"/>
      <c r="AE727" s="34" t="str">
        <f aca="false">IF(G727&lt;&gt;"",HYPERLINK("https://www.tradingview.com/chart/?symbol="&amp;G727&amp;"&amp;interval=60&amp;from="&amp;(AG727-10*3600)&amp;"&amp;to="&amp;(AG727+50*3600),"📈 1H"),"")</f>
        <v/>
      </c>
      <c r="AF727" s="35" t="str">
        <f aca="false">IF(G727&lt;&gt;"",HYPERLINK("https://www.tradingview.com/chart/?symbol="&amp;G727&amp;"&amp;interval=240&amp;from="&amp;(AG727-10*14400)&amp;"&amp;to="&amp;(AG727+50*14400),"📈 4H"),"")</f>
        <v/>
      </c>
      <c r="AG727" s="36" t="str">
        <f aca="false">IF(C727&lt;&gt;"",INT((C727+IF(D727&lt;&gt;"",D727,0)-DATE(1970,1,1))*86400),"")</f>
        <v/>
      </c>
    </row>
    <row r="728" customFormat="false" ht="19.5" hidden="false" customHeight="true" outlineLevel="0" collapsed="false">
      <c r="A728" s="37" t="n">
        <f aca="false">ROW()-4</f>
        <v>724</v>
      </c>
      <c r="B728" s="38"/>
      <c r="C728" s="39"/>
      <c r="D728" s="40"/>
      <c r="E728" s="39"/>
      <c r="F728" s="40"/>
      <c r="G728" s="41"/>
      <c r="H728" s="42"/>
      <c r="I728" s="43"/>
      <c r="J728" s="44"/>
      <c r="K728" s="39"/>
      <c r="L728" s="42"/>
      <c r="M728" s="44"/>
      <c r="N728" s="45"/>
      <c r="O728" s="44"/>
      <c r="P728" s="46"/>
      <c r="Q728" s="47" t="str">
        <f aca="false">IF(L728="","",IF(M728&lt;&gt;"",M728*L728*100,IF(AND(O728&lt;&gt;"",B728&lt;&gt;""),IFERROR(AVERAGEIF($B$5:$B$1004,B728,$M$5:$M$1004)*L728*100,""),"")))</f>
        <v/>
      </c>
      <c r="R728" s="47" t="str">
        <f aca="false">IF(AND(O728&lt;&gt;"",L728&lt;&gt;""),O728*L728*100,"")</f>
        <v/>
      </c>
      <c r="S728" s="48" t="str">
        <f aca="false">IF(AND(P728&lt;&gt;"",L728&lt;&gt;""),P728*L728*100,"")</f>
        <v/>
      </c>
      <c r="T728" s="49" t="str">
        <f aca="false">IF(AND(Q728&lt;&gt;"",R728&lt;&gt;""),R728-Q728,"")</f>
        <v/>
      </c>
      <c r="U728" s="50" t="str">
        <f aca="false">IF(AND(Q728&lt;&gt;"",Q728&lt;&gt;0,T728&lt;&gt;""),T728/Q728,"")</f>
        <v/>
      </c>
      <c r="V728" s="51" t="str">
        <f aca="false">IF(AND(S728&lt;&gt;"",Q728&lt;&gt;""),S728-Q728,"")</f>
        <v/>
      </c>
      <c r="W728" s="52" t="str">
        <f aca="false">IF(AND(Q728&lt;&gt;"",Q728&lt;&gt;0,V728&lt;&gt;""),V728/Q728,"")</f>
        <v/>
      </c>
      <c r="X728" s="53" t="s">
        <v>37</v>
      </c>
      <c r="Y728" s="54" t="str">
        <f aca="false">IF(AND(O728&lt;&gt;"",M728&lt;&gt;"",O728&gt;M728),CONCATENATE("1 : ",TEXT((O728-M728)/M728,"0.00")),IF(AND(O728&lt;&gt;"",M728&lt;&gt;"",O728&lt;M728),CONCATENATE("-1 : ",TEXT((M728-O728)/M728,"0.00")),"—"))</f>
        <v>—</v>
      </c>
      <c r="Z728" s="55" t="str">
        <f aca="false">IF(AND(P728&lt;&gt;"",M728&lt;&gt;"",P728&gt;M728),CONCATENATE("1 : ",TEXT((P728-M728)/M728,"0.00")),"—")</f>
        <v>—</v>
      </c>
      <c r="AA728" s="56" t="str">
        <f aca="false">IF(AND(C728&lt;&gt;"",E728&lt;&gt;""),E728-C728,"")</f>
        <v/>
      </c>
      <c r="AB728" s="42"/>
      <c r="AC728" s="57"/>
      <c r="AD728" s="58"/>
      <c r="AE728" s="59" t="str">
        <f aca="false">IF(G728&lt;&gt;"",HYPERLINK("https://www.tradingview.com/chart/?symbol="&amp;G728&amp;"&amp;interval=60&amp;from="&amp;(AG728-10*3600)&amp;"&amp;to="&amp;(AG728+50*3600),"📈 1H"),"")</f>
        <v/>
      </c>
      <c r="AF728" s="60" t="str">
        <f aca="false">IF(G728&lt;&gt;"",HYPERLINK("https://www.tradingview.com/chart/?symbol="&amp;G728&amp;"&amp;interval=240&amp;from="&amp;(AG728-10*14400)&amp;"&amp;to="&amp;(AG728+50*14400),"📈 4H"),"")</f>
        <v/>
      </c>
      <c r="AG728" s="36" t="str">
        <f aca="false">IF(C728&lt;&gt;"",INT((C728+IF(D728&lt;&gt;"",D728,0)-DATE(1970,1,1))*86400),"")</f>
        <v/>
      </c>
    </row>
    <row r="729" customFormat="false" ht="19.5" hidden="false" customHeight="true" outlineLevel="0" collapsed="false">
      <c r="A729" s="12" t="n">
        <f aca="false">ROW()-4</f>
        <v>725</v>
      </c>
      <c r="B729" s="13"/>
      <c r="C729" s="14"/>
      <c r="D729" s="15"/>
      <c r="E729" s="14"/>
      <c r="F729" s="15"/>
      <c r="G729" s="16"/>
      <c r="H729" s="17"/>
      <c r="I729" s="18"/>
      <c r="J729" s="19"/>
      <c r="K729" s="14"/>
      <c r="L729" s="17"/>
      <c r="M729" s="19"/>
      <c r="N729" s="20"/>
      <c r="O729" s="19"/>
      <c r="P729" s="21"/>
      <c r="Q729" s="22" t="str">
        <f aca="false">IF(L729="","",IF(M729&lt;&gt;"",M729*L729*100,IF(AND(O729&lt;&gt;"",B729&lt;&gt;""),IFERROR(AVERAGEIF($B$5:$B$1004,B729,$M$5:$M$1004)*L729*100,""),"")))</f>
        <v/>
      </c>
      <c r="R729" s="22" t="str">
        <f aca="false">IF(AND(O729&lt;&gt;"",L729&lt;&gt;""),O729*L729*100,"")</f>
        <v/>
      </c>
      <c r="S729" s="23" t="str">
        <f aca="false">IF(AND(P729&lt;&gt;"",L729&lt;&gt;""),P729*L729*100,"")</f>
        <v/>
      </c>
      <c r="T729" s="24" t="str">
        <f aca="false">IF(AND(Q729&lt;&gt;"",R729&lt;&gt;""),R729-Q729,"")</f>
        <v/>
      </c>
      <c r="U729" s="25" t="str">
        <f aca="false">IF(AND(Q729&lt;&gt;"",Q729&lt;&gt;0,T729&lt;&gt;""),T729/Q729,"")</f>
        <v/>
      </c>
      <c r="V729" s="26" t="str">
        <f aca="false">IF(AND(S729&lt;&gt;"",Q729&lt;&gt;""),S729-Q729,"")</f>
        <v/>
      </c>
      <c r="W729" s="27" t="str">
        <f aca="false">IF(AND(Q729&lt;&gt;"",Q729&lt;&gt;0,V729&lt;&gt;""),V729/Q729,"")</f>
        <v/>
      </c>
      <c r="X729" s="28" t="s">
        <v>37</v>
      </c>
      <c r="Y729" s="29" t="str">
        <f aca="false">IF(AND(O729&lt;&gt;"",M729&lt;&gt;"",O729&gt;M729),CONCATENATE("1 : ",TEXT((O729-M729)/M729,"0.00")),IF(AND(O729&lt;&gt;"",M729&lt;&gt;"",O729&lt;M729),CONCATENATE("-1 : ",TEXT((M729-O729)/M729,"0.00")),"—"))</f>
        <v>—</v>
      </c>
      <c r="Z729" s="30" t="str">
        <f aca="false">IF(AND(P729&lt;&gt;"",M729&lt;&gt;"",P729&gt;M729),CONCATENATE("1 : ",TEXT((P729-M729)/M729,"0.00")),"—")</f>
        <v>—</v>
      </c>
      <c r="AA729" s="31" t="str">
        <f aca="false">IF(AND(C729&lt;&gt;"",E729&lt;&gt;""),E729-C729,"")</f>
        <v/>
      </c>
      <c r="AB729" s="17"/>
      <c r="AC729" s="32"/>
      <c r="AD729" s="33"/>
      <c r="AE729" s="34" t="str">
        <f aca="false">IF(G729&lt;&gt;"",HYPERLINK("https://www.tradingview.com/chart/?symbol="&amp;G729&amp;"&amp;interval=60&amp;from="&amp;(AG729-10*3600)&amp;"&amp;to="&amp;(AG729+50*3600),"📈 1H"),"")</f>
        <v/>
      </c>
      <c r="AF729" s="35" t="str">
        <f aca="false">IF(G729&lt;&gt;"",HYPERLINK("https://www.tradingview.com/chart/?symbol="&amp;G729&amp;"&amp;interval=240&amp;from="&amp;(AG729-10*14400)&amp;"&amp;to="&amp;(AG729+50*14400),"📈 4H"),"")</f>
        <v/>
      </c>
      <c r="AG729" s="36" t="str">
        <f aca="false">IF(C729&lt;&gt;"",INT((C729+IF(D729&lt;&gt;"",D729,0)-DATE(1970,1,1))*86400),"")</f>
        <v/>
      </c>
    </row>
    <row r="730" customFormat="false" ht="19.5" hidden="false" customHeight="true" outlineLevel="0" collapsed="false">
      <c r="A730" s="37" t="n">
        <f aca="false">ROW()-4</f>
        <v>726</v>
      </c>
      <c r="B730" s="38"/>
      <c r="C730" s="39"/>
      <c r="D730" s="40"/>
      <c r="E730" s="39"/>
      <c r="F730" s="40"/>
      <c r="G730" s="41"/>
      <c r="H730" s="42"/>
      <c r="I730" s="43"/>
      <c r="J730" s="44"/>
      <c r="K730" s="39"/>
      <c r="L730" s="42"/>
      <c r="M730" s="44"/>
      <c r="N730" s="45"/>
      <c r="O730" s="44"/>
      <c r="P730" s="46"/>
      <c r="Q730" s="47" t="str">
        <f aca="false">IF(L730="","",IF(M730&lt;&gt;"",M730*L730*100,IF(AND(O730&lt;&gt;"",B730&lt;&gt;""),IFERROR(AVERAGEIF($B$5:$B$1004,B730,$M$5:$M$1004)*L730*100,""),"")))</f>
        <v/>
      </c>
      <c r="R730" s="47" t="str">
        <f aca="false">IF(AND(O730&lt;&gt;"",L730&lt;&gt;""),O730*L730*100,"")</f>
        <v/>
      </c>
      <c r="S730" s="48" t="str">
        <f aca="false">IF(AND(P730&lt;&gt;"",L730&lt;&gt;""),P730*L730*100,"")</f>
        <v/>
      </c>
      <c r="T730" s="49" t="str">
        <f aca="false">IF(AND(Q730&lt;&gt;"",R730&lt;&gt;""),R730-Q730,"")</f>
        <v/>
      </c>
      <c r="U730" s="50" t="str">
        <f aca="false">IF(AND(Q730&lt;&gt;"",Q730&lt;&gt;0,T730&lt;&gt;""),T730/Q730,"")</f>
        <v/>
      </c>
      <c r="V730" s="51" t="str">
        <f aca="false">IF(AND(S730&lt;&gt;"",Q730&lt;&gt;""),S730-Q730,"")</f>
        <v/>
      </c>
      <c r="W730" s="52" t="str">
        <f aca="false">IF(AND(Q730&lt;&gt;"",Q730&lt;&gt;0,V730&lt;&gt;""),V730/Q730,"")</f>
        <v/>
      </c>
      <c r="X730" s="53" t="s">
        <v>37</v>
      </c>
      <c r="Y730" s="54" t="str">
        <f aca="false">IF(AND(O730&lt;&gt;"",M730&lt;&gt;"",O730&gt;M730),CONCATENATE("1 : ",TEXT((O730-M730)/M730,"0.00")),IF(AND(O730&lt;&gt;"",M730&lt;&gt;"",O730&lt;M730),CONCATENATE("-1 : ",TEXT((M730-O730)/M730,"0.00")),"—"))</f>
        <v>—</v>
      </c>
      <c r="Z730" s="55" t="str">
        <f aca="false">IF(AND(P730&lt;&gt;"",M730&lt;&gt;"",P730&gt;M730),CONCATENATE("1 : ",TEXT((P730-M730)/M730,"0.00")),"—")</f>
        <v>—</v>
      </c>
      <c r="AA730" s="56" t="str">
        <f aca="false">IF(AND(C730&lt;&gt;"",E730&lt;&gt;""),E730-C730,"")</f>
        <v/>
      </c>
      <c r="AB730" s="42"/>
      <c r="AC730" s="57"/>
      <c r="AD730" s="58"/>
      <c r="AE730" s="59" t="str">
        <f aca="false">IF(G730&lt;&gt;"",HYPERLINK("https://www.tradingview.com/chart/?symbol="&amp;G730&amp;"&amp;interval=60&amp;from="&amp;(AG730-10*3600)&amp;"&amp;to="&amp;(AG730+50*3600),"📈 1H"),"")</f>
        <v/>
      </c>
      <c r="AF730" s="60" t="str">
        <f aca="false">IF(G730&lt;&gt;"",HYPERLINK("https://www.tradingview.com/chart/?symbol="&amp;G730&amp;"&amp;interval=240&amp;from="&amp;(AG730-10*14400)&amp;"&amp;to="&amp;(AG730+50*14400),"📈 4H"),"")</f>
        <v/>
      </c>
      <c r="AG730" s="36" t="str">
        <f aca="false">IF(C730&lt;&gt;"",INT((C730+IF(D730&lt;&gt;"",D730,0)-DATE(1970,1,1))*86400),"")</f>
        <v/>
      </c>
    </row>
    <row r="731" customFormat="false" ht="19.5" hidden="false" customHeight="true" outlineLevel="0" collapsed="false">
      <c r="A731" s="12" t="n">
        <f aca="false">ROW()-4</f>
        <v>727</v>
      </c>
      <c r="B731" s="13"/>
      <c r="C731" s="14"/>
      <c r="D731" s="15"/>
      <c r="E731" s="14"/>
      <c r="F731" s="15"/>
      <c r="G731" s="16"/>
      <c r="H731" s="17"/>
      <c r="I731" s="18"/>
      <c r="J731" s="19"/>
      <c r="K731" s="14"/>
      <c r="L731" s="17"/>
      <c r="M731" s="19"/>
      <c r="N731" s="20"/>
      <c r="O731" s="19"/>
      <c r="P731" s="21"/>
      <c r="Q731" s="22" t="str">
        <f aca="false">IF(L731="","",IF(M731&lt;&gt;"",M731*L731*100,IF(AND(O731&lt;&gt;"",B731&lt;&gt;""),IFERROR(AVERAGEIF($B$5:$B$1004,B731,$M$5:$M$1004)*L731*100,""),"")))</f>
        <v/>
      </c>
      <c r="R731" s="22" t="str">
        <f aca="false">IF(AND(O731&lt;&gt;"",L731&lt;&gt;""),O731*L731*100,"")</f>
        <v/>
      </c>
      <c r="S731" s="23" t="str">
        <f aca="false">IF(AND(P731&lt;&gt;"",L731&lt;&gt;""),P731*L731*100,"")</f>
        <v/>
      </c>
      <c r="T731" s="24" t="str">
        <f aca="false">IF(AND(Q731&lt;&gt;"",R731&lt;&gt;""),R731-Q731,"")</f>
        <v/>
      </c>
      <c r="U731" s="25" t="str">
        <f aca="false">IF(AND(Q731&lt;&gt;"",Q731&lt;&gt;0,T731&lt;&gt;""),T731/Q731,"")</f>
        <v/>
      </c>
      <c r="V731" s="26" t="str">
        <f aca="false">IF(AND(S731&lt;&gt;"",Q731&lt;&gt;""),S731-Q731,"")</f>
        <v/>
      </c>
      <c r="W731" s="27" t="str">
        <f aca="false">IF(AND(Q731&lt;&gt;"",Q731&lt;&gt;0,V731&lt;&gt;""),V731/Q731,"")</f>
        <v/>
      </c>
      <c r="X731" s="28" t="s">
        <v>37</v>
      </c>
      <c r="Y731" s="29" t="str">
        <f aca="false">IF(AND(O731&lt;&gt;"",M731&lt;&gt;"",O731&gt;M731),CONCATENATE("1 : ",TEXT((O731-M731)/M731,"0.00")),IF(AND(O731&lt;&gt;"",M731&lt;&gt;"",O731&lt;M731),CONCATENATE("-1 : ",TEXT((M731-O731)/M731,"0.00")),"—"))</f>
        <v>—</v>
      </c>
      <c r="Z731" s="30" t="str">
        <f aca="false">IF(AND(P731&lt;&gt;"",M731&lt;&gt;"",P731&gt;M731),CONCATENATE("1 : ",TEXT((P731-M731)/M731,"0.00")),"—")</f>
        <v>—</v>
      </c>
      <c r="AA731" s="31" t="str">
        <f aca="false">IF(AND(C731&lt;&gt;"",E731&lt;&gt;""),E731-C731,"")</f>
        <v/>
      </c>
      <c r="AB731" s="17"/>
      <c r="AC731" s="32"/>
      <c r="AD731" s="33"/>
      <c r="AE731" s="34" t="str">
        <f aca="false">IF(G731&lt;&gt;"",HYPERLINK("https://www.tradingview.com/chart/?symbol="&amp;G731&amp;"&amp;interval=60&amp;from="&amp;(AG731-10*3600)&amp;"&amp;to="&amp;(AG731+50*3600),"📈 1H"),"")</f>
        <v/>
      </c>
      <c r="AF731" s="35" t="str">
        <f aca="false">IF(G731&lt;&gt;"",HYPERLINK("https://www.tradingview.com/chart/?symbol="&amp;G731&amp;"&amp;interval=240&amp;from="&amp;(AG731-10*14400)&amp;"&amp;to="&amp;(AG731+50*14400),"📈 4H"),"")</f>
        <v/>
      </c>
      <c r="AG731" s="36" t="str">
        <f aca="false">IF(C731&lt;&gt;"",INT((C731+IF(D731&lt;&gt;"",D731,0)-DATE(1970,1,1))*86400),"")</f>
        <v/>
      </c>
    </row>
    <row r="732" customFormat="false" ht="19.5" hidden="false" customHeight="true" outlineLevel="0" collapsed="false">
      <c r="A732" s="37" t="n">
        <f aca="false">ROW()-4</f>
        <v>728</v>
      </c>
      <c r="B732" s="38"/>
      <c r="C732" s="39"/>
      <c r="D732" s="40"/>
      <c r="E732" s="39"/>
      <c r="F732" s="40"/>
      <c r="G732" s="41"/>
      <c r="H732" s="42"/>
      <c r="I732" s="43"/>
      <c r="J732" s="44"/>
      <c r="K732" s="39"/>
      <c r="L732" s="42"/>
      <c r="M732" s="44"/>
      <c r="N732" s="45"/>
      <c r="O732" s="44"/>
      <c r="P732" s="46"/>
      <c r="Q732" s="47" t="str">
        <f aca="false">IF(L732="","",IF(M732&lt;&gt;"",M732*L732*100,IF(AND(O732&lt;&gt;"",B732&lt;&gt;""),IFERROR(AVERAGEIF($B$5:$B$1004,B732,$M$5:$M$1004)*L732*100,""),"")))</f>
        <v/>
      </c>
      <c r="R732" s="47" t="str">
        <f aca="false">IF(AND(O732&lt;&gt;"",L732&lt;&gt;""),O732*L732*100,"")</f>
        <v/>
      </c>
      <c r="S732" s="48" t="str">
        <f aca="false">IF(AND(P732&lt;&gt;"",L732&lt;&gt;""),P732*L732*100,"")</f>
        <v/>
      </c>
      <c r="T732" s="49" t="str">
        <f aca="false">IF(AND(Q732&lt;&gt;"",R732&lt;&gt;""),R732-Q732,"")</f>
        <v/>
      </c>
      <c r="U732" s="50" t="str">
        <f aca="false">IF(AND(Q732&lt;&gt;"",Q732&lt;&gt;0,T732&lt;&gt;""),T732/Q732,"")</f>
        <v/>
      </c>
      <c r="V732" s="51" t="str">
        <f aca="false">IF(AND(S732&lt;&gt;"",Q732&lt;&gt;""),S732-Q732,"")</f>
        <v/>
      </c>
      <c r="W732" s="52" t="str">
        <f aca="false">IF(AND(Q732&lt;&gt;"",Q732&lt;&gt;0,V732&lt;&gt;""),V732/Q732,"")</f>
        <v/>
      </c>
      <c r="X732" s="53" t="s">
        <v>37</v>
      </c>
      <c r="Y732" s="54" t="str">
        <f aca="false">IF(AND(O732&lt;&gt;"",M732&lt;&gt;"",O732&gt;M732),CONCATENATE("1 : ",TEXT((O732-M732)/M732,"0.00")),IF(AND(O732&lt;&gt;"",M732&lt;&gt;"",O732&lt;M732),CONCATENATE("-1 : ",TEXT((M732-O732)/M732,"0.00")),"—"))</f>
        <v>—</v>
      </c>
      <c r="Z732" s="55" t="str">
        <f aca="false">IF(AND(P732&lt;&gt;"",M732&lt;&gt;"",P732&gt;M732),CONCATENATE("1 : ",TEXT((P732-M732)/M732,"0.00")),"—")</f>
        <v>—</v>
      </c>
      <c r="AA732" s="56" t="str">
        <f aca="false">IF(AND(C732&lt;&gt;"",E732&lt;&gt;""),E732-C732,"")</f>
        <v/>
      </c>
      <c r="AB732" s="42"/>
      <c r="AC732" s="57"/>
      <c r="AD732" s="58"/>
      <c r="AE732" s="59" t="str">
        <f aca="false">IF(G732&lt;&gt;"",HYPERLINK("https://www.tradingview.com/chart/?symbol="&amp;G732&amp;"&amp;interval=60&amp;from="&amp;(AG732-10*3600)&amp;"&amp;to="&amp;(AG732+50*3600),"📈 1H"),"")</f>
        <v/>
      </c>
      <c r="AF732" s="60" t="str">
        <f aca="false">IF(G732&lt;&gt;"",HYPERLINK("https://www.tradingview.com/chart/?symbol="&amp;G732&amp;"&amp;interval=240&amp;from="&amp;(AG732-10*14400)&amp;"&amp;to="&amp;(AG732+50*14400),"📈 4H"),"")</f>
        <v/>
      </c>
      <c r="AG732" s="36" t="str">
        <f aca="false">IF(C732&lt;&gt;"",INT((C732+IF(D732&lt;&gt;"",D732,0)-DATE(1970,1,1))*86400),"")</f>
        <v/>
      </c>
    </row>
    <row r="733" customFormat="false" ht="19.5" hidden="false" customHeight="true" outlineLevel="0" collapsed="false">
      <c r="A733" s="12" t="n">
        <f aca="false">ROW()-4</f>
        <v>729</v>
      </c>
      <c r="B733" s="13"/>
      <c r="C733" s="14"/>
      <c r="D733" s="15"/>
      <c r="E733" s="14"/>
      <c r="F733" s="15"/>
      <c r="G733" s="16"/>
      <c r="H733" s="17"/>
      <c r="I733" s="18"/>
      <c r="J733" s="19"/>
      <c r="K733" s="14"/>
      <c r="L733" s="17"/>
      <c r="M733" s="19"/>
      <c r="N733" s="20"/>
      <c r="O733" s="19"/>
      <c r="P733" s="21"/>
      <c r="Q733" s="22" t="str">
        <f aca="false">IF(L733="","",IF(M733&lt;&gt;"",M733*L733*100,IF(AND(O733&lt;&gt;"",B733&lt;&gt;""),IFERROR(AVERAGEIF($B$5:$B$1004,B733,$M$5:$M$1004)*L733*100,""),"")))</f>
        <v/>
      </c>
      <c r="R733" s="22" t="str">
        <f aca="false">IF(AND(O733&lt;&gt;"",L733&lt;&gt;""),O733*L733*100,"")</f>
        <v/>
      </c>
      <c r="S733" s="23" t="str">
        <f aca="false">IF(AND(P733&lt;&gt;"",L733&lt;&gt;""),P733*L733*100,"")</f>
        <v/>
      </c>
      <c r="T733" s="24" t="str">
        <f aca="false">IF(AND(Q733&lt;&gt;"",R733&lt;&gt;""),R733-Q733,"")</f>
        <v/>
      </c>
      <c r="U733" s="25" t="str">
        <f aca="false">IF(AND(Q733&lt;&gt;"",Q733&lt;&gt;0,T733&lt;&gt;""),T733/Q733,"")</f>
        <v/>
      </c>
      <c r="V733" s="26" t="str">
        <f aca="false">IF(AND(S733&lt;&gt;"",Q733&lt;&gt;""),S733-Q733,"")</f>
        <v/>
      </c>
      <c r="W733" s="27" t="str">
        <f aca="false">IF(AND(Q733&lt;&gt;"",Q733&lt;&gt;0,V733&lt;&gt;""),V733/Q733,"")</f>
        <v/>
      </c>
      <c r="X733" s="28" t="s">
        <v>37</v>
      </c>
      <c r="Y733" s="29" t="str">
        <f aca="false">IF(AND(O733&lt;&gt;"",M733&lt;&gt;"",O733&gt;M733),CONCATENATE("1 : ",TEXT((O733-M733)/M733,"0.00")),IF(AND(O733&lt;&gt;"",M733&lt;&gt;"",O733&lt;M733),CONCATENATE("-1 : ",TEXT((M733-O733)/M733,"0.00")),"—"))</f>
        <v>—</v>
      </c>
      <c r="Z733" s="30" t="str">
        <f aca="false">IF(AND(P733&lt;&gt;"",M733&lt;&gt;"",P733&gt;M733),CONCATENATE("1 : ",TEXT((P733-M733)/M733,"0.00")),"—")</f>
        <v>—</v>
      </c>
      <c r="AA733" s="31" t="str">
        <f aca="false">IF(AND(C733&lt;&gt;"",E733&lt;&gt;""),E733-C733,"")</f>
        <v/>
      </c>
      <c r="AB733" s="17"/>
      <c r="AC733" s="32"/>
      <c r="AD733" s="33"/>
      <c r="AE733" s="34" t="str">
        <f aca="false">IF(G733&lt;&gt;"",HYPERLINK("https://www.tradingview.com/chart/?symbol="&amp;G733&amp;"&amp;interval=60&amp;from="&amp;(AG733-10*3600)&amp;"&amp;to="&amp;(AG733+50*3600),"📈 1H"),"")</f>
        <v/>
      </c>
      <c r="AF733" s="35" t="str">
        <f aca="false">IF(G733&lt;&gt;"",HYPERLINK("https://www.tradingview.com/chart/?symbol="&amp;G733&amp;"&amp;interval=240&amp;from="&amp;(AG733-10*14400)&amp;"&amp;to="&amp;(AG733+50*14400),"📈 4H"),"")</f>
        <v/>
      </c>
      <c r="AG733" s="36" t="str">
        <f aca="false">IF(C733&lt;&gt;"",INT((C733+IF(D733&lt;&gt;"",D733,0)-DATE(1970,1,1))*86400),"")</f>
        <v/>
      </c>
    </row>
    <row r="734" customFormat="false" ht="19.5" hidden="false" customHeight="true" outlineLevel="0" collapsed="false">
      <c r="A734" s="37" t="n">
        <f aca="false">ROW()-4</f>
        <v>730</v>
      </c>
      <c r="B734" s="38"/>
      <c r="C734" s="39"/>
      <c r="D734" s="40"/>
      <c r="E734" s="39"/>
      <c r="F734" s="40"/>
      <c r="G734" s="41"/>
      <c r="H734" s="42"/>
      <c r="I734" s="43"/>
      <c r="J734" s="44"/>
      <c r="K734" s="39"/>
      <c r="L734" s="42"/>
      <c r="M734" s="44"/>
      <c r="N734" s="45"/>
      <c r="O734" s="44"/>
      <c r="P734" s="46"/>
      <c r="Q734" s="47" t="str">
        <f aca="false">IF(L734="","",IF(M734&lt;&gt;"",M734*L734*100,IF(AND(O734&lt;&gt;"",B734&lt;&gt;""),IFERROR(AVERAGEIF($B$5:$B$1004,B734,$M$5:$M$1004)*L734*100,""),"")))</f>
        <v/>
      </c>
      <c r="R734" s="47" t="str">
        <f aca="false">IF(AND(O734&lt;&gt;"",L734&lt;&gt;""),O734*L734*100,"")</f>
        <v/>
      </c>
      <c r="S734" s="48" t="str">
        <f aca="false">IF(AND(P734&lt;&gt;"",L734&lt;&gt;""),P734*L734*100,"")</f>
        <v/>
      </c>
      <c r="T734" s="49" t="str">
        <f aca="false">IF(AND(Q734&lt;&gt;"",R734&lt;&gt;""),R734-Q734,"")</f>
        <v/>
      </c>
      <c r="U734" s="50" t="str">
        <f aca="false">IF(AND(Q734&lt;&gt;"",Q734&lt;&gt;0,T734&lt;&gt;""),T734/Q734,"")</f>
        <v/>
      </c>
      <c r="V734" s="51" t="str">
        <f aca="false">IF(AND(S734&lt;&gt;"",Q734&lt;&gt;""),S734-Q734,"")</f>
        <v/>
      </c>
      <c r="W734" s="52" t="str">
        <f aca="false">IF(AND(Q734&lt;&gt;"",Q734&lt;&gt;0,V734&lt;&gt;""),V734/Q734,"")</f>
        <v/>
      </c>
      <c r="X734" s="53" t="s">
        <v>37</v>
      </c>
      <c r="Y734" s="54" t="str">
        <f aca="false">IF(AND(O734&lt;&gt;"",M734&lt;&gt;"",O734&gt;M734),CONCATENATE("1 : ",TEXT((O734-M734)/M734,"0.00")),IF(AND(O734&lt;&gt;"",M734&lt;&gt;"",O734&lt;M734),CONCATENATE("-1 : ",TEXT((M734-O734)/M734,"0.00")),"—"))</f>
        <v>—</v>
      </c>
      <c r="Z734" s="55" t="str">
        <f aca="false">IF(AND(P734&lt;&gt;"",M734&lt;&gt;"",P734&gt;M734),CONCATENATE("1 : ",TEXT((P734-M734)/M734,"0.00")),"—")</f>
        <v>—</v>
      </c>
      <c r="AA734" s="56" t="str">
        <f aca="false">IF(AND(C734&lt;&gt;"",E734&lt;&gt;""),E734-C734,"")</f>
        <v/>
      </c>
      <c r="AB734" s="42"/>
      <c r="AC734" s="57"/>
      <c r="AD734" s="58"/>
      <c r="AE734" s="59" t="str">
        <f aca="false">IF(G734&lt;&gt;"",HYPERLINK("https://www.tradingview.com/chart/?symbol="&amp;G734&amp;"&amp;interval=60&amp;from="&amp;(AG734-10*3600)&amp;"&amp;to="&amp;(AG734+50*3600),"📈 1H"),"")</f>
        <v/>
      </c>
      <c r="AF734" s="60" t="str">
        <f aca="false">IF(G734&lt;&gt;"",HYPERLINK("https://www.tradingview.com/chart/?symbol="&amp;G734&amp;"&amp;interval=240&amp;from="&amp;(AG734-10*14400)&amp;"&amp;to="&amp;(AG734+50*14400),"📈 4H"),"")</f>
        <v/>
      </c>
      <c r="AG734" s="36" t="str">
        <f aca="false">IF(C734&lt;&gt;"",INT((C734+IF(D734&lt;&gt;"",D734,0)-DATE(1970,1,1))*86400),"")</f>
        <v/>
      </c>
    </row>
    <row r="735" customFormat="false" ht="19.5" hidden="false" customHeight="true" outlineLevel="0" collapsed="false">
      <c r="A735" s="12" t="n">
        <f aca="false">ROW()-4</f>
        <v>731</v>
      </c>
      <c r="B735" s="13"/>
      <c r="C735" s="14"/>
      <c r="D735" s="15"/>
      <c r="E735" s="14"/>
      <c r="F735" s="15"/>
      <c r="G735" s="16"/>
      <c r="H735" s="17"/>
      <c r="I735" s="18"/>
      <c r="J735" s="19"/>
      <c r="K735" s="14"/>
      <c r="L735" s="17"/>
      <c r="M735" s="19"/>
      <c r="N735" s="20"/>
      <c r="O735" s="19"/>
      <c r="P735" s="21"/>
      <c r="Q735" s="22" t="str">
        <f aca="false">IF(L735="","",IF(M735&lt;&gt;"",M735*L735*100,IF(AND(O735&lt;&gt;"",B735&lt;&gt;""),IFERROR(AVERAGEIF($B$5:$B$1004,B735,$M$5:$M$1004)*L735*100,""),"")))</f>
        <v/>
      </c>
      <c r="R735" s="22" t="str">
        <f aca="false">IF(AND(O735&lt;&gt;"",L735&lt;&gt;""),O735*L735*100,"")</f>
        <v/>
      </c>
      <c r="S735" s="23" t="str">
        <f aca="false">IF(AND(P735&lt;&gt;"",L735&lt;&gt;""),P735*L735*100,"")</f>
        <v/>
      </c>
      <c r="T735" s="24" t="str">
        <f aca="false">IF(AND(Q735&lt;&gt;"",R735&lt;&gt;""),R735-Q735,"")</f>
        <v/>
      </c>
      <c r="U735" s="25" t="str">
        <f aca="false">IF(AND(Q735&lt;&gt;"",Q735&lt;&gt;0,T735&lt;&gt;""),T735/Q735,"")</f>
        <v/>
      </c>
      <c r="V735" s="26" t="str">
        <f aca="false">IF(AND(S735&lt;&gt;"",Q735&lt;&gt;""),S735-Q735,"")</f>
        <v/>
      </c>
      <c r="W735" s="27" t="str">
        <f aca="false">IF(AND(Q735&lt;&gt;"",Q735&lt;&gt;0,V735&lt;&gt;""),V735/Q735,"")</f>
        <v/>
      </c>
      <c r="X735" s="28" t="s">
        <v>37</v>
      </c>
      <c r="Y735" s="29" t="str">
        <f aca="false">IF(AND(O735&lt;&gt;"",M735&lt;&gt;"",O735&gt;M735),CONCATENATE("1 : ",TEXT((O735-M735)/M735,"0.00")),IF(AND(O735&lt;&gt;"",M735&lt;&gt;"",O735&lt;M735),CONCATENATE("-1 : ",TEXT((M735-O735)/M735,"0.00")),"—"))</f>
        <v>—</v>
      </c>
      <c r="Z735" s="30" t="str">
        <f aca="false">IF(AND(P735&lt;&gt;"",M735&lt;&gt;"",P735&gt;M735),CONCATENATE("1 : ",TEXT((P735-M735)/M735,"0.00")),"—")</f>
        <v>—</v>
      </c>
      <c r="AA735" s="31" t="str">
        <f aca="false">IF(AND(C735&lt;&gt;"",E735&lt;&gt;""),E735-C735,"")</f>
        <v/>
      </c>
      <c r="AB735" s="17"/>
      <c r="AC735" s="32"/>
      <c r="AD735" s="33"/>
      <c r="AE735" s="34" t="str">
        <f aca="false">IF(G735&lt;&gt;"",HYPERLINK("https://www.tradingview.com/chart/?symbol="&amp;G735&amp;"&amp;interval=60&amp;from="&amp;(AG735-10*3600)&amp;"&amp;to="&amp;(AG735+50*3600),"📈 1H"),"")</f>
        <v/>
      </c>
      <c r="AF735" s="35" t="str">
        <f aca="false">IF(G735&lt;&gt;"",HYPERLINK("https://www.tradingview.com/chart/?symbol="&amp;G735&amp;"&amp;interval=240&amp;from="&amp;(AG735-10*14400)&amp;"&amp;to="&amp;(AG735+50*14400),"📈 4H"),"")</f>
        <v/>
      </c>
      <c r="AG735" s="36" t="str">
        <f aca="false">IF(C735&lt;&gt;"",INT((C735+IF(D735&lt;&gt;"",D735,0)-DATE(1970,1,1))*86400),"")</f>
        <v/>
      </c>
    </row>
    <row r="736" customFormat="false" ht="19.5" hidden="false" customHeight="true" outlineLevel="0" collapsed="false">
      <c r="A736" s="37" t="n">
        <f aca="false">ROW()-4</f>
        <v>732</v>
      </c>
      <c r="B736" s="38"/>
      <c r="C736" s="39"/>
      <c r="D736" s="40"/>
      <c r="E736" s="39"/>
      <c r="F736" s="40"/>
      <c r="G736" s="41"/>
      <c r="H736" s="42"/>
      <c r="I736" s="43"/>
      <c r="J736" s="44"/>
      <c r="K736" s="39"/>
      <c r="L736" s="42"/>
      <c r="M736" s="44"/>
      <c r="N736" s="45"/>
      <c r="O736" s="44"/>
      <c r="P736" s="46"/>
      <c r="Q736" s="47" t="str">
        <f aca="false">IF(L736="","",IF(M736&lt;&gt;"",M736*L736*100,IF(AND(O736&lt;&gt;"",B736&lt;&gt;""),IFERROR(AVERAGEIF($B$5:$B$1004,B736,$M$5:$M$1004)*L736*100,""),"")))</f>
        <v/>
      </c>
      <c r="R736" s="47" t="str">
        <f aca="false">IF(AND(O736&lt;&gt;"",L736&lt;&gt;""),O736*L736*100,"")</f>
        <v/>
      </c>
      <c r="S736" s="48" t="str">
        <f aca="false">IF(AND(P736&lt;&gt;"",L736&lt;&gt;""),P736*L736*100,"")</f>
        <v/>
      </c>
      <c r="T736" s="49" t="str">
        <f aca="false">IF(AND(Q736&lt;&gt;"",R736&lt;&gt;""),R736-Q736,"")</f>
        <v/>
      </c>
      <c r="U736" s="50" t="str">
        <f aca="false">IF(AND(Q736&lt;&gt;"",Q736&lt;&gt;0,T736&lt;&gt;""),T736/Q736,"")</f>
        <v/>
      </c>
      <c r="V736" s="51" t="str">
        <f aca="false">IF(AND(S736&lt;&gt;"",Q736&lt;&gt;""),S736-Q736,"")</f>
        <v/>
      </c>
      <c r="W736" s="52" t="str">
        <f aca="false">IF(AND(Q736&lt;&gt;"",Q736&lt;&gt;0,V736&lt;&gt;""),V736/Q736,"")</f>
        <v/>
      </c>
      <c r="X736" s="53" t="s">
        <v>37</v>
      </c>
      <c r="Y736" s="54" t="str">
        <f aca="false">IF(AND(O736&lt;&gt;"",M736&lt;&gt;"",O736&gt;M736),CONCATENATE("1 : ",TEXT((O736-M736)/M736,"0.00")),IF(AND(O736&lt;&gt;"",M736&lt;&gt;"",O736&lt;M736),CONCATENATE("-1 : ",TEXT((M736-O736)/M736,"0.00")),"—"))</f>
        <v>—</v>
      </c>
      <c r="Z736" s="55" t="str">
        <f aca="false">IF(AND(P736&lt;&gt;"",M736&lt;&gt;"",P736&gt;M736),CONCATENATE("1 : ",TEXT((P736-M736)/M736,"0.00")),"—")</f>
        <v>—</v>
      </c>
      <c r="AA736" s="56" t="str">
        <f aca="false">IF(AND(C736&lt;&gt;"",E736&lt;&gt;""),E736-C736,"")</f>
        <v/>
      </c>
      <c r="AB736" s="42"/>
      <c r="AC736" s="57"/>
      <c r="AD736" s="58"/>
      <c r="AE736" s="59" t="str">
        <f aca="false">IF(G736&lt;&gt;"",HYPERLINK("https://www.tradingview.com/chart/?symbol="&amp;G736&amp;"&amp;interval=60&amp;from="&amp;(AG736-10*3600)&amp;"&amp;to="&amp;(AG736+50*3600),"📈 1H"),"")</f>
        <v/>
      </c>
      <c r="AF736" s="60" t="str">
        <f aca="false">IF(G736&lt;&gt;"",HYPERLINK("https://www.tradingview.com/chart/?symbol="&amp;G736&amp;"&amp;interval=240&amp;from="&amp;(AG736-10*14400)&amp;"&amp;to="&amp;(AG736+50*14400),"📈 4H"),"")</f>
        <v/>
      </c>
      <c r="AG736" s="36" t="str">
        <f aca="false">IF(C736&lt;&gt;"",INT((C736+IF(D736&lt;&gt;"",D736,0)-DATE(1970,1,1))*86400),"")</f>
        <v/>
      </c>
    </row>
    <row r="737" customFormat="false" ht="19.5" hidden="false" customHeight="true" outlineLevel="0" collapsed="false">
      <c r="A737" s="12" t="n">
        <f aca="false">ROW()-4</f>
        <v>733</v>
      </c>
      <c r="B737" s="13"/>
      <c r="C737" s="14"/>
      <c r="D737" s="15"/>
      <c r="E737" s="14"/>
      <c r="F737" s="15"/>
      <c r="G737" s="16"/>
      <c r="H737" s="17"/>
      <c r="I737" s="18"/>
      <c r="J737" s="19"/>
      <c r="K737" s="14"/>
      <c r="L737" s="17"/>
      <c r="M737" s="19"/>
      <c r="N737" s="20"/>
      <c r="O737" s="19"/>
      <c r="P737" s="21"/>
      <c r="Q737" s="22" t="str">
        <f aca="false">IF(L737="","",IF(M737&lt;&gt;"",M737*L737*100,IF(AND(O737&lt;&gt;"",B737&lt;&gt;""),IFERROR(AVERAGEIF($B$5:$B$1004,B737,$M$5:$M$1004)*L737*100,""),"")))</f>
        <v/>
      </c>
      <c r="R737" s="22" t="str">
        <f aca="false">IF(AND(O737&lt;&gt;"",L737&lt;&gt;""),O737*L737*100,"")</f>
        <v/>
      </c>
      <c r="S737" s="23" t="str">
        <f aca="false">IF(AND(P737&lt;&gt;"",L737&lt;&gt;""),P737*L737*100,"")</f>
        <v/>
      </c>
      <c r="T737" s="24" t="str">
        <f aca="false">IF(AND(Q737&lt;&gt;"",R737&lt;&gt;""),R737-Q737,"")</f>
        <v/>
      </c>
      <c r="U737" s="25" t="str">
        <f aca="false">IF(AND(Q737&lt;&gt;"",Q737&lt;&gt;0,T737&lt;&gt;""),T737/Q737,"")</f>
        <v/>
      </c>
      <c r="V737" s="26" t="str">
        <f aca="false">IF(AND(S737&lt;&gt;"",Q737&lt;&gt;""),S737-Q737,"")</f>
        <v/>
      </c>
      <c r="W737" s="27" t="str">
        <f aca="false">IF(AND(Q737&lt;&gt;"",Q737&lt;&gt;0,V737&lt;&gt;""),V737/Q737,"")</f>
        <v/>
      </c>
      <c r="X737" s="28" t="s">
        <v>37</v>
      </c>
      <c r="Y737" s="29" t="str">
        <f aca="false">IF(AND(O737&lt;&gt;"",M737&lt;&gt;"",O737&gt;M737),CONCATENATE("1 : ",TEXT((O737-M737)/M737,"0.00")),IF(AND(O737&lt;&gt;"",M737&lt;&gt;"",O737&lt;M737),CONCATENATE("-1 : ",TEXT((M737-O737)/M737,"0.00")),"—"))</f>
        <v>—</v>
      </c>
      <c r="Z737" s="30" t="str">
        <f aca="false">IF(AND(P737&lt;&gt;"",M737&lt;&gt;"",P737&gt;M737),CONCATENATE("1 : ",TEXT((P737-M737)/M737,"0.00")),"—")</f>
        <v>—</v>
      </c>
      <c r="AA737" s="31" t="str">
        <f aca="false">IF(AND(C737&lt;&gt;"",E737&lt;&gt;""),E737-C737,"")</f>
        <v/>
      </c>
      <c r="AB737" s="17"/>
      <c r="AC737" s="32"/>
      <c r="AD737" s="33"/>
      <c r="AE737" s="34" t="str">
        <f aca="false">IF(G737&lt;&gt;"",HYPERLINK("https://www.tradingview.com/chart/?symbol="&amp;G737&amp;"&amp;interval=60&amp;from="&amp;(AG737-10*3600)&amp;"&amp;to="&amp;(AG737+50*3600),"📈 1H"),"")</f>
        <v/>
      </c>
      <c r="AF737" s="35" t="str">
        <f aca="false">IF(G737&lt;&gt;"",HYPERLINK("https://www.tradingview.com/chart/?symbol="&amp;G737&amp;"&amp;interval=240&amp;from="&amp;(AG737-10*14400)&amp;"&amp;to="&amp;(AG737+50*14400),"📈 4H"),"")</f>
        <v/>
      </c>
      <c r="AG737" s="36" t="str">
        <f aca="false">IF(C737&lt;&gt;"",INT((C737+IF(D737&lt;&gt;"",D737,0)-DATE(1970,1,1))*86400),"")</f>
        <v/>
      </c>
    </row>
    <row r="738" customFormat="false" ht="19.5" hidden="false" customHeight="true" outlineLevel="0" collapsed="false">
      <c r="A738" s="37" t="n">
        <f aca="false">ROW()-4</f>
        <v>734</v>
      </c>
      <c r="B738" s="38"/>
      <c r="C738" s="39"/>
      <c r="D738" s="40"/>
      <c r="E738" s="39"/>
      <c r="F738" s="40"/>
      <c r="G738" s="41"/>
      <c r="H738" s="42"/>
      <c r="I738" s="43"/>
      <c r="J738" s="44"/>
      <c r="K738" s="39"/>
      <c r="L738" s="42"/>
      <c r="M738" s="44"/>
      <c r="N738" s="45"/>
      <c r="O738" s="44"/>
      <c r="P738" s="46"/>
      <c r="Q738" s="47" t="str">
        <f aca="false">IF(L738="","",IF(M738&lt;&gt;"",M738*L738*100,IF(AND(O738&lt;&gt;"",B738&lt;&gt;""),IFERROR(AVERAGEIF($B$5:$B$1004,B738,$M$5:$M$1004)*L738*100,""),"")))</f>
        <v/>
      </c>
      <c r="R738" s="47" t="str">
        <f aca="false">IF(AND(O738&lt;&gt;"",L738&lt;&gt;""),O738*L738*100,"")</f>
        <v/>
      </c>
      <c r="S738" s="48" t="str">
        <f aca="false">IF(AND(P738&lt;&gt;"",L738&lt;&gt;""),P738*L738*100,"")</f>
        <v/>
      </c>
      <c r="T738" s="49" t="str">
        <f aca="false">IF(AND(Q738&lt;&gt;"",R738&lt;&gt;""),R738-Q738,"")</f>
        <v/>
      </c>
      <c r="U738" s="50" t="str">
        <f aca="false">IF(AND(Q738&lt;&gt;"",Q738&lt;&gt;0,T738&lt;&gt;""),T738/Q738,"")</f>
        <v/>
      </c>
      <c r="V738" s="51" t="str">
        <f aca="false">IF(AND(S738&lt;&gt;"",Q738&lt;&gt;""),S738-Q738,"")</f>
        <v/>
      </c>
      <c r="W738" s="52" t="str">
        <f aca="false">IF(AND(Q738&lt;&gt;"",Q738&lt;&gt;0,V738&lt;&gt;""),V738/Q738,"")</f>
        <v/>
      </c>
      <c r="X738" s="53" t="s">
        <v>37</v>
      </c>
      <c r="Y738" s="54" t="str">
        <f aca="false">IF(AND(O738&lt;&gt;"",M738&lt;&gt;"",O738&gt;M738),CONCATENATE("1 : ",TEXT((O738-M738)/M738,"0.00")),IF(AND(O738&lt;&gt;"",M738&lt;&gt;"",O738&lt;M738),CONCATENATE("-1 : ",TEXT((M738-O738)/M738,"0.00")),"—"))</f>
        <v>—</v>
      </c>
      <c r="Z738" s="55" t="str">
        <f aca="false">IF(AND(P738&lt;&gt;"",M738&lt;&gt;"",P738&gt;M738),CONCATENATE("1 : ",TEXT((P738-M738)/M738,"0.00")),"—")</f>
        <v>—</v>
      </c>
      <c r="AA738" s="56" t="str">
        <f aca="false">IF(AND(C738&lt;&gt;"",E738&lt;&gt;""),E738-C738,"")</f>
        <v/>
      </c>
      <c r="AB738" s="42"/>
      <c r="AC738" s="57"/>
      <c r="AD738" s="58"/>
      <c r="AE738" s="59" t="str">
        <f aca="false">IF(G738&lt;&gt;"",HYPERLINK("https://www.tradingview.com/chart/?symbol="&amp;G738&amp;"&amp;interval=60&amp;from="&amp;(AG738-10*3600)&amp;"&amp;to="&amp;(AG738+50*3600),"📈 1H"),"")</f>
        <v/>
      </c>
      <c r="AF738" s="60" t="str">
        <f aca="false">IF(G738&lt;&gt;"",HYPERLINK("https://www.tradingview.com/chart/?symbol="&amp;G738&amp;"&amp;interval=240&amp;from="&amp;(AG738-10*14400)&amp;"&amp;to="&amp;(AG738+50*14400),"📈 4H"),"")</f>
        <v/>
      </c>
      <c r="AG738" s="36" t="str">
        <f aca="false">IF(C738&lt;&gt;"",INT((C738+IF(D738&lt;&gt;"",D738,0)-DATE(1970,1,1))*86400),"")</f>
        <v/>
      </c>
    </row>
    <row r="739" customFormat="false" ht="19.5" hidden="false" customHeight="true" outlineLevel="0" collapsed="false">
      <c r="A739" s="12" t="n">
        <f aca="false">ROW()-4</f>
        <v>735</v>
      </c>
      <c r="B739" s="13"/>
      <c r="C739" s="14"/>
      <c r="D739" s="15"/>
      <c r="E739" s="14"/>
      <c r="F739" s="15"/>
      <c r="G739" s="16"/>
      <c r="H739" s="17"/>
      <c r="I739" s="18"/>
      <c r="J739" s="19"/>
      <c r="K739" s="14"/>
      <c r="L739" s="17"/>
      <c r="M739" s="19"/>
      <c r="N739" s="20"/>
      <c r="O739" s="19"/>
      <c r="P739" s="21"/>
      <c r="Q739" s="22" t="str">
        <f aca="false">IF(L739="","",IF(M739&lt;&gt;"",M739*L739*100,IF(AND(O739&lt;&gt;"",B739&lt;&gt;""),IFERROR(AVERAGEIF($B$5:$B$1004,B739,$M$5:$M$1004)*L739*100,""),"")))</f>
        <v/>
      </c>
      <c r="R739" s="22" t="str">
        <f aca="false">IF(AND(O739&lt;&gt;"",L739&lt;&gt;""),O739*L739*100,"")</f>
        <v/>
      </c>
      <c r="S739" s="23" t="str">
        <f aca="false">IF(AND(P739&lt;&gt;"",L739&lt;&gt;""),P739*L739*100,"")</f>
        <v/>
      </c>
      <c r="T739" s="24" t="str">
        <f aca="false">IF(AND(Q739&lt;&gt;"",R739&lt;&gt;""),R739-Q739,"")</f>
        <v/>
      </c>
      <c r="U739" s="25" t="str">
        <f aca="false">IF(AND(Q739&lt;&gt;"",Q739&lt;&gt;0,T739&lt;&gt;""),T739/Q739,"")</f>
        <v/>
      </c>
      <c r="V739" s="26" t="str">
        <f aca="false">IF(AND(S739&lt;&gt;"",Q739&lt;&gt;""),S739-Q739,"")</f>
        <v/>
      </c>
      <c r="W739" s="27" t="str">
        <f aca="false">IF(AND(Q739&lt;&gt;"",Q739&lt;&gt;0,V739&lt;&gt;""),V739/Q739,"")</f>
        <v/>
      </c>
      <c r="X739" s="28" t="s">
        <v>37</v>
      </c>
      <c r="Y739" s="29" t="str">
        <f aca="false">IF(AND(O739&lt;&gt;"",M739&lt;&gt;"",O739&gt;M739),CONCATENATE("1 : ",TEXT((O739-M739)/M739,"0.00")),IF(AND(O739&lt;&gt;"",M739&lt;&gt;"",O739&lt;M739),CONCATENATE("-1 : ",TEXT((M739-O739)/M739,"0.00")),"—"))</f>
        <v>—</v>
      </c>
      <c r="Z739" s="30" t="str">
        <f aca="false">IF(AND(P739&lt;&gt;"",M739&lt;&gt;"",P739&gt;M739),CONCATENATE("1 : ",TEXT((P739-M739)/M739,"0.00")),"—")</f>
        <v>—</v>
      </c>
      <c r="AA739" s="31" t="str">
        <f aca="false">IF(AND(C739&lt;&gt;"",E739&lt;&gt;""),E739-C739,"")</f>
        <v/>
      </c>
      <c r="AB739" s="17"/>
      <c r="AC739" s="32"/>
      <c r="AD739" s="33"/>
      <c r="AE739" s="34" t="str">
        <f aca="false">IF(G739&lt;&gt;"",HYPERLINK("https://www.tradingview.com/chart/?symbol="&amp;G739&amp;"&amp;interval=60&amp;from="&amp;(AG739-10*3600)&amp;"&amp;to="&amp;(AG739+50*3600),"📈 1H"),"")</f>
        <v/>
      </c>
      <c r="AF739" s="35" t="str">
        <f aca="false">IF(G739&lt;&gt;"",HYPERLINK("https://www.tradingview.com/chart/?symbol="&amp;G739&amp;"&amp;interval=240&amp;from="&amp;(AG739-10*14400)&amp;"&amp;to="&amp;(AG739+50*14400),"📈 4H"),"")</f>
        <v/>
      </c>
      <c r="AG739" s="36" t="str">
        <f aca="false">IF(C739&lt;&gt;"",INT((C739+IF(D739&lt;&gt;"",D739,0)-DATE(1970,1,1))*86400),"")</f>
        <v/>
      </c>
    </row>
    <row r="740" customFormat="false" ht="19.5" hidden="false" customHeight="true" outlineLevel="0" collapsed="false">
      <c r="A740" s="37" t="n">
        <f aca="false">ROW()-4</f>
        <v>736</v>
      </c>
      <c r="B740" s="38"/>
      <c r="C740" s="39"/>
      <c r="D740" s="40"/>
      <c r="E740" s="39"/>
      <c r="F740" s="40"/>
      <c r="G740" s="41"/>
      <c r="H740" s="42"/>
      <c r="I740" s="43"/>
      <c r="J740" s="44"/>
      <c r="K740" s="39"/>
      <c r="L740" s="42"/>
      <c r="M740" s="44"/>
      <c r="N740" s="45"/>
      <c r="O740" s="44"/>
      <c r="P740" s="46"/>
      <c r="Q740" s="47" t="str">
        <f aca="false">IF(L740="","",IF(M740&lt;&gt;"",M740*L740*100,IF(AND(O740&lt;&gt;"",B740&lt;&gt;""),IFERROR(AVERAGEIF($B$5:$B$1004,B740,$M$5:$M$1004)*L740*100,""),"")))</f>
        <v/>
      </c>
      <c r="R740" s="47" t="str">
        <f aca="false">IF(AND(O740&lt;&gt;"",L740&lt;&gt;""),O740*L740*100,"")</f>
        <v/>
      </c>
      <c r="S740" s="48" t="str">
        <f aca="false">IF(AND(P740&lt;&gt;"",L740&lt;&gt;""),P740*L740*100,"")</f>
        <v/>
      </c>
      <c r="T740" s="49" t="str">
        <f aca="false">IF(AND(Q740&lt;&gt;"",R740&lt;&gt;""),R740-Q740,"")</f>
        <v/>
      </c>
      <c r="U740" s="50" t="str">
        <f aca="false">IF(AND(Q740&lt;&gt;"",Q740&lt;&gt;0,T740&lt;&gt;""),T740/Q740,"")</f>
        <v/>
      </c>
      <c r="V740" s="51" t="str">
        <f aca="false">IF(AND(S740&lt;&gt;"",Q740&lt;&gt;""),S740-Q740,"")</f>
        <v/>
      </c>
      <c r="W740" s="52" t="str">
        <f aca="false">IF(AND(Q740&lt;&gt;"",Q740&lt;&gt;0,V740&lt;&gt;""),V740/Q740,"")</f>
        <v/>
      </c>
      <c r="X740" s="53" t="s">
        <v>37</v>
      </c>
      <c r="Y740" s="54" t="str">
        <f aca="false">IF(AND(O740&lt;&gt;"",M740&lt;&gt;"",O740&gt;M740),CONCATENATE("1 : ",TEXT((O740-M740)/M740,"0.00")),IF(AND(O740&lt;&gt;"",M740&lt;&gt;"",O740&lt;M740),CONCATENATE("-1 : ",TEXT((M740-O740)/M740,"0.00")),"—"))</f>
        <v>—</v>
      </c>
      <c r="Z740" s="55" t="str">
        <f aca="false">IF(AND(P740&lt;&gt;"",M740&lt;&gt;"",P740&gt;M740),CONCATENATE("1 : ",TEXT((P740-M740)/M740,"0.00")),"—")</f>
        <v>—</v>
      </c>
      <c r="AA740" s="56" t="str">
        <f aca="false">IF(AND(C740&lt;&gt;"",E740&lt;&gt;""),E740-C740,"")</f>
        <v/>
      </c>
      <c r="AB740" s="42"/>
      <c r="AC740" s="57"/>
      <c r="AD740" s="58"/>
      <c r="AE740" s="59" t="str">
        <f aca="false">IF(G740&lt;&gt;"",HYPERLINK("https://www.tradingview.com/chart/?symbol="&amp;G740&amp;"&amp;interval=60&amp;from="&amp;(AG740-10*3600)&amp;"&amp;to="&amp;(AG740+50*3600),"📈 1H"),"")</f>
        <v/>
      </c>
      <c r="AF740" s="60" t="str">
        <f aca="false">IF(G740&lt;&gt;"",HYPERLINK("https://www.tradingview.com/chart/?symbol="&amp;G740&amp;"&amp;interval=240&amp;from="&amp;(AG740-10*14400)&amp;"&amp;to="&amp;(AG740+50*14400),"📈 4H"),"")</f>
        <v/>
      </c>
      <c r="AG740" s="36" t="str">
        <f aca="false">IF(C740&lt;&gt;"",INT((C740+IF(D740&lt;&gt;"",D740,0)-DATE(1970,1,1))*86400),"")</f>
        <v/>
      </c>
    </row>
    <row r="741" customFormat="false" ht="19.5" hidden="false" customHeight="true" outlineLevel="0" collapsed="false">
      <c r="A741" s="12" t="n">
        <f aca="false">ROW()-4</f>
        <v>737</v>
      </c>
      <c r="B741" s="13"/>
      <c r="C741" s="14"/>
      <c r="D741" s="15"/>
      <c r="E741" s="14"/>
      <c r="F741" s="15"/>
      <c r="G741" s="16"/>
      <c r="H741" s="17"/>
      <c r="I741" s="18"/>
      <c r="J741" s="19"/>
      <c r="K741" s="14"/>
      <c r="L741" s="17"/>
      <c r="M741" s="19"/>
      <c r="N741" s="20"/>
      <c r="O741" s="19"/>
      <c r="P741" s="21"/>
      <c r="Q741" s="22" t="str">
        <f aca="false">IF(L741="","",IF(M741&lt;&gt;"",M741*L741*100,IF(AND(O741&lt;&gt;"",B741&lt;&gt;""),IFERROR(AVERAGEIF($B$5:$B$1004,B741,$M$5:$M$1004)*L741*100,""),"")))</f>
        <v/>
      </c>
      <c r="R741" s="22" t="str">
        <f aca="false">IF(AND(O741&lt;&gt;"",L741&lt;&gt;""),O741*L741*100,"")</f>
        <v/>
      </c>
      <c r="S741" s="23" t="str">
        <f aca="false">IF(AND(P741&lt;&gt;"",L741&lt;&gt;""),P741*L741*100,"")</f>
        <v/>
      </c>
      <c r="T741" s="24" t="str">
        <f aca="false">IF(AND(Q741&lt;&gt;"",R741&lt;&gt;""),R741-Q741,"")</f>
        <v/>
      </c>
      <c r="U741" s="25" t="str">
        <f aca="false">IF(AND(Q741&lt;&gt;"",Q741&lt;&gt;0,T741&lt;&gt;""),T741/Q741,"")</f>
        <v/>
      </c>
      <c r="V741" s="26" t="str">
        <f aca="false">IF(AND(S741&lt;&gt;"",Q741&lt;&gt;""),S741-Q741,"")</f>
        <v/>
      </c>
      <c r="W741" s="27" t="str">
        <f aca="false">IF(AND(Q741&lt;&gt;"",Q741&lt;&gt;0,V741&lt;&gt;""),V741/Q741,"")</f>
        <v/>
      </c>
      <c r="X741" s="28" t="s">
        <v>37</v>
      </c>
      <c r="Y741" s="29" t="str">
        <f aca="false">IF(AND(O741&lt;&gt;"",M741&lt;&gt;"",O741&gt;M741),CONCATENATE("1 : ",TEXT((O741-M741)/M741,"0.00")),IF(AND(O741&lt;&gt;"",M741&lt;&gt;"",O741&lt;M741),CONCATENATE("-1 : ",TEXT((M741-O741)/M741,"0.00")),"—"))</f>
        <v>—</v>
      </c>
      <c r="Z741" s="30" t="str">
        <f aca="false">IF(AND(P741&lt;&gt;"",M741&lt;&gt;"",P741&gt;M741),CONCATENATE("1 : ",TEXT((P741-M741)/M741,"0.00")),"—")</f>
        <v>—</v>
      </c>
      <c r="AA741" s="31" t="str">
        <f aca="false">IF(AND(C741&lt;&gt;"",E741&lt;&gt;""),E741-C741,"")</f>
        <v/>
      </c>
      <c r="AB741" s="17"/>
      <c r="AC741" s="32"/>
      <c r="AD741" s="33"/>
      <c r="AE741" s="34" t="str">
        <f aca="false">IF(G741&lt;&gt;"",HYPERLINK("https://www.tradingview.com/chart/?symbol="&amp;G741&amp;"&amp;interval=60&amp;from="&amp;(AG741-10*3600)&amp;"&amp;to="&amp;(AG741+50*3600),"📈 1H"),"")</f>
        <v/>
      </c>
      <c r="AF741" s="35" t="str">
        <f aca="false">IF(G741&lt;&gt;"",HYPERLINK("https://www.tradingview.com/chart/?symbol="&amp;G741&amp;"&amp;interval=240&amp;from="&amp;(AG741-10*14400)&amp;"&amp;to="&amp;(AG741+50*14400),"📈 4H"),"")</f>
        <v/>
      </c>
      <c r="AG741" s="36" t="str">
        <f aca="false">IF(C741&lt;&gt;"",INT((C741+IF(D741&lt;&gt;"",D741,0)-DATE(1970,1,1))*86400),"")</f>
        <v/>
      </c>
    </row>
    <row r="742" customFormat="false" ht="19.5" hidden="false" customHeight="true" outlineLevel="0" collapsed="false">
      <c r="A742" s="37" t="n">
        <f aca="false">ROW()-4</f>
        <v>738</v>
      </c>
      <c r="B742" s="38"/>
      <c r="C742" s="39"/>
      <c r="D742" s="40"/>
      <c r="E742" s="39"/>
      <c r="F742" s="40"/>
      <c r="G742" s="41"/>
      <c r="H742" s="42"/>
      <c r="I742" s="43"/>
      <c r="J742" s="44"/>
      <c r="K742" s="39"/>
      <c r="L742" s="42"/>
      <c r="M742" s="44"/>
      <c r="N742" s="45"/>
      <c r="O742" s="44"/>
      <c r="P742" s="46"/>
      <c r="Q742" s="47" t="str">
        <f aca="false">IF(L742="","",IF(M742&lt;&gt;"",M742*L742*100,IF(AND(O742&lt;&gt;"",B742&lt;&gt;""),IFERROR(AVERAGEIF($B$5:$B$1004,B742,$M$5:$M$1004)*L742*100,""),"")))</f>
        <v/>
      </c>
      <c r="R742" s="47" t="str">
        <f aca="false">IF(AND(O742&lt;&gt;"",L742&lt;&gt;""),O742*L742*100,"")</f>
        <v/>
      </c>
      <c r="S742" s="48" t="str">
        <f aca="false">IF(AND(P742&lt;&gt;"",L742&lt;&gt;""),P742*L742*100,"")</f>
        <v/>
      </c>
      <c r="T742" s="49" t="str">
        <f aca="false">IF(AND(Q742&lt;&gt;"",R742&lt;&gt;""),R742-Q742,"")</f>
        <v/>
      </c>
      <c r="U742" s="50" t="str">
        <f aca="false">IF(AND(Q742&lt;&gt;"",Q742&lt;&gt;0,T742&lt;&gt;""),T742/Q742,"")</f>
        <v/>
      </c>
      <c r="V742" s="51" t="str">
        <f aca="false">IF(AND(S742&lt;&gt;"",Q742&lt;&gt;""),S742-Q742,"")</f>
        <v/>
      </c>
      <c r="W742" s="52" t="str">
        <f aca="false">IF(AND(Q742&lt;&gt;"",Q742&lt;&gt;0,V742&lt;&gt;""),V742/Q742,"")</f>
        <v/>
      </c>
      <c r="X742" s="53" t="s">
        <v>37</v>
      </c>
      <c r="Y742" s="54" t="str">
        <f aca="false">IF(AND(O742&lt;&gt;"",M742&lt;&gt;"",O742&gt;M742),CONCATENATE("1 : ",TEXT((O742-M742)/M742,"0.00")),IF(AND(O742&lt;&gt;"",M742&lt;&gt;"",O742&lt;M742),CONCATENATE("-1 : ",TEXT((M742-O742)/M742,"0.00")),"—"))</f>
        <v>—</v>
      </c>
      <c r="Z742" s="55" t="str">
        <f aca="false">IF(AND(P742&lt;&gt;"",M742&lt;&gt;"",P742&gt;M742),CONCATENATE("1 : ",TEXT((P742-M742)/M742,"0.00")),"—")</f>
        <v>—</v>
      </c>
      <c r="AA742" s="56" t="str">
        <f aca="false">IF(AND(C742&lt;&gt;"",E742&lt;&gt;""),E742-C742,"")</f>
        <v/>
      </c>
      <c r="AB742" s="42"/>
      <c r="AC742" s="57"/>
      <c r="AD742" s="58"/>
      <c r="AE742" s="59" t="str">
        <f aca="false">IF(G742&lt;&gt;"",HYPERLINK("https://www.tradingview.com/chart/?symbol="&amp;G742&amp;"&amp;interval=60&amp;from="&amp;(AG742-10*3600)&amp;"&amp;to="&amp;(AG742+50*3600),"📈 1H"),"")</f>
        <v/>
      </c>
      <c r="AF742" s="60" t="str">
        <f aca="false">IF(G742&lt;&gt;"",HYPERLINK("https://www.tradingview.com/chart/?symbol="&amp;G742&amp;"&amp;interval=240&amp;from="&amp;(AG742-10*14400)&amp;"&amp;to="&amp;(AG742+50*14400),"📈 4H"),"")</f>
        <v/>
      </c>
      <c r="AG742" s="36" t="str">
        <f aca="false">IF(C742&lt;&gt;"",INT((C742+IF(D742&lt;&gt;"",D742,0)-DATE(1970,1,1))*86400),"")</f>
        <v/>
      </c>
    </row>
    <row r="743" customFormat="false" ht="19.5" hidden="false" customHeight="true" outlineLevel="0" collapsed="false">
      <c r="A743" s="12" t="n">
        <f aca="false">ROW()-4</f>
        <v>739</v>
      </c>
      <c r="B743" s="13"/>
      <c r="C743" s="14"/>
      <c r="D743" s="15"/>
      <c r="E743" s="14"/>
      <c r="F743" s="15"/>
      <c r="G743" s="16"/>
      <c r="H743" s="17"/>
      <c r="I743" s="18"/>
      <c r="J743" s="19"/>
      <c r="K743" s="14"/>
      <c r="L743" s="17"/>
      <c r="M743" s="19"/>
      <c r="N743" s="20"/>
      <c r="O743" s="19"/>
      <c r="P743" s="21"/>
      <c r="Q743" s="22" t="str">
        <f aca="false">IF(L743="","",IF(M743&lt;&gt;"",M743*L743*100,IF(AND(O743&lt;&gt;"",B743&lt;&gt;""),IFERROR(AVERAGEIF($B$5:$B$1004,B743,$M$5:$M$1004)*L743*100,""),"")))</f>
        <v/>
      </c>
      <c r="R743" s="22" t="str">
        <f aca="false">IF(AND(O743&lt;&gt;"",L743&lt;&gt;""),O743*L743*100,"")</f>
        <v/>
      </c>
      <c r="S743" s="23" t="str">
        <f aca="false">IF(AND(P743&lt;&gt;"",L743&lt;&gt;""),P743*L743*100,"")</f>
        <v/>
      </c>
      <c r="T743" s="24" t="str">
        <f aca="false">IF(AND(Q743&lt;&gt;"",R743&lt;&gt;""),R743-Q743,"")</f>
        <v/>
      </c>
      <c r="U743" s="25" t="str">
        <f aca="false">IF(AND(Q743&lt;&gt;"",Q743&lt;&gt;0,T743&lt;&gt;""),T743/Q743,"")</f>
        <v/>
      </c>
      <c r="V743" s="26" t="str">
        <f aca="false">IF(AND(S743&lt;&gt;"",Q743&lt;&gt;""),S743-Q743,"")</f>
        <v/>
      </c>
      <c r="W743" s="27" t="str">
        <f aca="false">IF(AND(Q743&lt;&gt;"",Q743&lt;&gt;0,V743&lt;&gt;""),V743/Q743,"")</f>
        <v/>
      </c>
      <c r="X743" s="28" t="s">
        <v>37</v>
      </c>
      <c r="Y743" s="29" t="str">
        <f aca="false">IF(AND(O743&lt;&gt;"",M743&lt;&gt;"",O743&gt;M743),CONCATENATE("1 : ",TEXT((O743-M743)/M743,"0.00")),IF(AND(O743&lt;&gt;"",M743&lt;&gt;"",O743&lt;M743),CONCATENATE("-1 : ",TEXT((M743-O743)/M743,"0.00")),"—"))</f>
        <v>—</v>
      </c>
      <c r="Z743" s="30" t="str">
        <f aca="false">IF(AND(P743&lt;&gt;"",M743&lt;&gt;"",P743&gt;M743),CONCATENATE("1 : ",TEXT((P743-M743)/M743,"0.00")),"—")</f>
        <v>—</v>
      </c>
      <c r="AA743" s="31" t="str">
        <f aca="false">IF(AND(C743&lt;&gt;"",E743&lt;&gt;""),E743-C743,"")</f>
        <v/>
      </c>
      <c r="AB743" s="17"/>
      <c r="AC743" s="32"/>
      <c r="AD743" s="33"/>
      <c r="AE743" s="34" t="str">
        <f aca="false">IF(G743&lt;&gt;"",HYPERLINK("https://www.tradingview.com/chart/?symbol="&amp;G743&amp;"&amp;interval=60&amp;from="&amp;(AG743-10*3600)&amp;"&amp;to="&amp;(AG743+50*3600),"📈 1H"),"")</f>
        <v/>
      </c>
      <c r="AF743" s="35" t="str">
        <f aca="false">IF(G743&lt;&gt;"",HYPERLINK("https://www.tradingview.com/chart/?symbol="&amp;G743&amp;"&amp;interval=240&amp;from="&amp;(AG743-10*14400)&amp;"&amp;to="&amp;(AG743+50*14400),"📈 4H"),"")</f>
        <v/>
      </c>
      <c r="AG743" s="36" t="str">
        <f aca="false">IF(C743&lt;&gt;"",INT((C743+IF(D743&lt;&gt;"",D743,0)-DATE(1970,1,1))*86400),"")</f>
        <v/>
      </c>
    </row>
    <row r="744" customFormat="false" ht="19.5" hidden="false" customHeight="true" outlineLevel="0" collapsed="false">
      <c r="A744" s="37" t="n">
        <f aca="false">ROW()-4</f>
        <v>740</v>
      </c>
      <c r="B744" s="38"/>
      <c r="C744" s="39"/>
      <c r="D744" s="40"/>
      <c r="E744" s="39"/>
      <c r="F744" s="40"/>
      <c r="G744" s="41"/>
      <c r="H744" s="42"/>
      <c r="I744" s="43"/>
      <c r="J744" s="44"/>
      <c r="K744" s="39"/>
      <c r="L744" s="42"/>
      <c r="M744" s="44"/>
      <c r="N744" s="45"/>
      <c r="O744" s="44"/>
      <c r="P744" s="46"/>
      <c r="Q744" s="47" t="str">
        <f aca="false">IF(L744="","",IF(M744&lt;&gt;"",M744*L744*100,IF(AND(O744&lt;&gt;"",B744&lt;&gt;""),IFERROR(AVERAGEIF($B$5:$B$1004,B744,$M$5:$M$1004)*L744*100,""),"")))</f>
        <v/>
      </c>
      <c r="R744" s="47" t="str">
        <f aca="false">IF(AND(O744&lt;&gt;"",L744&lt;&gt;""),O744*L744*100,"")</f>
        <v/>
      </c>
      <c r="S744" s="48" t="str">
        <f aca="false">IF(AND(P744&lt;&gt;"",L744&lt;&gt;""),P744*L744*100,"")</f>
        <v/>
      </c>
      <c r="T744" s="49" t="str">
        <f aca="false">IF(AND(Q744&lt;&gt;"",R744&lt;&gt;""),R744-Q744,"")</f>
        <v/>
      </c>
      <c r="U744" s="50" t="str">
        <f aca="false">IF(AND(Q744&lt;&gt;"",Q744&lt;&gt;0,T744&lt;&gt;""),T744/Q744,"")</f>
        <v/>
      </c>
      <c r="V744" s="51" t="str">
        <f aca="false">IF(AND(S744&lt;&gt;"",Q744&lt;&gt;""),S744-Q744,"")</f>
        <v/>
      </c>
      <c r="W744" s="52" t="str">
        <f aca="false">IF(AND(Q744&lt;&gt;"",Q744&lt;&gt;0,V744&lt;&gt;""),V744/Q744,"")</f>
        <v/>
      </c>
      <c r="X744" s="53" t="s">
        <v>37</v>
      </c>
      <c r="Y744" s="54" t="str">
        <f aca="false">IF(AND(O744&lt;&gt;"",M744&lt;&gt;"",O744&gt;M744),CONCATENATE("1 : ",TEXT((O744-M744)/M744,"0.00")),IF(AND(O744&lt;&gt;"",M744&lt;&gt;"",O744&lt;M744),CONCATENATE("-1 : ",TEXT((M744-O744)/M744,"0.00")),"—"))</f>
        <v>—</v>
      </c>
      <c r="Z744" s="55" t="str">
        <f aca="false">IF(AND(P744&lt;&gt;"",M744&lt;&gt;"",P744&gt;M744),CONCATENATE("1 : ",TEXT((P744-M744)/M744,"0.00")),"—")</f>
        <v>—</v>
      </c>
      <c r="AA744" s="56" t="str">
        <f aca="false">IF(AND(C744&lt;&gt;"",E744&lt;&gt;""),E744-C744,"")</f>
        <v/>
      </c>
      <c r="AB744" s="42"/>
      <c r="AC744" s="57"/>
      <c r="AD744" s="58"/>
      <c r="AE744" s="59" t="str">
        <f aca="false">IF(G744&lt;&gt;"",HYPERLINK("https://www.tradingview.com/chart/?symbol="&amp;G744&amp;"&amp;interval=60&amp;from="&amp;(AG744-10*3600)&amp;"&amp;to="&amp;(AG744+50*3600),"📈 1H"),"")</f>
        <v/>
      </c>
      <c r="AF744" s="60" t="str">
        <f aca="false">IF(G744&lt;&gt;"",HYPERLINK("https://www.tradingview.com/chart/?symbol="&amp;G744&amp;"&amp;interval=240&amp;from="&amp;(AG744-10*14400)&amp;"&amp;to="&amp;(AG744+50*14400),"📈 4H"),"")</f>
        <v/>
      </c>
      <c r="AG744" s="36" t="str">
        <f aca="false">IF(C744&lt;&gt;"",INT((C744+IF(D744&lt;&gt;"",D744,0)-DATE(1970,1,1))*86400),"")</f>
        <v/>
      </c>
    </row>
    <row r="745" customFormat="false" ht="19.5" hidden="false" customHeight="true" outlineLevel="0" collapsed="false">
      <c r="A745" s="12" t="n">
        <f aca="false">ROW()-4</f>
        <v>741</v>
      </c>
      <c r="B745" s="13"/>
      <c r="C745" s="14"/>
      <c r="D745" s="15"/>
      <c r="E745" s="14"/>
      <c r="F745" s="15"/>
      <c r="G745" s="16"/>
      <c r="H745" s="17"/>
      <c r="I745" s="18"/>
      <c r="J745" s="19"/>
      <c r="K745" s="14"/>
      <c r="L745" s="17"/>
      <c r="M745" s="19"/>
      <c r="N745" s="20"/>
      <c r="O745" s="19"/>
      <c r="P745" s="21"/>
      <c r="Q745" s="22" t="str">
        <f aca="false">IF(L745="","",IF(M745&lt;&gt;"",M745*L745*100,IF(AND(O745&lt;&gt;"",B745&lt;&gt;""),IFERROR(AVERAGEIF($B$5:$B$1004,B745,$M$5:$M$1004)*L745*100,""),"")))</f>
        <v/>
      </c>
      <c r="R745" s="22" t="str">
        <f aca="false">IF(AND(O745&lt;&gt;"",L745&lt;&gt;""),O745*L745*100,"")</f>
        <v/>
      </c>
      <c r="S745" s="23" t="str">
        <f aca="false">IF(AND(P745&lt;&gt;"",L745&lt;&gt;""),P745*L745*100,"")</f>
        <v/>
      </c>
      <c r="T745" s="24" t="str">
        <f aca="false">IF(AND(Q745&lt;&gt;"",R745&lt;&gt;""),R745-Q745,"")</f>
        <v/>
      </c>
      <c r="U745" s="25" t="str">
        <f aca="false">IF(AND(Q745&lt;&gt;"",Q745&lt;&gt;0,T745&lt;&gt;""),T745/Q745,"")</f>
        <v/>
      </c>
      <c r="V745" s="26" t="str">
        <f aca="false">IF(AND(S745&lt;&gt;"",Q745&lt;&gt;""),S745-Q745,"")</f>
        <v/>
      </c>
      <c r="W745" s="27" t="str">
        <f aca="false">IF(AND(Q745&lt;&gt;"",Q745&lt;&gt;0,V745&lt;&gt;""),V745/Q745,"")</f>
        <v/>
      </c>
      <c r="X745" s="28" t="s">
        <v>37</v>
      </c>
      <c r="Y745" s="29" t="str">
        <f aca="false">IF(AND(O745&lt;&gt;"",M745&lt;&gt;"",O745&gt;M745),CONCATENATE("1 : ",TEXT((O745-M745)/M745,"0.00")),IF(AND(O745&lt;&gt;"",M745&lt;&gt;"",O745&lt;M745),CONCATENATE("-1 : ",TEXT((M745-O745)/M745,"0.00")),"—"))</f>
        <v>—</v>
      </c>
      <c r="Z745" s="30" t="str">
        <f aca="false">IF(AND(P745&lt;&gt;"",M745&lt;&gt;"",P745&gt;M745),CONCATENATE("1 : ",TEXT((P745-M745)/M745,"0.00")),"—")</f>
        <v>—</v>
      </c>
      <c r="AA745" s="31" t="str">
        <f aca="false">IF(AND(C745&lt;&gt;"",E745&lt;&gt;""),E745-C745,"")</f>
        <v/>
      </c>
      <c r="AB745" s="17"/>
      <c r="AC745" s="32"/>
      <c r="AD745" s="33"/>
      <c r="AE745" s="34" t="str">
        <f aca="false">IF(G745&lt;&gt;"",HYPERLINK("https://www.tradingview.com/chart/?symbol="&amp;G745&amp;"&amp;interval=60&amp;from="&amp;(AG745-10*3600)&amp;"&amp;to="&amp;(AG745+50*3600),"📈 1H"),"")</f>
        <v/>
      </c>
      <c r="AF745" s="35" t="str">
        <f aca="false">IF(G745&lt;&gt;"",HYPERLINK("https://www.tradingview.com/chart/?symbol="&amp;G745&amp;"&amp;interval=240&amp;from="&amp;(AG745-10*14400)&amp;"&amp;to="&amp;(AG745+50*14400),"📈 4H"),"")</f>
        <v/>
      </c>
      <c r="AG745" s="36" t="str">
        <f aca="false">IF(C745&lt;&gt;"",INT((C745+IF(D745&lt;&gt;"",D745,0)-DATE(1970,1,1))*86400),"")</f>
        <v/>
      </c>
    </row>
    <row r="746" customFormat="false" ht="19.5" hidden="false" customHeight="true" outlineLevel="0" collapsed="false">
      <c r="A746" s="37" t="n">
        <f aca="false">ROW()-4</f>
        <v>742</v>
      </c>
      <c r="B746" s="38"/>
      <c r="C746" s="39"/>
      <c r="D746" s="40"/>
      <c r="E746" s="39"/>
      <c r="F746" s="40"/>
      <c r="G746" s="41"/>
      <c r="H746" s="42"/>
      <c r="I746" s="43"/>
      <c r="J746" s="44"/>
      <c r="K746" s="39"/>
      <c r="L746" s="42"/>
      <c r="M746" s="44"/>
      <c r="N746" s="45"/>
      <c r="O746" s="44"/>
      <c r="P746" s="46"/>
      <c r="Q746" s="47" t="str">
        <f aca="false">IF(L746="","",IF(M746&lt;&gt;"",M746*L746*100,IF(AND(O746&lt;&gt;"",B746&lt;&gt;""),IFERROR(AVERAGEIF($B$5:$B$1004,B746,$M$5:$M$1004)*L746*100,""),"")))</f>
        <v/>
      </c>
      <c r="R746" s="47" t="str">
        <f aca="false">IF(AND(O746&lt;&gt;"",L746&lt;&gt;""),O746*L746*100,"")</f>
        <v/>
      </c>
      <c r="S746" s="48" t="str">
        <f aca="false">IF(AND(P746&lt;&gt;"",L746&lt;&gt;""),P746*L746*100,"")</f>
        <v/>
      </c>
      <c r="T746" s="49" t="str">
        <f aca="false">IF(AND(Q746&lt;&gt;"",R746&lt;&gt;""),R746-Q746,"")</f>
        <v/>
      </c>
      <c r="U746" s="50" t="str">
        <f aca="false">IF(AND(Q746&lt;&gt;"",Q746&lt;&gt;0,T746&lt;&gt;""),T746/Q746,"")</f>
        <v/>
      </c>
      <c r="V746" s="51" t="str">
        <f aca="false">IF(AND(S746&lt;&gt;"",Q746&lt;&gt;""),S746-Q746,"")</f>
        <v/>
      </c>
      <c r="W746" s="52" t="str">
        <f aca="false">IF(AND(Q746&lt;&gt;"",Q746&lt;&gt;0,V746&lt;&gt;""),V746/Q746,"")</f>
        <v/>
      </c>
      <c r="X746" s="53" t="s">
        <v>37</v>
      </c>
      <c r="Y746" s="54" t="str">
        <f aca="false">IF(AND(O746&lt;&gt;"",M746&lt;&gt;"",O746&gt;M746),CONCATENATE("1 : ",TEXT((O746-M746)/M746,"0.00")),IF(AND(O746&lt;&gt;"",M746&lt;&gt;"",O746&lt;M746),CONCATENATE("-1 : ",TEXT((M746-O746)/M746,"0.00")),"—"))</f>
        <v>—</v>
      </c>
      <c r="Z746" s="55" t="str">
        <f aca="false">IF(AND(P746&lt;&gt;"",M746&lt;&gt;"",P746&gt;M746),CONCATENATE("1 : ",TEXT((P746-M746)/M746,"0.00")),"—")</f>
        <v>—</v>
      </c>
      <c r="AA746" s="56" t="str">
        <f aca="false">IF(AND(C746&lt;&gt;"",E746&lt;&gt;""),E746-C746,"")</f>
        <v/>
      </c>
      <c r="AB746" s="42"/>
      <c r="AC746" s="57"/>
      <c r="AD746" s="58"/>
      <c r="AE746" s="59" t="str">
        <f aca="false">IF(G746&lt;&gt;"",HYPERLINK("https://www.tradingview.com/chart/?symbol="&amp;G746&amp;"&amp;interval=60&amp;from="&amp;(AG746-10*3600)&amp;"&amp;to="&amp;(AG746+50*3600),"📈 1H"),"")</f>
        <v/>
      </c>
      <c r="AF746" s="60" t="str">
        <f aca="false">IF(G746&lt;&gt;"",HYPERLINK("https://www.tradingview.com/chart/?symbol="&amp;G746&amp;"&amp;interval=240&amp;from="&amp;(AG746-10*14400)&amp;"&amp;to="&amp;(AG746+50*14400),"📈 4H"),"")</f>
        <v/>
      </c>
      <c r="AG746" s="36" t="str">
        <f aca="false">IF(C746&lt;&gt;"",INT((C746+IF(D746&lt;&gt;"",D746,0)-DATE(1970,1,1))*86400),"")</f>
        <v/>
      </c>
    </row>
    <row r="747" customFormat="false" ht="19.5" hidden="false" customHeight="true" outlineLevel="0" collapsed="false">
      <c r="A747" s="12" t="n">
        <f aca="false">ROW()-4</f>
        <v>743</v>
      </c>
      <c r="B747" s="13"/>
      <c r="C747" s="14"/>
      <c r="D747" s="15"/>
      <c r="E747" s="14"/>
      <c r="F747" s="15"/>
      <c r="G747" s="16"/>
      <c r="H747" s="17"/>
      <c r="I747" s="18"/>
      <c r="J747" s="19"/>
      <c r="K747" s="14"/>
      <c r="L747" s="17"/>
      <c r="M747" s="19"/>
      <c r="N747" s="20"/>
      <c r="O747" s="19"/>
      <c r="P747" s="21"/>
      <c r="Q747" s="22" t="str">
        <f aca="false">IF(L747="","",IF(M747&lt;&gt;"",M747*L747*100,IF(AND(O747&lt;&gt;"",B747&lt;&gt;""),IFERROR(AVERAGEIF($B$5:$B$1004,B747,$M$5:$M$1004)*L747*100,""),"")))</f>
        <v/>
      </c>
      <c r="R747" s="22" t="str">
        <f aca="false">IF(AND(O747&lt;&gt;"",L747&lt;&gt;""),O747*L747*100,"")</f>
        <v/>
      </c>
      <c r="S747" s="23" t="str">
        <f aca="false">IF(AND(P747&lt;&gt;"",L747&lt;&gt;""),P747*L747*100,"")</f>
        <v/>
      </c>
      <c r="T747" s="24" t="str">
        <f aca="false">IF(AND(Q747&lt;&gt;"",R747&lt;&gt;""),R747-Q747,"")</f>
        <v/>
      </c>
      <c r="U747" s="25" t="str">
        <f aca="false">IF(AND(Q747&lt;&gt;"",Q747&lt;&gt;0,T747&lt;&gt;""),T747/Q747,"")</f>
        <v/>
      </c>
      <c r="V747" s="26" t="str">
        <f aca="false">IF(AND(S747&lt;&gt;"",Q747&lt;&gt;""),S747-Q747,"")</f>
        <v/>
      </c>
      <c r="W747" s="27" t="str">
        <f aca="false">IF(AND(Q747&lt;&gt;"",Q747&lt;&gt;0,V747&lt;&gt;""),V747/Q747,"")</f>
        <v/>
      </c>
      <c r="X747" s="28" t="s">
        <v>37</v>
      </c>
      <c r="Y747" s="29" t="str">
        <f aca="false">IF(AND(O747&lt;&gt;"",M747&lt;&gt;"",O747&gt;M747),CONCATENATE("1 : ",TEXT((O747-M747)/M747,"0.00")),IF(AND(O747&lt;&gt;"",M747&lt;&gt;"",O747&lt;M747),CONCATENATE("-1 : ",TEXT((M747-O747)/M747,"0.00")),"—"))</f>
        <v>—</v>
      </c>
      <c r="Z747" s="30" t="str">
        <f aca="false">IF(AND(P747&lt;&gt;"",M747&lt;&gt;"",P747&gt;M747),CONCATENATE("1 : ",TEXT((P747-M747)/M747,"0.00")),"—")</f>
        <v>—</v>
      </c>
      <c r="AA747" s="31" t="str">
        <f aca="false">IF(AND(C747&lt;&gt;"",E747&lt;&gt;""),E747-C747,"")</f>
        <v/>
      </c>
      <c r="AB747" s="17"/>
      <c r="AC747" s="32"/>
      <c r="AD747" s="33"/>
      <c r="AE747" s="34" t="str">
        <f aca="false">IF(G747&lt;&gt;"",HYPERLINK("https://www.tradingview.com/chart/?symbol="&amp;G747&amp;"&amp;interval=60&amp;from="&amp;(AG747-10*3600)&amp;"&amp;to="&amp;(AG747+50*3600),"📈 1H"),"")</f>
        <v/>
      </c>
      <c r="AF747" s="35" t="str">
        <f aca="false">IF(G747&lt;&gt;"",HYPERLINK("https://www.tradingview.com/chart/?symbol="&amp;G747&amp;"&amp;interval=240&amp;from="&amp;(AG747-10*14400)&amp;"&amp;to="&amp;(AG747+50*14400),"📈 4H"),"")</f>
        <v/>
      </c>
      <c r="AG747" s="36" t="str">
        <f aca="false">IF(C747&lt;&gt;"",INT((C747+IF(D747&lt;&gt;"",D747,0)-DATE(1970,1,1))*86400),"")</f>
        <v/>
      </c>
    </row>
    <row r="748" customFormat="false" ht="19.5" hidden="false" customHeight="true" outlineLevel="0" collapsed="false">
      <c r="A748" s="37" t="n">
        <f aca="false">ROW()-4</f>
        <v>744</v>
      </c>
      <c r="B748" s="38"/>
      <c r="C748" s="39"/>
      <c r="D748" s="40"/>
      <c r="E748" s="39"/>
      <c r="F748" s="40"/>
      <c r="G748" s="41"/>
      <c r="H748" s="42"/>
      <c r="I748" s="43"/>
      <c r="J748" s="44"/>
      <c r="K748" s="39"/>
      <c r="L748" s="42"/>
      <c r="M748" s="44"/>
      <c r="N748" s="45"/>
      <c r="O748" s="44"/>
      <c r="P748" s="46"/>
      <c r="Q748" s="47" t="str">
        <f aca="false">IF(L748="","",IF(M748&lt;&gt;"",M748*L748*100,IF(AND(O748&lt;&gt;"",B748&lt;&gt;""),IFERROR(AVERAGEIF($B$5:$B$1004,B748,$M$5:$M$1004)*L748*100,""),"")))</f>
        <v/>
      </c>
      <c r="R748" s="47" t="str">
        <f aca="false">IF(AND(O748&lt;&gt;"",L748&lt;&gt;""),O748*L748*100,"")</f>
        <v/>
      </c>
      <c r="S748" s="48" t="str">
        <f aca="false">IF(AND(P748&lt;&gt;"",L748&lt;&gt;""),P748*L748*100,"")</f>
        <v/>
      </c>
      <c r="T748" s="49" t="str">
        <f aca="false">IF(AND(Q748&lt;&gt;"",R748&lt;&gt;""),R748-Q748,"")</f>
        <v/>
      </c>
      <c r="U748" s="50" t="str">
        <f aca="false">IF(AND(Q748&lt;&gt;"",Q748&lt;&gt;0,T748&lt;&gt;""),T748/Q748,"")</f>
        <v/>
      </c>
      <c r="V748" s="51" t="str">
        <f aca="false">IF(AND(S748&lt;&gt;"",Q748&lt;&gt;""),S748-Q748,"")</f>
        <v/>
      </c>
      <c r="W748" s="52" t="str">
        <f aca="false">IF(AND(Q748&lt;&gt;"",Q748&lt;&gt;0,V748&lt;&gt;""),V748/Q748,"")</f>
        <v/>
      </c>
      <c r="X748" s="53" t="s">
        <v>37</v>
      </c>
      <c r="Y748" s="54" t="str">
        <f aca="false">IF(AND(O748&lt;&gt;"",M748&lt;&gt;"",O748&gt;M748),CONCATENATE("1 : ",TEXT((O748-M748)/M748,"0.00")),IF(AND(O748&lt;&gt;"",M748&lt;&gt;"",O748&lt;M748),CONCATENATE("-1 : ",TEXT((M748-O748)/M748,"0.00")),"—"))</f>
        <v>—</v>
      </c>
      <c r="Z748" s="55" t="str">
        <f aca="false">IF(AND(P748&lt;&gt;"",M748&lt;&gt;"",P748&gt;M748),CONCATENATE("1 : ",TEXT((P748-M748)/M748,"0.00")),"—")</f>
        <v>—</v>
      </c>
      <c r="AA748" s="56" t="str">
        <f aca="false">IF(AND(C748&lt;&gt;"",E748&lt;&gt;""),E748-C748,"")</f>
        <v/>
      </c>
      <c r="AB748" s="42"/>
      <c r="AC748" s="57"/>
      <c r="AD748" s="58"/>
      <c r="AE748" s="59" t="str">
        <f aca="false">IF(G748&lt;&gt;"",HYPERLINK("https://www.tradingview.com/chart/?symbol="&amp;G748&amp;"&amp;interval=60&amp;from="&amp;(AG748-10*3600)&amp;"&amp;to="&amp;(AG748+50*3600),"📈 1H"),"")</f>
        <v/>
      </c>
      <c r="AF748" s="60" t="str">
        <f aca="false">IF(G748&lt;&gt;"",HYPERLINK("https://www.tradingview.com/chart/?symbol="&amp;G748&amp;"&amp;interval=240&amp;from="&amp;(AG748-10*14400)&amp;"&amp;to="&amp;(AG748+50*14400),"📈 4H"),"")</f>
        <v/>
      </c>
      <c r="AG748" s="36" t="str">
        <f aca="false">IF(C748&lt;&gt;"",INT((C748+IF(D748&lt;&gt;"",D748,0)-DATE(1970,1,1))*86400),"")</f>
        <v/>
      </c>
    </row>
    <row r="749" customFormat="false" ht="19.5" hidden="false" customHeight="true" outlineLevel="0" collapsed="false">
      <c r="A749" s="12" t="n">
        <f aca="false">ROW()-4</f>
        <v>745</v>
      </c>
      <c r="B749" s="13"/>
      <c r="C749" s="14"/>
      <c r="D749" s="15"/>
      <c r="E749" s="14"/>
      <c r="F749" s="15"/>
      <c r="G749" s="16"/>
      <c r="H749" s="17"/>
      <c r="I749" s="18"/>
      <c r="J749" s="19"/>
      <c r="K749" s="14"/>
      <c r="L749" s="17"/>
      <c r="M749" s="19"/>
      <c r="N749" s="20"/>
      <c r="O749" s="19"/>
      <c r="P749" s="21"/>
      <c r="Q749" s="22" t="str">
        <f aca="false">IF(L749="","",IF(M749&lt;&gt;"",M749*L749*100,IF(AND(O749&lt;&gt;"",B749&lt;&gt;""),IFERROR(AVERAGEIF($B$5:$B$1004,B749,$M$5:$M$1004)*L749*100,""),"")))</f>
        <v/>
      </c>
      <c r="R749" s="22" t="str">
        <f aca="false">IF(AND(O749&lt;&gt;"",L749&lt;&gt;""),O749*L749*100,"")</f>
        <v/>
      </c>
      <c r="S749" s="23" t="str">
        <f aca="false">IF(AND(P749&lt;&gt;"",L749&lt;&gt;""),P749*L749*100,"")</f>
        <v/>
      </c>
      <c r="T749" s="24" t="str">
        <f aca="false">IF(AND(Q749&lt;&gt;"",R749&lt;&gt;""),R749-Q749,"")</f>
        <v/>
      </c>
      <c r="U749" s="25" t="str">
        <f aca="false">IF(AND(Q749&lt;&gt;"",Q749&lt;&gt;0,T749&lt;&gt;""),T749/Q749,"")</f>
        <v/>
      </c>
      <c r="V749" s="26" t="str">
        <f aca="false">IF(AND(S749&lt;&gt;"",Q749&lt;&gt;""),S749-Q749,"")</f>
        <v/>
      </c>
      <c r="W749" s="27" t="str">
        <f aca="false">IF(AND(Q749&lt;&gt;"",Q749&lt;&gt;0,V749&lt;&gt;""),V749/Q749,"")</f>
        <v/>
      </c>
      <c r="X749" s="28" t="s">
        <v>37</v>
      </c>
      <c r="Y749" s="29" t="str">
        <f aca="false">IF(AND(O749&lt;&gt;"",M749&lt;&gt;"",O749&gt;M749),CONCATENATE("1 : ",TEXT((O749-M749)/M749,"0.00")),IF(AND(O749&lt;&gt;"",M749&lt;&gt;"",O749&lt;M749),CONCATENATE("-1 : ",TEXT((M749-O749)/M749,"0.00")),"—"))</f>
        <v>—</v>
      </c>
      <c r="Z749" s="30" t="str">
        <f aca="false">IF(AND(P749&lt;&gt;"",M749&lt;&gt;"",P749&gt;M749),CONCATENATE("1 : ",TEXT((P749-M749)/M749,"0.00")),"—")</f>
        <v>—</v>
      </c>
      <c r="AA749" s="31" t="str">
        <f aca="false">IF(AND(C749&lt;&gt;"",E749&lt;&gt;""),E749-C749,"")</f>
        <v/>
      </c>
      <c r="AB749" s="17"/>
      <c r="AC749" s="32"/>
      <c r="AD749" s="33"/>
      <c r="AE749" s="34" t="str">
        <f aca="false">IF(G749&lt;&gt;"",HYPERLINK("https://www.tradingview.com/chart/?symbol="&amp;G749&amp;"&amp;interval=60&amp;from="&amp;(AG749-10*3600)&amp;"&amp;to="&amp;(AG749+50*3600),"📈 1H"),"")</f>
        <v/>
      </c>
      <c r="AF749" s="35" t="str">
        <f aca="false">IF(G749&lt;&gt;"",HYPERLINK("https://www.tradingview.com/chart/?symbol="&amp;G749&amp;"&amp;interval=240&amp;from="&amp;(AG749-10*14400)&amp;"&amp;to="&amp;(AG749+50*14400),"📈 4H"),"")</f>
        <v/>
      </c>
      <c r="AG749" s="36" t="str">
        <f aca="false">IF(C749&lt;&gt;"",INT((C749+IF(D749&lt;&gt;"",D749,0)-DATE(1970,1,1))*86400),"")</f>
        <v/>
      </c>
    </row>
    <row r="750" customFormat="false" ht="19.5" hidden="false" customHeight="true" outlineLevel="0" collapsed="false">
      <c r="A750" s="37" t="n">
        <f aca="false">ROW()-4</f>
        <v>746</v>
      </c>
      <c r="B750" s="38"/>
      <c r="C750" s="39"/>
      <c r="D750" s="40"/>
      <c r="E750" s="39"/>
      <c r="F750" s="40"/>
      <c r="G750" s="41"/>
      <c r="H750" s="42"/>
      <c r="I750" s="43"/>
      <c r="J750" s="44"/>
      <c r="K750" s="39"/>
      <c r="L750" s="42"/>
      <c r="M750" s="44"/>
      <c r="N750" s="45"/>
      <c r="O750" s="44"/>
      <c r="P750" s="46"/>
      <c r="Q750" s="47" t="str">
        <f aca="false">IF(L750="","",IF(M750&lt;&gt;"",M750*L750*100,IF(AND(O750&lt;&gt;"",B750&lt;&gt;""),IFERROR(AVERAGEIF($B$5:$B$1004,B750,$M$5:$M$1004)*L750*100,""),"")))</f>
        <v/>
      </c>
      <c r="R750" s="47" t="str">
        <f aca="false">IF(AND(O750&lt;&gt;"",L750&lt;&gt;""),O750*L750*100,"")</f>
        <v/>
      </c>
      <c r="S750" s="48" t="str">
        <f aca="false">IF(AND(P750&lt;&gt;"",L750&lt;&gt;""),P750*L750*100,"")</f>
        <v/>
      </c>
      <c r="T750" s="49" t="str">
        <f aca="false">IF(AND(Q750&lt;&gt;"",R750&lt;&gt;""),R750-Q750,"")</f>
        <v/>
      </c>
      <c r="U750" s="50" t="str">
        <f aca="false">IF(AND(Q750&lt;&gt;"",Q750&lt;&gt;0,T750&lt;&gt;""),T750/Q750,"")</f>
        <v/>
      </c>
      <c r="V750" s="51" t="str">
        <f aca="false">IF(AND(S750&lt;&gt;"",Q750&lt;&gt;""),S750-Q750,"")</f>
        <v/>
      </c>
      <c r="W750" s="52" t="str">
        <f aca="false">IF(AND(Q750&lt;&gt;"",Q750&lt;&gt;0,V750&lt;&gt;""),V750/Q750,"")</f>
        <v/>
      </c>
      <c r="X750" s="53" t="s">
        <v>37</v>
      </c>
      <c r="Y750" s="54" t="str">
        <f aca="false">IF(AND(O750&lt;&gt;"",M750&lt;&gt;"",O750&gt;M750),CONCATENATE("1 : ",TEXT((O750-M750)/M750,"0.00")),IF(AND(O750&lt;&gt;"",M750&lt;&gt;"",O750&lt;M750),CONCATENATE("-1 : ",TEXT((M750-O750)/M750,"0.00")),"—"))</f>
        <v>—</v>
      </c>
      <c r="Z750" s="55" t="str">
        <f aca="false">IF(AND(P750&lt;&gt;"",M750&lt;&gt;"",P750&gt;M750),CONCATENATE("1 : ",TEXT((P750-M750)/M750,"0.00")),"—")</f>
        <v>—</v>
      </c>
      <c r="AA750" s="56" t="str">
        <f aca="false">IF(AND(C750&lt;&gt;"",E750&lt;&gt;""),E750-C750,"")</f>
        <v/>
      </c>
      <c r="AB750" s="42"/>
      <c r="AC750" s="57"/>
      <c r="AD750" s="58"/>
      <c r="AE750" s="59" t="str">
        <f aca="false">IF(G750&lt;&gt;"",HYPERLINK("https://www.tradingview.com/chart/?symbol="&amp;G750&amp;"&amp;interval=60&amp;from="&amp;(AG750-10*3600)&amp;"&amp;to="&amp;(AG750+50*3600),"📈 1H"),"")</f>
        <v/>
      </c>
      <c r="AF750" s="60" t="str">
        <f aca="false">IF(G750&lt;&gt;"",HYPERLINK("https://www.tradingview.com/chart/?symbol="&amp;G750&amp;"&amp;interval=240&amp;from="&amp;(AG750-10*14400)&amp;"&amp;to="&amp;(AG750+50*14400),"📈 4H"),"")</f>
        <v/>
      </c>
      <c r="AG750" s="36" t="str">
        <f aca="false">IF(C750&lt;&gt;"",INT((C750+IF(D750&lt;&gt;"",D750,0)-DATE(1970,1,1))*86400),"")</f>
        <v/>
      </c>
    </row>
    <row r="751" customFormat="false" ht="19.5" hidden="false" customHeight="true" outlineLevel="0" collapsed="false">
      <c r="A751" s="12" t="n">
        <f aca="false">ROW()-4</f>
        <v>747</v>
      </c>
      <c r="B751" s="13"/>
      <c r="C751" s="14"/>
      <c r="D751" s="15"/>
      <c r="E751" s="14"/>
      <c r="F751" s="15"/>
      <c r="G751" s="16"/>
      <c r="H751" s="17"/>
      <c r="I751" s="18"/>
      <c r="J751" s="19"/>
      <c r="K751" s="14"/>
      <c r="L751" s="17"/>
      <c r="M751" s="19"/>
      <c r="N751" s="20"/>
      <c r="O751" s="19"/>
      <c r="P751" s="21"/>
      <c r="Q751" s="22" t="str">
        <f aca="false">IF(L751="","",IF(M751&lt;&gt;"",M751*L751*100,IF(AND(O751&lt;&gt;"",B751&lt;&gt;""),IFERROR(AVERAGEIF($B$5:$B$1004,B751,$M$5:$M$1004)*L751*100,""),"")))</f>
        <v/>
      </c>
      <c r="R751" s="22" t="str">
        <f aca="false">IF(AND(O751&lt;&gt;"",L751&lt;&gt;""),O751*L751*100,"")</f>
        <v/>
      </c>
      <c r="S751" s="23" t="str">
        <f aca="false">IF(AND(P751&lt;&gt;"",L751&lt;&gt;""),P751*L751*100,"")</f>
        <v/>
      </c>
      <c r="T751" s="24" t="str">
        <f aca="false">IF(AND(Q751&lt;&gt;"",R751&lt;&gt;""),R751-Q751,"")</f>
        <v/>
      </c>
      <c r="U751" s="25" t="str">
        <f aca="false">IF(AND(Q751&lt;&gt;"",Q751&lt;&gt;0,T751&lt;&gt;""),T751/Q751,"")</f>
        <v/>
      </c>
      <c r="V751" s="26" t="str">
        <f aca="false">IF(AND(S751&lt;&gt;"",Q751&lt;&gt;""),S751-Q751,"")</f>
        <v/>
      </c>
      <c r="W751" s="27" t="str">
        <f aca="false">IF(AND(Q751&lt;&gt;"",Q751&lt;&gt;0,V751&lt;&gt;""),V751/Q751,"")</f>
        <v/>
      </c>
      <c r="X751" s="28" t="s">
        <v>37</v>
      </c>
      <c r="Y751" s="29" t="str">
        <f aca="false">IF(AND(O751&lt;&gt;"",M751&lt;&gt;"",O751&gt;M751),CONCATENATE("1 : ",TEXT((O751-M751)/M751,"0.00")),IF(AND(O751&lt;&gt;"",M751&lt;&gt;"",O751&lt;M751),CONCATENATE("-1 : ",TEXT((M751-O751)/M751,"0.00")),"—"))</f>
        <v>—</v>
      </c>
      <c r="Z751" s="30" t="str">
        <f aca="false">IF(AND(P751&lt;&gt;"",M751&lt;&gt;"",P751&gt;M751),CONCATENATE("1 : ",TEXT((P751-M751)/M751,"0.00")),"—")</f>
        <v>—</v>
      </c>
      <c r="AA751" s="31" t="str">
        <f aca="false">IF(AND(C751&lt;&gt;"",E751&lt;&gt;""),E751-C751,"")</f>
        <v/>
      </c>
      <c r="AB751" s="17"/>
      <c r="AC751" s="32"/>
      <c r="AD751" s="33"/>
      <c r="AE751" s="34" t="str">
        <f aca="false">IF(G751&lt;&gt;"",HYPERLINK("https://www.tradingview.com/chart/?symbol="&amp;G751&amp;"&amp;interval=60&amp;from="&amp;(AG751-10*3600)&amp;"&amp;to="&amp;(AG751+50*3600),"📈 1H"),"")</f>
        <v/>
      </c>
      <c r="AF751" s="35" t="str">
        <f aca="false">IF(G751&lt;&gt;"",HYPERLINK("https://www.tradingview.com/chart/?symbol="&amp;G751&amp;"&amp;interval=240&amp;from="&amp;(AG751-10*14400)&amp;"&amp;to="&amp;(AG751+50*14400),"📈 4H"),"")</f>
        <v/>
      </c>
      <c r="AG751" s="36" t="str">
        <f aca="false">IF(C751&lt;&gt;"",INT((C751+IF(D751&lt;&gt;"",D751,0)-DATE(1970,1,1))*86400),"")</f>
        <v/>
      </c>
    </row>
    <row r="752" customFormat="false" ht="19.5" hidden="false" customHeight="true" outlineLevel="0" collapsed="false">
      <c r="A752" s="37" t="n">
        <f aca="false">ROW()-4</f>
        <v>748</v>
      </c>
      <c r="B752" s="38"/>
      <c r="C752" s="39"/>
      <c r="D752" s="40"/>
      <c r="E752" s="39"/>
      <c r="F752" s="40"/>
      <c r="G752" s="41"/>
      <c r="H752" s="42"/>
      <c r="I752" s="43"/>
      <c r="J752" s="44"/>
      <c r="K752" s="39"/>
      <c r="L752" s="42"/>
      <c r="M752" s="44"/>
      <c r="N752" s="45"/>
      <c r="O752" s="44"/>
      <c r="P752" s="46"/>
      <c r="Q752" s="47" t="str">
        <f aca="false">IF(L752="","",IF(M752&lt;&gt;"",M752*L752*100,IF(AND(O752&lt;&gt;"",B752&lt;&gt;""),IFERROR(AVERAGEIF($B$5:$B$1004,B752,$M$5:$M$1004)*L752*100,""),"")))</f>
        <v/>
      </c>
      <c r="R752" s="47" t="str">
        <f aca="false">IF(AND(O752&lt;&gt;"",L752&lt;&gt;""),O752*L752*100,"")</f>
        <v/>
      </c>
      <c r="S752" s="48" t="str">
        <f aca="false">IF(AND(P752&lt;&gt;"",L752&lt;&gt;""),P752*L752*100,"")</f>
        <v/>
      </c>
      <c r="T752" s="49" t="str">
        <f aca="false">IF(AND(Q752&lt;&gt;"",R752&lt;&gt;""),R752-Q752,"")</f>
        <v/>
      </c>
      <c r="U752" s="50" t="str">
        <f aca="false">IF(AND(Q752&lt;&gt;"",Q752&lt;&gt;0,T752&lt;&gt;""),T752/Q752,"")</f>
        <v/>
      </c>
      <c r="V752" s="51" t="str">
        <f aca="false">IF(AND(S752&lt;&gt;"",Q752&lt;&gt;""),S752-Q752,"")</f>
        <v/>
      </c>
      <c r="W752" s="52" t="str">
        <f aca="false">IF(AND(Q752&lt;&gt;"",Q752&lt;&gt;0,V752&lt;&gt;""),V752/Q752,"")</f>
        <v/>
      </c>
      <c r="X752" s="53" t="s">
        <v>37</v>
      </c>
      <c r="Y752" s="54" t="str">
        <f aca="false">IF(AND(O752&lt;&gt;"",M752&lt;&gt;"",O752&gt;M752),CONCATENATE("1 : ",TEXT((O752-M752)/M752,"0.00")),IF(AND(O752&lt;&gt;"",M752&lt;&gt;"",O752&lt;M752),CONCATENATE("-1 : ",TEXT((M752-O752)/M752,"0.00")),"—"))</f>
        <v>—</v>
      </c>
      <c r="Z752" s="55" t="str">
        <f aca="false">IF(AND(P752&lt;&gt;"",M752&lt;&gt;"",P752&gt;M752),CONCATENATE("1 : ",TEXT((P752-M752)/M752,"0.00")),"—")</f>
        <v>—</v>
      </c>
      <c r="AA752" s="56" t="str">
        <f aca="false">IF(AND(C752&lt;&gt;"",E752&lt;&gt;""),E752-C752,"")</f>
        <v/>
      </c>
      <c r="AB752" s="42"/>
      <c r="AC752" s="57"/>
      <c r="AD752" s="58"/>
      <c r="AE752" s="59" t="str">
        <f aca="false">IF(G752&lt;&gt;"",HYPERLINK("https://www.tradingview.com/chart/?symbol="&amp;G752&amp;"&amp;interval=60&amp;from="&amp;(AG752-10*3600)&amp;"&amp;to="&amp;(AG752+50*3600),"📈 1H"),"")</f>
        <v/>
      </c>
      <c r="AF752" s="60" t="str">
        <f aca="false">IF(G752&lt;&gt;"",HYPERLINK("https://www.tradingview.com/chart/?symbol="&amp;G752&amp;"&amp;interval=240&amp;from="&amp;(AG752-10*14400)&amp;"&amp;to="&amp;(AG752+50*14400),"📈 4H"),"")</f>
        <v/>
      </c>
      <c r="AG752" s="36" t="str">
        <f aca="false">IF(C752&lt;&gt;"",INT((C752+IF(D752&lt;&gt;"",D752,0)-DATE(1970,1,1))*86400),"")</f>
        <v/>
      </c>
    </row>
    <row r="753" customFormat="false" ht="19.5" hidden="false" customHeight="true" outlineLevel="0" collapsed="false">
      <c r="A753" s="12" t="n">
        <f aca="false">ROW()-4</f>
        <v>749</v>
      </c>
      <c r="B753" s="13"/>
      <c r="C753" s="14"/>
      <c r="D753" s="15"/>
      <c r="E753" s="14"/>
      <c r="F753" s="15"/>
      <c r="G753" s="16"/>
      <c r="H753" s="17"/>
      <c r="I753" s="18"/>
      <c r="J753" s="19"/>
      <c r="K753" s="14"/>
      <c r="L753" s="17"/>
      <c r="M753" s="19"/>
      <c r="N753" s="20"/>
      <c r="O753" s="19"/>
      <c r="P753" s="21"/>
      <c r="Q753" s="22" t="str">
        <f aca="false">IF(L753="","",IF(M753&lt;&gt;"",M753*L753*100,IF(AND(O753&lt;&gt;"",B753&lt;&gt;""),IFERROR(AVERAGEIF($B$5:$B$1004,B753,$M$5:$M$1004)*L753*100,""),"")))</f>
        <v/>
      </c>
      <c r="R753" s="22" t="str">
        <f aca="false">IF(AND(O753&lt;&gt;"",L753&lt;&gt;""),O753*L753*100,"")</f>
        <v/>
      </c>
      <c r="S753" s="23" t="str">
        <f aca="false">IF(AND(P753&lt;&gt;"",L753&lt;&gt;""),P753*L753*100,"")</f>
        <v/>
      </c>
      <c r="T753" s="24" t="str">
        <f aca="false">IF(AND(Q753&lt;&gt;"",R753&lt;&gt;""),R753-Q753,"")</f>
        <v/>
      </c>
      <c r="U753" s="25" t="str">
        <f aca="false">IF(AND(Q753&lt;&gt;"",Q753&lt;&gt;0,T753&lt;&gt;""),T753/Q753,"")</f>
        <v/>
      </c>
      <c r="V753" s="26" t="str">
        <f aca="false">IF(AND(S753&lt;&gt;"",Q753&lt;&gt;""),S753-Q753,"")</f>
        <v/>
      </c>
      <c r="W753" s="27" t="str">
        <f aca="false">IF(AND(Q753&lt;&gt;"",Q753&lt;&gt;0,V753&lt;&gt;""),V753/Q753,"")</f>
        <v/>
      </c>
      <c r="X753" s="28" t="s">
        <v>37</v>
      </c>
      <c r="Y753" s="29" t="str">
        <f aca="false">IF(AND(O753&lt;&gt;"",M753&lt;&gt;"",O753&gt;M753),CONCATENATE("1 : ",TEXT((O753-M753)/M753,"0.00")),IF(AND(O753&lt;&gt;"",M753&lt;&gt;"",O753&lt;M753),CONCATENATE("-1 : ",TEXT((M753-O753)/M753,"0.00")),"—"))</f>
        <v>—</v>
      </c>
      <c r="Z753" s="30" t="str">
        <f aca="false">IF(AND(P753&lt;&gt;"",M753&lt;&gt;"",P753&gt;M753),CONCATENATE("1 : ",TEXT((P753-M753)/M753,"0.00")),"—")</f>
        <v>—</v>
      </c>
      <c r="AA753" s="31" t="str">
        <f aca="false">IF(AND(C753&lt;&gt;"",E753&lt;&gt;""),E753-C753,"")</f>
        <v/>
      </c>
      <c r="AB753" s="17"/>
      <c r="AC753" s="32"/>
      <c r="AD753" s="33"/>
      <c r="AE753" s="34" t="str">
        <f aca="false">IF(G753&lt;&gt;"",HYPERLINK("https://www.tradingview.com/chart/?symbol="&amp;G753&amp;"&amp;interval=60&amp;from="&amp;(AG753-10*3600)&amp;"&amp;to="&amp;(AG753+50*3600),"📈 1H"),"")</f>
        <v/>
      </c>
      <c r="AF753" s="35" t="str">
        <f aca="false">IF(G753&lt;&gt;"",HYPERLINK("https://www.tradingview.com/chart/?symbol="&amp;G753&amp;"&amp;interval=240&amp;from="&amp;(AG753-10*14400)&amp;"&amp;to="&amp;(AG753+50*14400),"📈 4H"),"")</f>
        <v/>
      </c>
      <c r="AG753" s="36" t="str">
        <f aca="false">IF(C753&lt;&gt;"",INT((C753+IF(D753&lt;&gt;"",D753,0)-DATE(1970,1,1))*86400),"")</f>
        <v/>
      </c>
    </row>
    <row r="754" customFormat="false" ht="19.5" hidden="false" customHeight="true" outlineLevel="0" collapsed="false">
      <c r="A754" s="37" t="n">
        <f aca="false">ROW()-4</f>
        <v>750</v>
      </c>
      <c r="B754" s="38"/>
      <c r="C754" s="39"/>
      <c r="D754" s="40"/>
      <c r="E754" s="39"/>
      <c r="F754" s="40"/>
      <c r="G754" s="41"/>
      <c r="H754" s="42"/>
      <c r="I754" s="43"/>
      <c r="J754" s="44"/>
      <c r="K754" s="39"/>
      <c r="L754" s="42"/>
      <c r="M754" s="44"/>
      <c r="N754" s="45"/>
      <c r="O754" s="44"/>
      <c r="P754" s="46"/>
      <c r="Q754" s="47" t="str">
        <f aca="false">IF(L754="","",IF(M754&lt;&gt;"",M754*L754*100,IF(AND(O754&lt;&gt;"",B754&lt;&gt;""),IFERROR(AVERAGEIF($B$5:$B$1004,B754,$M$5:$M$1004)*L754*100,""),"")))</f>
        <v/>
      </c>
      <c r="R754" s="47" t="str">
        <f aca="false">IF(AND(O754&lt;&gt;"",L754&lt;&gt;""),O754*L754*100,"")</f>
        <v/>
      </c>
      <c r="S754" s="48" t="str">
        <f aca="false">IF(AND(P754&lt;&gt;"",L754&lt;&gt;""),P754*L754*100,"")</f>
        <v/>
      </c>
      <c r="T754" s="49" t="str">
        <f aca="false">IF(AND(Q754&lt;&gt;"",R754&lt;&gt;""),R754-Q754,"")</f>
        <v/>
      </c>
      <c r="U754" s="50" t="str">
        <f aca="false">IF(AND(Q754&lt;&gt;"",Q754&lt;&gt;0,T754&lt;&gt;""),T754/Q754,"")</f>
        <v/>
      </c>
      <c r="V754" s="51" t="str">
        <f aca="false">IF(AND(S754&lt;&gt;"",Q754&lt;&gt;""),S754-Q754,"")</f>
        <v/>
      </c>
      <c r="W754" s="52" t="str">
        <f aca="false">IF(AND(Q754&lt;&gt;"",Q754&lt;&gt;0,V754&lt;&gt;""),V754/Q754,"")</f>
        <v/>
      </c>
      <c r="X754" s="53" t="s">
        <v>37</v>
      </c>
      <c r="Y754" s="54" t="str">
        <f aca="false">IF(AND(O754&lt;&gt;"",M754&lt;&gt;"",O754&gt;M754),CONCATENATE("1 : ",TEXT((O754-M754)/M754,"0.00")),IF(AND(O754&lt;&gt;"",M754&lt;&gt;"",O754&lt;M754),CONCATENATE("-1 : ",TEXT((M754-O754)/M754,"0.00")),"—"))</f>
        <v>—</v>
      </c>
      <c r="Z754" s="55" t="str">
        <f aca="false">IF(AND(P754&lt;&gt;"",M754&lt;&gt;"",P754&gt;M754),CONCATENATE("1 : ",TEXT((P754-M754)/M754,"0.00")),"—")</f>
        <v>—</v>
      </c>
      <c r="AA754" s="56" t="str">
        <f aca="false">IF(AND(C754&lt;&gt;"",E754&lt;&gt;""),E754-C754,"")</f>
        <v/>
      </c>
      <c r="AB754" s="42"/>
      <c r="AC754" s="57"/>
      <c r="AD754" s="58"/>
      <c r="AE754" s="59" t="str">
        <f aca="false">IF(G754&lt;&gt;"",HYPERLINK("https://www.tradingview.com/chart/?symbol="&amp;G754&amp;"&amp;interval=60&amp;from="&amp;(AG754-10*3600)&amp;"&amp;to="&amp;(AG754+50*3600),"📈 1H"),"")</f>
        <v/>
      </c>
      <c r="AF754" s="60" t="str">
        <f aca="false">IF(G754&lt;&gt;"",HYPERLINK("https://www.tradingview.com/chart/?symbol="&amp;G754&amp;"&amp;interval=240&amp;from="&amp;(AG754-10*14400)&amp;"&amp;to="&amp;(AG754+50*14400),"📈 4H"),"")</f>
        <v/>
      </c>
      <c r="AG754" s="36" t="str">
        <f aca="false">IF(C754&lt;&gt;"",INT((C754+IF(D754&lt;&gt;"",D754,0)-DATE(1970,1,1))*86400),"")</f>
        <v/>
      </c>
    </row>
    <row r="755" customFormat="false" ht="19.5" hidden="false" customHeight="true" outlineLevel="0" collapsed="false">
      <c r="A755" s="12" t="n">
        <f aca="false">ROW()-4</f>
        <v>751</v>
      </c>
      <c r="B755" s="13"/>
      <c r="C755" s="14"/>
      <c r="D755" s="15"/>
      <c r="E755" s="14"/>
      <c r="F755" s="15"/>
      <c r="G755" s="16"/>
      <c r="H755" s="17"/>
      <c r="I755" s="18"/>
      <c r="J755" s="19"/>
      <c r="K755" s="14"/>
      <c r="L755" s="17"/>
      <c r="M755" s="19"/>
      <c r="N755" s="20"/>
      <c r="O755" s="19"/>
      <c r="P755" s="21"/>
      <c r="Q755" s="22" t="str">
        <f aca="false">IF(L755="","",IF(M755&lt;&gt;"",M755*L755*100,IF(AND(O755&lt;&gt;"",B755&lt;&gt;""),IFERROR(AVERAGEIF($B$5:$B$1004,B755,$M$5:$M$1004)*L755*100,""),"")))</f>
        <v/>
      </c>
      <c r="R755" s="22" t="str">
        <f aca="false">IF(AND(O755&lt;&gt;"",L755&lt;&gt;""),O755*L755*100,"")</f>
        <v/>
      </c>
      <c r="S755" s="23" t="str">
        <f aca="false">IF(AND(P755&lt;&gt;"",L755&lt;&gt;""),P755*L755*100,"")</f>
        <v/>
      </c>
      <c r="T755" s="24" t="str">
        <f aca="false">IF(AND(Q755&lt;&gt;"",R755&lt;&gt;""),R755-Q755,"")</f>
        <v/>
      </c>
      <c r="U755" s="25" t="str">
        <f aca="false">IF(AND(Q755&lt;&gt;"",Q755&lt;&gt;0,T755&lt;&gt;""),T755/Q755,"")</f>
        <v/>
      </c>
      <c r="V755" s="26" t="str">
        <f aca="false">IF(AND(S755&lt;&gt;"",Q755&lt;&gt;""),S755-Q755,"")</f>
        <v/>
      </c>
      <c r="W755" s="27" t="str">
        <f aca="false">IF(AND(Q755&lt;&gt;"",Q755&lt;&gt;0,V755&lt;&gt;""),V755/Q755,"")</f>
        <v/>
      </c>
      <c r="X755" s="28" t="s">
        <v>37</v>
      </c>
      <c r="Y755" s="29" t="str">
        <f aca="false">IF(AND(O755&lt;&gt;"",M755&lt;&gt;"",O755&gt;M755),CONCATENATE("1 : ",TEXT((O755-M755)/M755,"0.00")),IF(AND(O755&lt;&gt;"",M755&lt;&gt;"",O755&lt;M755),CONCATENATE("-1 : ",TEXT((M755-O755)/M755,"0.00")),"—"))</f>
        <v>—</v>
      </c>
      <c r="Z755" s="30" t="str">
        <f aca="false">IF(AND(P755&lt;&gt;"",M755&lt;&gt;"",P755&gt;M755),CONCATENATE("1 : ",TEXT((P755-M755)/M755,"0.00")),"—")</f>
        <v>—</v>
      </c>
      <c r="AA755" s="31" t="str">
        <f aca="false">IF(AND(C755&lt;&gt;"",E755&lt;&gt;""),E755-C755,"")</f>
        <v/>
      </c>
      <c r="AB755" s="17"/>
      <c r="AC755" s="32"/>
      <c r="AD755" s="33"/>
      <c r="AE755" s="34" t="str">
        <f aca="false">IF(G755&lt;&gt;"",HYPERLINK("https://www.tradingview.com/chart/?symbol="&amp;G755&amp;"&amp;interval=60&amp;from="&amp;(AG755-10*3600)&amp;"&amp;to="&amp;(AG755+50*3600),"📈 1H"),"")</f>
        <v/>
      </c>
      <c r="AF755" s="35" t="str">
        <f aca="false">IF(G755&lt;&gt;"",HYPERLINK("https://www.tradingview.com/chart/?symbol="&amp;G755&amp;"&amp;interval=240&amp;from="&amp;(AG755-10*14400)&amp;"&amp;to="&amp;(AG755+50*14400),"📈 4H"),"")</f>
        <v/>
      </c>
      <c r="AG755" s="36" t="str">
        <f aca="false">IF(C755&lt;&gt;"",INT((C755+IF(D755&lt;&gt;"",D755,0)-DATE(1970,1,1))*86400),"")</f>
        <v/>
      </c>
    </row>
    <row r="756" customFormat="false" ht="19.5" hidden="false" customHeight="true" outlineLevel="0" collapsed="false">
      <c r="A756" s="37" t="n">
        <f aca="false">ROW()-4</f>
        <v>752</v>
      </c>
      <c r="B756" s="38"/>
      <c r="C756" s="39"/>
      <c r="D756" s="40"/>
      <c r="E756" s="39"/>
      <c r="F756" s="40"/>
      <c r="G756" s="41"/>
      <c r="H756" s="42"/>
      <c r="I756" s="43"/>
      <c r="J756" s="44"/>
      <c r="K756" s="39"/>
      <c r="L756" s="42"/>
      <c r="M756" s="44"/>
      <c r="N756" s="45"/>
      <c r="O756" s="44"/>
      <c r="P756" s="46"/>
      <c r="Q756" s="47" t="str">
        <f aca="false">IF(L756="","",IF(M756&lt;&gt;"",M756*L756*100,IF(AND(O756&lt;&gt;"",B756&lt;&gt;""),IFERROR(AVERAGEIF($B$5:$B$1004,B756,$M$5:$M$1004)*L756*100,""),"")))</f>
        <v/>
      </c>
      <c r="R756" s="47" t="str">
        <f aca="false">IF(AND(O756&lt;&gt;"",L756&lt;&gt;""),O756*L756*100,"")</f>
        <v/>
      </c>
      <c r="S756" s="48" t="str">
        <f aca="false">IF(AND(P756&lt;&gt;"",L756&lt;&gt;""),P756*L756*100,"")</f>
        <v/>
      </c>
      <c r="T756" s="49" t="str">
        <f aca="false">IF(AND(Q756&lt;&gt;"",R756&lt;&gt;""),R756-Q756,"")</f>
        <v/>
      </c>
      <c r="U756" s="50" t="str">
        <f aca="false">IF(AND(Q756&lt;&gt;"",Q756&lt;&gt;0,T756&lt;&gt;""),T756/Q756,"")</f>
        <v/>
      </c>
      <c r="V756" s="51" t="str">
        <f aca="false">IF(AND(S756&lt;&gt;"",Q756&lt;&gt;""),S756-Q756,"")</f>
        <v/>
      </c>
      <c r="W756" s="52" t="str">
        <f aca="false">IF(AND(Q756&lt;&gt;"",Q756&lt;&gt;0,V756&lt;&gt;""),V756/Q756,"")</f>
        <v/>
      </c>
      <c r="X756" s="53" t="s">
        <v>37</v>
      </c>
      <c r="Y756" s="54" t="str">
        <f aca="false">IF(AND(O756&lt;&gt;"",M756&lt;&gt;"",O756&gt;M756),CONCATENATE("1 : ",TEXT((O756-M756)/M756,"0.00")),IF(AND(O756&lt;&gt;"",M756&lt;&gt;"",O756&lt;M756),CONCATENATE("-1 : ",TEXT((M756-O756)/M756,"0.00")),"—"))</f>
        <v>—</v>
      </c>
      <c r="Z756" s="55" t="str">
        <f aca="false">IF(AND(P756&lt;&gt;"",M756&lt;&gt;"",P756&gt;M756),CONCATENATE("1 : ",TEXT((P756-M756)/M756,"0.00")),"—")</f>
        <v>—</v>
      </c>
      <c r="AA756" s="56" t="str">
        <f aca="false">IF(AND(C756&lt;&gt;"",E756&lt;&gt;""),E756-C756,"")</f>
        <v/>
      </c>
      <c r="AB756" s="42"/>
      <c r="AC756" s="57"/>
      <c r="AD756" s="58"/>
      <c r="AE756" s="59" t="str">
        <f aca="false">IF(G756&lt;&gt;"",HYPERLINK("https://www.tradingview.com/chart/?symbol="&amp;G756&amp;"&amp;interval=60&amp;from="&amp;(AG756-10*3600)&amp;"&amp;to="&amp;(AG756+50*3600),"📈 1H"),"")</f>
        <v/>
      </c>
      <c r="AF756" s="60" t="str">
        <f aca="false">IF(G756&lt;&gt;"",HYPERLINK("https://www.tradingview.com/chart/?symbol="&amp;G756&amp;"&amp;interval=240&amp;from="&amp;(AG756-10*14400)&amp;"&amp;to="&amp;(AG756+50*14400),"📈 4H"),"")</f>
        <v/>
      </c>
      <c r="AG756" s="36" t="str">
        <f aca="false">IF(C756&lt;&gt;"",INT((C756+IF(D756&lt;&gt;"",D756,0)-DATE(1970,1,1))*86400),"")</f>
        <v/>
      </c>
    </row>
    <row r="757" customFormat="false" ht="19.5" hidden="false" customHeight="true" outlineLevel="0" collapsed="false">
      <c r="A757" s="12" t="n">
        <f aca="false">ROW()-4</f>
        <v>753</v>
      </c>
      <c r="B757" s="13"/>
      <c r="C757" s="14"/>
      <c r="D757" s="15"/>
      <c r="E757" s="14"/>
      <c r="F757" s="15"/>
      <c r="G757" s="16"/>
      <c r="H757" s="17"/>
      <c r="I757" s="18"/>
      <c r="J757" s="19"/>
      <c r="K757" s="14"/>
      <c r="L757" s="17"/>
      <c r="M757" s="19"/>
      <c r="N757" s="20"/>
      <c r="O757" s="19"/>
      <c r="P757" s="21"/>
      <c r="Q757" s="22" t="str">
        <f aca="false">IF(L757="","",IF(M757&lt;&gt;"",M757*L757*100,IF(AND(O757&lt;&gt;"",B757&lt;&gt;""),IFERROR(AVERAGEIF($B$5:$B$1004,B757,$M$5:$M$1004)*L757*100,""),"")))</f>
        <v/>
      </c>
      <c r="R757" s="22" t="str">
        <f aca="false">IF(AND(O757&lt;&gt;"",L757&lt;&gt;""),O757*L757*100,"")</f>
        <v/>
      </c>
      <c r="S757" s="23" t="str">
        <f aca="false">IF(AND(P757&lt;&gt;"",L757&lt;&gt;""),P757*L757*100,"")</f>
        <v/>
      </c>
      <c r="T757" s="24" t="str">
        <f aca="false">IF(AND(Q757&lt;&gt;"",R757&lt;&gt;""),R757-Q757,"")</f>
        <v/>
      </c>
      <c r="U757" s="25" t="str">
        <f aca="false">IF(AND(Q757&lt;&gt;"",Q757&lt;&gt;0,T757&lt;&gt;""),T757/Q757,"")</f>
        <v/>
      </c>
      <c r="V757" s="26" t="str">
        <f aca="false">IF(AND(S757&lt;&gt;"",Q757&lt;&gt;""),S757-Q757,"")</f>
        <v/>
      </c>
      <c r="W757" s="27" t="str">
        <f aca="false">IF(AND(Q757&lt;&gt;"",Q757&lt;&gt;0,V757&lt;&gt;""),V757/Q757,"")</f>
        <v/>
      </c>
      <c r="X757" s="28" t="s">
        <v>37</v>
      </c>
      <c r="Y757" s="29" t="str">
        <f aca="false">IF(AND(O757&lt;&gt;"",M757&lt;&gt;"",O757&gt;M757),CONCATENATE("1 : ",TEXT((O757-M757)/M757,"0.00")),IF(AND(O757&lt;&gt;"",M757&lt;&gt;"",O757&lt;M757),CONCATENATE("-1 : ",TEXT((M757-O757)/M757,"0.00")),"—"))</f>
        <v>—</v>
      </c>
      <c r="Z757" s="30" t="str">
        <f aca="false">IF(AND(P757&lt;&gt;"",M757&lt;&gt;"",P757&gt;M757),CONCATENATE("1 : ",TEXT((P757-M757)/M757,"0.00")),"—")</f>
        <v>—</v>
      </c>
      <c r="AA757" s="31" t="str">
        <f aca="false">IF(AND(C757&lt;&gt;"",E757&lt;&gt;""),E757-C757,"")</f>
        <v/>
      </c>
      <c r="AB757" s="17"/>
      <c r="AC757" s="32"/>
      <c r="AD757" s="33"/>
      <c r="AE757" s="34" t="str">
        <f aca="false">IF(G757&lt;&gt;"",HYPERLINK("https://www.tradingview.com/chart/?symbol="&amp;G757&amp;"&amp;interval=60&amp;from="&amp;(AG757-10*3600)&amp;"&amp;to="&amp;(AG757+50*3600),"📈 1H"),"")</f>
        <v/>
      </c>
      <c r="AF757" s="35" t="str">
        <f aca="false">IF(G757&lt;&gt;"",HYPERLINK("https://www.tradingview.com/chart/?symbol="&amp;G757&amp;"&amp;interval=240&amp;from="&amp;(AG757-10*14400)&amp;"&amp;to="&amp;(AG757+50*14400),"📈 4H"),"")</f>
        <v/>
      </c>
      <c r="AG757" s="36" t="str">
        <f aca="false">IF(C757&lt;&gt;"",INT((C757+IF(D757&lt;&gt;"",D757,0)-DATE(1970,1,1))*86400),"")</f>
        <v/>
      </c>
    </row>
    <row r="758" customFormat="false" ht="19.5" hidden="false" customHeight="true" outlineLevel="0" collapsed="false">
      <c r="A758" s="37" t="n">
        <f aca="false">ROW()-4</f>
        <v>754</v>
      </c>
      <c r="B758" s="38"/>
      <c r="C758" s="39"/>
      <c r="D758" s="40"/>
      <c r="E758" s="39"/>
      <c r="F758" s="40"/>
      <c r="G758" s="41"/>
      <c r="H758" s="42"/>
      <c r="I758" s="43"/>
      <c r="J758" s="44"/>
      <c r="K758" s="39"/>
      <c r="L758" s="42"/>
      <c r="M758" s="44"/>
      <c r="N758" s="45"/>
      <c r="O758" s="44"/>
      <c r="P758" s="46"/>
      <c r="Q758" s="47" t="str">
        <f aca="false">IF(L758="","",IF(M758&lt;&gt;"",M758*L758*100,IF(AND(O758&lt;&gt;"",B758&lt;&gt;""),IFERROR(AVERAGEIF($B$5:$B$1004,B758,$M$5:$M$1004)*L758*100,""),"")))</f>
        <v/>
      </c>
      <c r="R758" s="47" t="str">
        <f aca="false">IF(AND(O758&lt;&gt;"",L758&lt;&gt;""),O758*L758*100,"")</f>
        <v/>
      </c>
      <c r="S758" s="48" t="str">
        <f aca="false">IF(AND(P758&lt;&gt;"",L758&lt;&gt;""),P758*L758*100,"")</f>
        <v/>
      </c>
      <c r="T758" s="49" t="str">
        <f aca="false">IF(AND(Q758&lt;&gt;"",R758&lt;&gt;""),R758-Q758,"")</f>
        <v/>
      </c>
      <c r="U758" s="50" t="str">
        <f aca="false">IF(AND(Q758&lt;&gt;"",Q758&lt;&gt;0,T758&lt;&gt;""),T758/Q758,"")</f>
        <v/>
      </c>
      <c r="V758" s="51" t="str">
        <f aca="false">IF(AND(S758&lt;&gt;"",Q758&lt;&gt;""),S758-Q758,"")</f>
        <v/>
      </c>
      <c r="W758" s="52" t="str">
        <f aca="false">IF(AND(Q758&lt;&gt;"",Q758&lt;&gt;0,V758&lt;&gt;""),V758/Q758,"")</f>
        <v/>
      </c>
      <c r="X758" s="53" t="s">
        <v>37</v>
      </c>
      <c r="Y758" s="54" t="str">
        <f aca="false">IF(AND(O758&lt;&gt;"",M758&lt;&gt;"",O758&gt;M758),CONCATENATE("1 : ",TEXT((O758-M758)/M758,"0.00")),IF(AND(O758&lt;&gt;"",M758&lt;&gt;"",O758&lt;M758),CONCATENATE("-1 : ",TEXT((M758-O758)/M758,"0.00")),"—"))</f>
        <v>—</v>
      </c>
      <c r="Z758" s="55" t="str">
        <f aca="false">IF(AND(P758&lt;&gt;"",M758&lt;&gt;"",P758&gt;M758),CONCATENATE("1 : ",TEXT((P758-M758)/M758,"0.00")),"—")</f>
        <v>—</v>
      </c>
      <c r="AA758" s="56" t="str">
        <f aca="false">IF(AND(C758&lt;&gt;"",E758&lt;&gt;""),E758-C758,"")</f>
        <v/>
      </c>
      <c r="AB758" s="42"/>
      <c r="AC758" s="57"/>
      <c r="AD758" s="58"/>
      <c r="AE758" s="59" t="str">
        <f aca="false">IF(G758&lt;&gt;"",HYPERLINK("https://www.tradingview.com/chart/?symbol="&amp;G758&amp;"&amp;interval=60&amp;from="&amp;(AG758-10*3600)&amp;"&amp;to="&amp;(AG758+50*3600),"📈 1H"),"")</f>
        <v/>
      </c>
      <c r="AF758" s="60" t="str">
        <f aca="false">IF(G758&lt;&gt;"",HYPERLINK("https://www.tradingview.com/chart/?symbol="&amp;G758&amp;"&amp;interval=240&amp;from="&amp;(AG758-10*14400)&amp;"&amp;to="&amp;(AG758+50*14400),"📈 4H"),"")</f>
        <v/>
      </c>
      <c r="AG758" s="36" t="str">
        <f aca="false">IF(C758&lt;&gt;"",INT((C758+IF(D758&lt;&gt;"",D758,0)-DATE(1970,1,1))*86400),"")</f>
        <v/>
      </c>
    </row>
    <row r="759" customFormat="false" ht="19.5" hidden="false" customHeight="true" outlineLevel="0" collapsed="false">
      <c r="A759" s="12" t="n">
        <f aca="false">ROW()-4</f>
        <v>755</v>
      </c>
      <c r="B759" s="13"/>
      <c r="C759" s="14"/>
      <c r="D759" s="15"/>
      <c r="E759" s="14"/>
      <c r="F759" s="15"/>
      <c r="G759" s="16"/>
      <c r="H759" s="17"/>
      <c r="I759" s="18"/>
      <c r="J759" s="19"/>
      <c r="K759" s="14"/>
      <c r="L759" s="17"/>
      <c r="M759" s="19"/>
      <c r="N759" s="20"/>
      <c r="O759" s="19"/>
      <c r="P759" s="21"/>
      <c r="Q759" s="22" t="str">
        <f aca="false">IF(L759="","",IF(M759&lt;&gt;"",M759*L759*100,IF(AND(O759&lt;&gt;"",B759&lt;&gt;""),IFERROR(AVERAGEIF($B$5:$B$1004,B759,$M$5:$M$1004)*L759*100,""),"")))</f>
        <v/>
      </c>
      <c r="R759" s="22" t="str">
        <f aca="false">IF(AND(O759&lt;&gt;"",L759&lt;&gt;""),O759*L759*100,"")</f>
        <v/>
      </c>
      <c r="S759" s="23" t="str">
        <f aca="false">IF(AND(P759&lt;&gt;"",L759&lt;&gt;""),P759*L759*100,"")</f>
        <v/>
      </c>
      <c r="T759" s="24" t="str">
        <f aca="false">IF(AND(Q759&lt;&gt;"",R759&lt;&gt;""),R759-Q759,"")</f>
        <v/>
      </c>
      <c r="U759" s="25" t="str">
        <f aca="false">IF(AND(Q759&lt;&gt;"",Q759&lt;&gt;0,T759&lt;&gt;""),T759/Q759,"")</f>
        <v/>
      </c>
      <c r="V759" s="26" t="str">
        <f aca="false">IF(AND(S759&lt;&gt;"",Q759&lt;&gt;""),S759-Q759,"")</f>
        <v/>
      </c>
      <c r="W759" s="27" t="str">
        <f aca="false">IF(AND(Q759&lt;&gt;"",Q759&lt;&gt;0,V759&lt;&gt;""),V759/Q759,"")</f>
        <v/>
      </c>
      <c r="X759" s="28" t="s">
        <v>37</v>
      </c>
      <c r="Y759" s="29" t="str">
        <f aca="false">IF(AND(O759&lt;&gt;"",M759&lt;&gt;"",O759&gt;M759),CONCATENATE("1 : ",TEXT((O759-M759)/M759,"0.00")),IF(AND(O759&lt;&gt;"",M759&lt;&gt;"",O759&lt;M759),CONCATENATE("-1 : ",TEXT((M759-O759)/M759,"0.00")),"—"))</f>
        <v>—</v>
      </c>
      <c r="Z759" s="30" t="str">
        <f aca="false">IF(AND(P759&lt;&gt;"",M759&lt;&gt;"",P759&gt;M759),CONCATENATE("1 : ",TEXT((P759-M759)/M759,"0.00")),"—")</f>
        <v>—</v>
      </c>
      <c r="AA759" s="31" t="str">
        <f aca="false">IF(AND(C759&lt;&gt;"",E759&lt;&gt;""),E759-C759,"")</f>
        <v/>
      </c>
      <c r="AB759" s="17"/>
      <c r="AC759" s="32"/>
      <c r="AD759" s="33"/>
      <c r="AE759" s="34" t="str">
        <f aca="false">IF(G759&lt;&gt;"",HYPERLINK("https://www.tradingview.com/chart/?symbol="&amp;G759&amp;"&amp;interval=60&amp;from="&amp;(AG759-10*3600)&amp;"&amp;to="&amp;(AG759+50*3600),"📈 1H"),"")</f>
        <v/>
      </c>
      <c r="AF759" s="35" t="str">
        <f aca="false">IF(G759&lt;&gt;"",HYPERLINK("https://www.tradingview.com/chart/?symbol="&amp;G759&amp;"&amp;interval=240&amp;from="&amp;(AG759-10*14400)&amp;"&amp;to="&amp;(AG759+50*14400),"📈 4H"),"")</f>
        <v/>
      </c>
      <c r="AG759" s="36" t="str">
        <f aca="false">IF(C759&lt;&gt;"",INT((C759+IF(D759&lt;&gt;"",D759,0)-DATE(1970,1,1))*86400),"")</f>
        <v/>
      </c>
    </row>
    <row r="760" customFormat="false" ht="19.5" hidden="false" customHeight="true" outlineLevel="0" collapsed="false">
      <c r="A760" s="37" t="n">
        <f aca="false">ROW()-4</f>
        <v>756</v>
      </c>
      <c r="B760" s="38"/>
      <c r="C760" s="39"/>
      <c r="D760" s="40"/>
      <c r="E760" s="39"/>
      <c r="F760" s="40"/>
      <c r="G760" s="41"/>
      <c r="H760" s="42"/>
      <c r="I760" s="43"/>
      <c r="J760" s="44"/>
      <c r="K760" s="39"/>
      <c r="L760" s="42"/>
      <c r="M760" s="44"/>
      <c r="N760" s="45"/>
      <c r="O760" s="44"/>
      <c r="P760" s="46"/>
      <c r="Q760" s="47" t="str">
        <f aca="false">IF(L760="","",IF(M760&lt;&gt;"",M760*L760*100,IF(AND(O760&lt;&gt;"",B760&lt;&gt;""),IFERROR(AVERAGEIF($B$5:$B$1004,B760,$M$5:$M$1004)*L760*100,""),"")))</f>
        <v/>
      </c>
      <c r="R760" s="47" t="str">
        <f aca="false">IF(AND(O760&lt;&gt;"",L760&lt;&gt;""),O760*L760*100,"")</f>
        <v/>
      </c>
      <c r="S760" s="48" t="str">
        <f aca="false">IF(AND(P760&lt;&gt;"",L760&lt;&gt;""),P760*L760*100,"")</f>
        <v/>
      </c>
      <c r="T760" s="49" t="str">
        <f aca="false">IF(AND(Q760&lt;&gt;"",R760&lt;&gt;""),R760-Q760,"")</f>
        <v/>
      </c>
      <c r="U760" s="50" t="str">
        <f aca="false">IF(AND(Q760&lt;&gt;"",Q760&lt;&gt;0,T760&lt;&gt;""),T760/Q760,"")</f>
        <v/>
      </c>
      <c r="V760" s="51" t="str">
        <f aca="false">IF(AND(S760&lt;&gt;"",Q760&lt;&gt;""),S760-Q760,"")</f>
        <v/>
      </c>
      <c r="W760" s="52" t="str">
        <f aca="false">IF(AND(Q760&lt;&gt;"",Q760&lt;&gt;0,V760&lt;&gt;""),V760/Q760,"")</f>
        <v/>
      </c>
      <c r="X760" s="53" t="s">
        <v>37</v>
      </c>
      <c r="Y760" s="54" t="str">
        <f aca="false">IF(AND(O760&lt;&gt;"",M760&lt;&gt;"",O760&gt;M760),CONCATENATE("1 : ",TEXT((O760-M760)/M760,"0.00")),IF(AND(O760&lt;&gt;"",M760&lt;&gt;"",O760&lt;M760),CONCATENATE("-1 : ",TEXT((M760-O760)/M760,"0.00")),"—"))</f>
        <v>—</v>
      </c>
      <c r="Z760" s="55" t="str">
        <f aca="false">IF(AND(P760&lt;&gt;"",M760&lt;&gt;"",P760&gt;M760),CONCATENATE("1 : ",TEXT((P760-M760)/M760,"0.00")),"—")</f>
        <v>—</v>
      </c>
      <c r="AA760" s="56" t="str">
        <f aca="false">IF(AND(C760&lt;&gt;"",E760&lt;&gt;""),E760-C760,"")</f>
        <v/>
      </c>
      <c r="AB760" s="42"/>
      <c r="AC760" s="57"/>
      <c r="AD760" s="58"/>
      <c r="AE760" s="59" t="str">
        <f aca="false">IF(G760&lt;&gt;"",HYPERLINK("https://www.tradingview.com/chart/?symbol="&amp;G760&amp;"&amp;interval=60&amp;from="&amp;(AG760-10*3600)&amp;"&amp;to="&amp;(AG760+50*3600),"📈 1H"),"")</f>
        <v/>
      </c>
      <c r="AF760" s="60" t="str">
        <f aca="false">IF(G760&lt;&gt;"",HYPERLINK("https://www.tradingview.com/chart/?symbol="&amp;G760&amp;"&amp;interval=240&amp;from="&amp;(AG760-10*14400)&amp;"&amp;to="&amp;(AG760+50*14400),"📈 4H"),"")</f>
        <v/>
      </c>
      <c r="AG760" s="36" t="str">
        <f aca="false">IF(C760&lt;&gt;"",INT((C760+IF(D760&lt;&gt;"",D760,0)-DATE(1970,1,1))*86400),"")</f>
        <v/>
      </c>
    </row>
    <row r="761" customFormat="false" ht="19.5" hidden="false" customHeight="true" outlineLevel="0" collapsed="false">
      <c r="A761" s="12" t="n">
        <f aca="false">ROW()-4</f>
        <v>757</v>
      </c>
      <c r="B761" s="13"/>
      <c r="C761" s="14"/>
      <c r="D761" s="15"/>
      <c r="E761" s="14"/>
      <c r="F761" s="15"/>
      <c r="G761" s="16"/>
      <c r="H761" s="17"/>
      <c r="I761" s="18"/>
      <c r="J761" s="19"/>
      <c r="K761" s="14"/>
      <c r="L761" s="17"/>
      <c r="M761" s="19"/>
      <c r="N761" s="20"/>
      <c r="O761" s="19"/>
      <c r="P761" s="21"/>
      <c r="Q761" s="22" t="str">
        <f aca="false">IF(L761="","",IF(M761&lt;&gt;"",M761*L761*100,IF(AND(O761&lt;&gt;"",B761&lt;&gt;""),IFERROR(AVERAGEIF($B$5:$B$1004,B761,$M$5:$M$1004)*L761*100,""),"")))</f>
        <v/>
      </c>
      <c r="R761" s="22" t="str">
        <f aca="false">IF(AND(O761&lt;&gt;"",L761&lt;&gt;""),O761*L761*100,"")</f>
        <v/>
      </c>
      <c r="S761" s="23" t="str">
        <f aca="false">IF(AND(P761&lt;&gt;"",L761&lt;&gt;""),P761*L761*100,"")</f>
        <v/>
      </c>
      <c r="T761" s="24" t="str">
        <f aca="false">IF(AND(Q761&lt;&gt;"",R761&lt;&gt;""),R761-Q761,"")</f>
        <v/>
      </c>
      <c r="U761" s="25" t="str">
        <f aca="false">IF(AND(Q761&lt;&gt;"",Q761&lt;&gt;0,T761&lt;&gt;""),T761/Q761,"")</f>
        <v/>
      </c>
      <c r="V761" s="26" t="str">
        <f aca="false">IF(AND(S761&lt;&gt;"",Q761&lt;&gt;""),S761-Q761,"")</f>
        <v/>
      </c>
      <c r="W761" s="27" t="str">
        <f aca="false">IF(AND(Q761&lt;&gt;"",Q761&lt;&gt;0,V761&lt;&gt;""),V761/Q761,"")</f>
        <v/>
      </c>
      <c r="X761" s="28" t="s">
        <v>37</v>
      </c>
      <c r="Y761" s="29" t="str">
        <f aca="false">IF(AND(O761&lt;&gt;"",M761&lt;&gt;"",O761&gt;M761),CONCATENATE("1 : ",TEXT((O761-M761)/M761,"0.00")),IF(AND(O761&lt;&gt;"",M761&lt;&gt;"",O761&lt;M761),CONCATENATE("-1 : ",TEXT((M761-O761)/M761,"0.00")),"—"))</f>
        <v>—</v>
      </c>
      <c r="Z761" s="30" t="str">
        <f aca="false">IF(AND(P761&lt;&gt;"",M761&lt;&gt;"",P761&gt;M761),CONCATENATE("1 : ",TEXT((P761-M761)/M761,"0.00")),"—")</f>
        <v>—</v>
      </c>
      <c r="AA761" s="31" t="str">
        <f aca="false">IF(AND(C761&lt;&gt;"",E761&lt;&gt;""),E761-C761,"")</f>
        <v/>
      </c>
      <c r="AB761" s="17"/>
      <c r="AC761" s="32"/>
      <c r="AD761" s="33"/>
      <c r="AE761" s="34" t="str">
        <f aca="false">IF(G761&lt;&gt;"",HYPERLINK("https://www.tradingview.com/chart/?symbol="&amp;G761&amp;"&amp;interval=60&amp;from="&amp;(AG761-10*3600)&amp;"&amp;to="&amp;(AG761+50*3600),"📈 1H"),"")</f>
        <v/>
      </c>
      <c r="AF761" s="35" t="str">
        <f aca="false">IF(G761&lt;&gt;"",HYPERLINK("https://www.tradingview.com/chart/?symbol="&amp;G761&amp;"&amp;interval=240&amp;from="&amp;(AG761-10*14400)&amp;"&amp;to="&amp;(AG761+50*14400),"📈 4H"),"")</f>
        <v/>
      </c>
      <c r="AG761" s="36" t="str">
        <f aca="false">IF(C761&lt;&gt;"",INT((C761+IF(D761&lt;&gt;"",D761,0)-DATE(1970,1,1))*86400),"")</f>
        <v/>
      </c>
    </row>
    <row r="762" customFormat="false" ht="19.5" hidden="false" customHeight="true" outlineLevel="0" collapsed="false">
      <c r="A762" s="37" t="n">
        <f aca="false">ROW()-4</f>
        <v>758</v>
      </c>
      <c r="B762" s="38"/>
      <c r="C762" s="39"/>
      <c r="D762" s="40"/>
      <c r="E762" s="39"/>
      <c r="F762" s="40"/>
      <c r="G762" s="41"/>
      <c r="H762" s="42"/>
      <c r="I762" s="43"/>
      <c r="J762" s="44"/>
      <c r="K762" s="39"/>
      <c r="L762" s="42"/>
      <c r="M762" s="44"/>
      <c r="N762" s="45"/>
      <c r="O762" s="44"/>
      <c r="P762" s="46"/>
      <c r="Q762" s="47" t="str">
        <f aca="false">IF(L762="","",IF(M762&lt;&gt;"",M762*L762*100,IF(AND(O762&lt;&gt;"",B762&lt;&gt;""),IFERROR(AVERAGEIF($B$5:$B$1004,B762,$M$5:$M$1004)*L762*100,""),"")))</f>
        <v/>
      </c>
      <c r="R762" s="47" t="str">
        <f aca="false">IF(AND(O762&lt;&gt;"",L762&lt;&gt;""),O762*L762*100,"")</f>
        <v/>
      </c>
      <c r="S762" s="48" t="str">
        <f aca="false">IF(AND(P762&lt;&gt;"",L762&lt;&gt;""),P762*L762*100,"")</f>
        <v/>
      </c>
      <c r="T762" s="49" t="str">
        <f aca="false">IF(AND(Q762&lt;&gt;"",R762&lt;&gt;""),R762-Q762,"")</f>
        <v/>
      </c>
      <c r="U762" s="50" t="str">
        <f aca="false">IF(AND(Q762&lt;&gt;"",Q762&lt;&gt;0,T762&lt;&gt;""),T762/Q762,"")</f>
        <v/>
      </c>
      <c r="V762" s="51" t="str">
        <f aca="false">IF(AND(S762&lt;&gt;"",Q762&lt;&gt;""),S762-Q762,"")</f>
        <v/>
      </c>
      <c r="W762" s="52" t="str">
        <f aca="false">IF(AND(Q762&lt;&gt;"",Q762&lt;&gt;0,V762&lt;&gt;""),V762/Q762,"")</f>
        <v/>
      </c>
      <c r="X762" s="53" t="s">
        <v>37</v>
      </c>
      <c r="Y762" s="54" t="str">
        <f aca="false">IF(AND(O762&lt;&gt;"",M762&lt;&gt;"",O762&gt;M762),CONCATENATE("1 : ",TEXT((O762-M762)/M762,"0.00")),IF(AND(O762&lt;&gt;"",M762&lt;&gt;"",O762&lt;M762),CONCATENATE("-1 : ",TEXT((M762-O762)/M762,"0.00")),"—"))</f>
        <v>—</v>
      </c>
      <c r="Z762" s="55" t="str">
        <f aca="false">IF(AND(P762&lt;&gt;"",M762&lt;&gt;"",P762&gt;M762),CONCATENATE("1 : ",TEXT((P762-M762)/M762,"0.00")),"—")</f>
        <v>—</v>
      </c>
      <c r="AA762" s="56" t="str">
        <f aca="false">IF(AND(C762&lt;&gt;"",E762&lt;&gt;""),E762-C762,"")</f>
        <v/>
      </c>
      <c r="AB762" s="42"/>
      <c r="AC762" s="57"/>
      <c r="AD762" s="58"/>
      <c r="AE762" s="59" t="str">
        <f aca="false">IF(G762&lt;&gt;"",HYPERLINK("https://www.tradingview.com/chart/?symbol="&amp;G762&amp;"&amp;interval=60&amp;from="&amp;(AG762-10*3600)&amp;"&amp;to="&amp;(AG762+50*3600),"📈 1H"),"")</f>
        <v/>
      </c>
      <c r="AF762" s="60" t="str">
        <f aca="false">IF(G762&lt;&gt;"",HYPERLINK("https://www.tradingview.com/chart/?symbol="&amp;G762&amp;"&amp;interval=240&amp;from="&amp;(AG762-10*14400)&amp;"&amp;to="&amp;(AG762+50*14400),"📈 4H"),"")</f>
        <v/>
      </c>
      <c r="AG762" s="36" t="str">
        <f aca="false">IF(C762&lt;&gt;"",INT((C762+IF(D762&lt;&gt;"",D762,0)-DATE(1970,1,1))*86400),"")</f>
        <v/>
      </c>
    </row>
    <row r="763" customFormat="false" ht="19.5" hidden="false" customHeight="true" outlineLevel="0" collapsed="false">
      <c r="A763" s="12" t="n">
        <f aca="false">ROW()-4</f>
        <v>759</v>
      </c>
      <c r="B763" s="13"/>
      <c r="C763" s="14"/>
      <c r="D763" s="15"/>
      <c r="E763" s="14"/>
      <c r="F763" s="15"/>
      <c r="G763" s="16"/>
      <c r="H763" s="17"/>
      <c r="I763" s="18"/>
      <c r="J763" s="19"/>
      <c r="K763" s="14"/>
      <c r="L763" s="17"/>
      <c r="M763" s="19"/>
      <c r="N763" s="20"/>
      <c r="O763" s="19"/>
      <c r="P763" s="21"/>
      <c r="Q763" s="22" t="str">
        <f aca="false">IF(L763="","",IF(M763&lt;&gt;"",M763*L763*100,IF(AND(O763&lt;&gt;"",B763&lt;&gt;""),IFERROR(AVERAGEIF($B$5:$B$1004,B763,$M$5:$M$1004)*L763*100,""),"")))</f>
        <v/>
      </c>
      <c r="R763" s="22" t="str">
        <f aca="false">IF(AND(O763&lt;&gt;"",L763&lt;&gt;""),O763*L763*100,"")</f>
        <v/>
      </c>
      <c r="S763" s="23" t="str">
        <f aca="false">IF(AND(P763&lt;&gt;"",L763&lt;&gt;""),P763*L763*100,"")</f>
        <v/>
      </c>
      <c r="T763" s="24" t="str">
        <f aca="false">IF(AND(Q763&lt;&gt;"",R763&lt;&gt;""),R763-Q763,"")</f>
        <v/>
      </c>
      <c r="U763" s="25" t="str">
        <f aca="false">IF(AND(Q763&lt;&gt;"",Q763&lt;&gt;0,T763&lt;&gt;""),T763/Q763,"")</f>
        <v/>
      </c>
      <c r="V763" s="26" t="str">
        <f aca="false">IF(AND(S763&lt;&gt;"",Q763&lt;&gt;""),S763-Q763,"")</f>
        <v/>
      </c>
      <c r="W763" s="27" t="str">
        <f aca="false">IF(AND(Q763&lt;&gt;"",Q763&lt;&gt;0,V763&lt;&gt;""),V763/Q763,"")</f>
        <v/>
      </c>
      <c r="X763" s="28" t="s">
        <v>37</v>
      </c>
      <c r="Y763" s="29" t="str">
        <f aca="false">IF(AND(O763&lt;&gt;"",M763&lt;&gt;"",O763&gt;M763),CONCATENATE("1 : ",TEXT((O763-M763)/M763,"0.00")),IF(AND(O763&lt;&gt;"",M763&lt;&gt;"",O763&lt;M763),CONCATENATE("-1 : ",TEXT((M763-O763)/M763,"0.00")),"—"))</f>
        <v>—</v>
      </c>
      <c r="Z763" s="30" t="str">
        <f aca="false">IF(AND(P763&lt;&gt;"",M763&lt;&gt;"",P763&gt;M763),CONCATENATE("1 : ",TEXT((P763-M763)/M763,"0.00")),"—")</f>
        <v>—</v>
      </c>
      <c r="AA763" s="31" t="str">
        <f aca="false">IF(AND(C763&lt;&gt;"",E763&lt;&gt;""),E763-C763,"")</f>
        <v/>
      </c>
      <c r="AB763" s="17"/>
      <c r="AC763" s="32"/>
      <c r="AD763" s="33"/>
      <c r="AE763" s="34" t="str">
        <f aca="false">IF(G763&lt;&gt;"",HYPERLINK("https://www.tradingview.com/chart/?symbol="&amp;G763&amp;"&amp;interval=60&amp;from="&amp;(AG763-10*3600)&amp;"&amp;to="&amp;(AG763+50*3600),"📈 1H"),"")</f>
        <v/>
      </c>
      <c r="AF763" s="35" t="str">
        <f aca="false">IF(G763&lt;&gt;"",HYPERLINK("https://www.tradingview.com/chart/?symbol="&amp;G763&amp;"&amp;interval=240&amp;from="&amp;(AG763-10*14400)&amp;"&amp;to="&amp;(AG763+50*14400),"📈 4H"),"")</f>
        <v/>
      </c>
      <c r="AG763" s="36" t="str">
        <f aca="false">IF(C763&lt;&gt;"",INT((C763+IF(D763&lt;&gt;"",D763,0)-DATE(1970,1,1))*86400),"")</f>
        <v/>
      </c>
    </row>
    <row r="764" customFormat="false" ht="19.5" hidden="false" customHeight="true" outlineLevel="0" collapsed="false">
      <c r="A764" s="37" t="n">
        <f aca="false">ROW()-4</f>
        <v>760</v>
      </c>
      <c r="B764" s="38"/>
      <c r="C764" s="39"/>
      <c r="D764" s="40"/>
      <c r="E764" s="39"/>
      <c r="F764" s="40"/>
      <c r="G764" s="41"/>
      <c r="H764" s="42"/>
      <c r="I764" s="43"/>
      <c r="J764" s="44"/>
      <c r="K764" s="39"/>
      <c r="L764" s="42"/>
      <c r="M764" s="44"/>
      <c r="N764" s="45"/>
      <c r="O764" s="44"/>
      <c r="P764" s="46"/>
      <c r="Q764" s="47" t="str">
        <f aca="false">IF(L764="","",IF(M764&lt;&gt;"",M764*L764*100,IF(AND(O764&lt;&gt;"",B764&lt;&gt;""),IFERROR(AVERAGEIF($B$5:$B$1004,B764,$M$5:$M$1004)*L764*100,""),"")))</f>
        <v/>
      </c>
      <c r="R764" s="47" t="str">
        <f aca="false">IF(AND(O764&lt;&gt;"",L764&lt;&gt;""),O764*L764*100,"")</f>
        <v/>
      </c>
      <c r="S764" s="48" t="str">
        <f aca="false">IF(AND(P764&lt;&gt;"",L764&lt;&gt;""),P764*L764*100,"")</f>
        <v/>
      </c>
      <c r="T764" s="49" t="str">
        <f aca="false">IF(AND(Q764&lt;&gt;"",R764&lt;&gt;""),R764-Q764,"")</f>
        <v/>
      </c>
      <c r="U764" s="50" t="str">
        <f aca="false">IF(AND(Q764&lt;&gt;"",Q764&lt;&gt;0,T764&lt;&gt;""),T764/Q764,"")</f>
        <v/>
      </c>
      <c r="V764" s="51" t="str">
        <f aca="false">IF(AND(S764&lt;&gt;"",Q764&lt;&gt;""),S764-Q764,"")</f>
        <v/>
      </c>
      <c r="W764" s="52" t="str">
        <f aca="false">IF(AND(Q764&lt;&gt;"",Q764&lt;&gt;0,V764&lt;&gt;""),V764/Q764,"")</f>
        <v/>
      </c>
      <c r="X764" s="53" t="s">
        <v>37</v>
      </c>
      <c r="Y764" s="54" t="str">
        <f aca="false">IF(AND(O764&lt;&gt;"",M764&lt;&gt;"",O764&gt;M764),CONCATENATE("1 : ",TEXT((O764-M764)/M764,"0.00")),IF(AND(O764&lt;&gt;"",M764&lt;&gt;"",O764&lt;M764),CONCATENATE("-1 : ",TEXT((M764-O764)/M764,"0.00")),"—"))</f>
        <v>—</v>
      </c>
      <c r="Z764" s="55" t="str">
        <f aca="false">IF(AND(P764&lt;&gt;"",M764&lt;&gt;"",P764&gt;M764),CONCATENATE("1 : ",TEXT((P764-M764)/M764,"0.00")),"—")</f>
        <v>—</v>
      </c>
      <c r="AA764" s="56" t="str">
        <f aca="false">IF(AND(C764&lt;&gt;"",E764&lt;&gt;""),E764-C764,"")</f>
        <v/>
      </c>
      <c r="AB764" s="42"/>
      <c r="AC764" s="57"/>
      <c r="AD764" s="58"/>
      <c r="AE764" s="59" t="str">
        <f aca="false">IF(G764&lt;&gt;"",HYPERLINK("https://www.tradingview.com/chart/?symbol="&amp;G764&amp;"&amp;interval=60&amp;from="&amp;(AG764-10*3600)&amp;"&amp;to="&amp;(AG764+50*3600),"📈 1H"),"")</f>
        <v/>
      </c>
      <c r="AF764" s="60" t="str">
        <f aca="false">IF(G764&lt;&gt;"",HYPERLINK("https://www.tradingview.com/chart/?symbol="&amp;G764&amp;"&amp;interval=240&amp;from="&amp;(AG764-10*14400)&amp;"&amp;to="&amp;(AG764+50*14400),"📈 4H"),"")</f>
        <v/>
      </c>
      <c r="AG764" s="36" t="str">
        <f aca="false">IF(C764&lt;&gt;"",INT((C764+IF(D764&lt;&gt;"",D764,0)-DATE(1970,1,1))*86400),"")</f>
        <v/>
      </c>
    </row>
    <row r="765" customFormat="false" ht="19.5" hidden="false" customHeight="true" outlineLevel="0" collapsed="false">
      <c r="A765" s="12" t="n">
        <f aca="false">ROW()-4</f>
        <v>761</v>
      </c>
      <c r="B765" s="13"/>
      <c r="C765" s="14"/>
      <c r="D765" s="15"/>
      <c r="E765" s="14"/>
      <c r="F765" s="15"/>
      <c r="G765" s="16"/>
      <c r="H765" s="17"/>
      <c r="I765" s="18"/>
      <c r="J765" s="19"/>
      <c r="K765" s="14"/>
      <c r="L765" s="17"/>
      <c r="M765" s="19"/>
      <c r="N765" s="20"/>
      <c r="O765" s="19"/>
      <c r="P765" s="21"/>
      <c r="Q765" s="22" t="str">
        <f aca="false">IF(L765="","",IF(M765&lt;&gt;"",M765*L765*100,IF(AND(O765&lt;&gt;"",B765&lt;&gt;""),IFERROR(AVERAGEIF($B$5:$B$1004,B765,$M$5:$M$1004)*L765*100,""),"")))</f>
        <v/>
      </c>
      <c r="R765" s="22" t="str">
        <f aca="false">IF(AND(O765&lt;&gt;"",L765&lt;&gt;""),O765*L765*100,"")</f>
        <v/>
      </c>
      <c r="S765" s="23" t="str">
        <f aca="false">IF(AND(P765&lt;&gt;"",L765&lt;&gt;""),P765*L765*100,"")</f>
        <v/>
      </c>
      <c r="T765" s="24" t="str">
        <f aca="false">IF(AND(Q765&lt;&gt;"",R765&lt;&gt;""),R765-Q765,"")</f>
        <v/>
      </c>
      <c r="U765" s="25" t="str">
        <f aca="false">IF(AND(Q765&lt;&gt;"",Q765&lt;&gt;0,T765&lt;&gt;""),T765/Q765,"")</f>
        <v/>
      </c>
      <c r="V765" s="26" t="str">
        <f aca="false">IF(AND(S765&lt;&gt;"",Q765&lt;&gt;""),S765-Q765,"")</f>
        <v/>
      </c>
      <c r="W765" s="27" t="str">
        <f aca="false">IF(AND(Q765&lt;&gt;"",Q765&lt;&gt;0,V765&lt;&gt;""),V765/Q765,"")</f>
        <v/>
      </c>
      <c r="X765" s="28" t="s">
        <v>37</v>
      </c>
      <c r="Y765" s="29" t="str">
        <f aca="false">IF(AND(O765&lt;&gt;"",M765&lt;&gt;"",O765&gt;M765),CONCATENATE("1 : ",TEXT((O765-M765)/M765,"0.00")),IF(AND(O765&lt;&gt;"",M765&lt;&gt;"",O765&lt;M765),CONCATENATE("-1 : ",TEXT((M765-O765)/M765,"0.00")),"—"))</f>
        <v>—</v>
      </c>
      <c r="Z765" s="30" t="str">
        <f aca="false">IF(AND(P765&lt;&gt;"",M765&lt;&gt;"",P765&gt;M765),CONCATENATE("1 : ",TEXT((P765-M765)/M765,"0.00")),"—")</f>
        <v>—</v>
      </c>
      <c r="AA765" s="31" t="str">
        <f aca="false">IF(AND(C765&lt;&gt;"",E765&lt;&gt;""),E765-C765,"")</f>
        <v/>
      </c>
      <c r="AB765" s="17"/>
      <c r="AC765" s="32"/>
      <c r="AD765" s="33"/>
      <c r="AE765" s="34" t="str">
        <f aca="false">IF(G765&lt;&gt;"",HYPERLINK("https://www.tradingview.com/chart/?symbol="&amp;G765&amp;"&amp;interval=60&amp;from="&amp;(AG765-10*3600)&amp;"&amp;to="&amp;(AG765+50*3600),"📈 1H"),"")</f>
        <v/>
      </c>
      <c r="AF765" s="35" t="str">
        <f aca="false">IF(G765&lt;&gt;"",HYPERLINK("https://www.tradingview.com/chart/?symbol="&amp;G765&amp;"&amp;interval=240&amp;from="&amp;(AG765-10*14400)&amp;"&amp;to="&amp;(AG765+50*14400),"📈 4H"),"")</f>
        <v/>
      </c>
      <c r="AG765" s="36" t="str">
        <f aca="false">IF(C765&lt;&gt;"",INT((C765+IF(D765&lt;&gt;"",D765,0)-DATE(1970,1,1))*86400),"")</f>
        <v/>
      </c>
    </row>
    <row r="766" customFormat="false" ht="19.5" hidden="false" customHeight="true" outlineLevel="0" collapsed="false">
      <c r="A766" s="37" t="n">
        <f aca="false">ROW()-4</f>
        <v>762</v>
      </c>
      <c r="B766" s="38"/>
      <c r="C766" s="39"/>
      <c r="D766" s="40"/>
      <c r="E766" s="39"/>
      <c r="F766" s="40"/>
      <c r="G766" s="41"/>
      <c r="H766" s="42"/>
      <c r="I766" s="43"/>
      <c r="J766" s="44"/>
      <c r="K766" s="39"/>
      <c r="L766" s="42"/>
      <c r="M766" s="44"/>
      <c r="N766" s="45"/>
      <c r="O766" s="44"/>
      <c r="P766" s="46"/>
      <c r="Q766" s="47" t="str">
        <f aca="false">IF(L766="","",IF(M766&lt;&gt;"",M766*L766*100,IF(AND(O766&lt;&gt;"",B766&lt;&gt;""),IFERROR(AVERAGEIF($B$5:$B$1004,B766,$M$5:$M$1004)*L766*100,""),"")))</f>
        <v/>
      </c>
      <c r="R766" s="47" t="str">
        <f aca="false">IF(AND(O766&lt;&gt;"",L766&lt;&gt;""),O766*L766*100,"")</f>
        <v/>
      </c>
      <c r="S766" s="48" t="str">
        <f aca="false">IF(AND(P766&lt;&gt;"",L766&lt;&gt;""),P766*L766*100,"")</f>
        <v/>
      </c>
      <c r="T766" s="49" t="str">
        <f aca="false">IF(AND(Q766&lt;&gt;"",R766&lt;&gt;""),R766-Q766,"")</f>
        <v/>
      </c>
      <c r="U766" s="50" t="str">
        <f aca="false">IF(AND(Q766&lt;&gt;"",Q766&lt;&gt;0,T766&lt;&gt;""),T766/Q766,"")</f>
        <v/>
      </c>
      <c r="V766" s="51" t="str">
        <f aca="false">IF(AND(S766&lt;&gt;"",Q766&lt;&gt;""),S766-Q766,"")</f>
        <v/>
      </c>
      <c r="W766" s="52" t="str">
        <f aca="false">IF(AND(Q766&lt;&gt;"",Q766&lt;&gt;0,V766&lt;&gt;""),V766/Q766,"")</f>
        <v/>
      </c>
      <c r="X766" s="53" t="s">
        <v>37</v>
      </c>
      <c r="Y766" s="54" t="str">
        <f aca="false">IF(AND(O766&lt;&gt;"",M766&lt;&gt;"",O766&gt;M766),CONCATENATE("1 : ",TEXT((O766-M766)/M766,"0.00")),IF(AND(O766&lt;&gt;"",M766&lt;&gt;"",O766&lt;M766),CONCATENATE("-1 : ",TEXT((M766-O766)/M766,"0.00")),"—"))</f>
        <v>—</v>
      </c>
      <c r="Z766" s="55" t="str">
        <f aca="false">IF(AND(P766&lt;&gt;"",M766&lt;&gt;"",P766&gt;M766),CONCATENATE("1 : ",TEXT((P766-M766)/M766,"0.00")),"—")</f>
        <v>—</v>
      </c>
      <c r="AA766" s="56" t="str">
        <f aca="false">IF(AND(C766&lt;&gt;"",E766&lt;&gt;""),E766-C766,"")</f>
        <v/>
      </c>
      <c r="AB766" s="42"/>
      <c r="AC766" s="57"/>
      <c r="AD766" s="58"/>
      <c r="AE766" s="59" t="str">
        <f aca="false">IF(G766&lt;&gt;"",HYPERLINK("https://www.tradingview.com/chart/?symbol="&amp;G766&amp;"&amp;interval=60&amp;from="&amp;(AG766-10*3600)&amp;"&amp;to="&amp;(AG766+50*3600),"📈 1H"),"")</f>
        <v/>
      </c>
      <c r="AF766" s="60" t="str">
        <f aca="false">IF(G766&lt;&gt;"",HYPERLINK("https://www.tradingview.com/chart/?symbol="&amp;G766&amp;"&amp;interval=240&amp;from="&amp;(AG766-10*14400)&amp;"&amp;to="&amp;(AG766+50*14400),"📈 4H"),"")</f>
        <v/>
      </c>
      <c r="AG766" s="36" t="str">
        <f aca="false">IF(C766&lt;&gt;"",INT((C766+IF(D766&lt;&gt;"",D766,0)-DATE(1970,1,1))*86400),"")</f>
        <v/>
      </c>
    </row>
    <row r="767" customFormat="false" ht="19.5" hidden="false" customHeight="true" outlineLevel="0" collapsed="false">
      <c r="A767" s="12" t="n">
        <f aca="false">ROW()-4</f>
        <v>763</v>
      </c>
      <c r="B767" s="13"/>
      <c r="C767" s="14"/>
      <c r="D767" s="15"/>
      <c r="E767" s="14"/>
      <c r="F767" s="15"/>
      <c r="G767" s="16"/>
      <c r="H767" s="17"/>
      <c r="I767" s="18"/>
      <c r="J767" s="19"/>
      <c r="K767" s="14"/>
      <c r="L767" s="17"/>
      <c r="M767" s="19"/>
      <c r="N767" s="20"/>
      <c r="O767" s="19"/>
      <c r="P767" s="21"/>
      <c r="Q767" s="22" t="str">
        <f aca="false">IF(L767="","",IF(M767&lt;&gt;"",M767*L767*100,IF(AND(O767&lt;&gt;"",B767&lt;&gt;""),IFERROR(AVERAGEIF($B$5:$B$1004,B767,$M$5:$M$1004)*L767*100,""),"")))</f>
        <v/>
      </c>
      <c r="R767" s="22" t="str">
        <f aca="false">IF(AND(O767&lt;&gt;"",L767&lt;&gt;""),O767*L767*100,"")</f>
        <v/>
      </c>
      <c r="S767" s="23" t="str">
        <f aca="false">IF(AND(P767&lt;&gt;"",L767&lt;&gt;""),P767*L767*100,"")</f>
        <v/>
      </c>
      <c r="T767" s="24" t="str">
        <f aca="false">IF(AND(Q767&lt;&gt;"",R767&lt;&gt;""),R767-Q767,"")</f>
        <v/>
      </c>
      <c r="U767" s="25" t="str">
        <f aca="false">IF(AND(Q767&lt;&gt;"",Q767&lt;&gt;0,T767&lt;&gt;""),T767/Q767,"")</f>
        <v/>
      </c>
      <c r="V767" s="26" t="str">
        <f aca="false">IF(AND(S767&lt;&gt;"",Q767&lt;&gt;""),S767-Q767,"")</f>
        <v/>
      </c>
      <c r="W767" s="27" t="str">
        <f aca="false">IF(AND(Q767&lt;&gt;"",Q767&lt;&gt;0,V767&lt;&gt;""),V767/Q767,"")</f>
        <v/>
      </c>
      <c r="X767" s="28" t="s">
        <v>37</v>
      </c>
      <c r="Y767" s="29" t="str">
        <f aca="false">IF(AND(O767&lt;&gt;"",M767&lt;&gt;"",O767&gt;M767),CONCATENATE("1 : ",TEXT((O767-M767)/M767,"0.00")),IF(AND(O767&lt;&gt;"",M767&lt;&gt;"",O767&lt;M767),CONCATENATE("-1 : ",TEXT((M767-O767)/M767,"0.00")),"—"))</f>
        <v>—</v>
      </c>
      <c r="Z767" s="30" t="str">
        <f aca="false">IF(AND(P767&lt;&gt;"",M767&lt;&gt;"",P767&gt;M767),CONCATENATE("1 : ",TEXT((P767-M767)/M767,"0.00")),"—")</f>
        <v>—</v>
      </c>
      <c r="AA767" s="31" t="str">
        <f aca="false">IF(AND(C767&lt;&gt;"",E767&lt;&gt;""),E767-C767,"")</f>
        <v/>
      </c>
      <c r="AB767" s="17"/>
      <c r="AC767" s="32"/>
      <c r="AD767" s="33"/>
      <c r="AE767" s="34" t="str">
        <f aca="false">IF(G767&lt;&gt;"",HYPERLINK("https://www.tradingview.com/chart/?symbol="&amp;G767&amp;"&amp;interval=60&amp;from="&amp;(AG767-10*3600)&amp;"&amp;to="&amp;(AG767+50*3600),"📈 1H"),"")</f>
        <v/>
      </c>
      <c r="AF767" s="35" t="str">
        <f aca="false">IF(G767&lt;&gt;"",HYPERLINK("https://www.tradingview.com/chart/?symbol="&amp;G767&amp;"&amp;interval=240&amp;from="&amp;(AG767-10*14400)&amp;"&amp;to="&amp;(AG767+50*14400),"📈 4H"),"")</f>
        <v/>
      </c>
      <c r="AG767" s="36" t="str">
        <f aca="false">IF(C767&lt;&gt;"",INT((C767+IF(D767&lt;&gt;"",D767,0)-DATE(1970,1,1))*86400),"")</f>
        <v/>
      </c>
    </row>
    <row r="768" customFormat="false" ht="19.5" hidden="false" customHeight="true" outlineLevel="0" collapsed="false">
      <c r="A768" s="37" t="n">
        <f aca="false">ROW()-4</f>
        <v>764</v>
      </c>
      <c r="B768" s="38"/>
      <c r="C768" s="39"/>
      <c r="D768" s="40"/>
      <c r="E768" s="39"/>
      <c r="F768" s="40"/>
      <c r="G768" s="41"/>
      <c r="H768" s="42"/>
      <c r="I768" s="43"/>
      <c r="J768" s="44"/>
      <c r="K768" s="39"/>
      <c r="L768" s="42"/>
      <c r="M768" s="44"/>
      <c r="N768" s="45"/>
      <c r="O768" s="44"/>
      <c r="P768" s="46"/>
      <c r="Q768" s="47" t="str">
        <f aca="false">IF(L768="","",IF(M768&lt;&gt;"",M768*L768*100,IF(AND(O768&lt;&gt;"",B768&lt;&gt;""),IFERROR(AVERAGEIF($B$5:$B$1004,B768,$M$5:$M$1004)*L768*100,""),"")))</f>
        <v/>
      </c>
      <c r="R768" s="47" t="str">
        <f aca="false">IF(AND(O768&lt;&gt;"",L768&lt;&gt;""),O768*L768*100,"")</f>
        <v/>
      </c>
      <c r="S768" s="48" t="str">
        <f aca="false">IF(AND(P768&lt;&gt;"",L768&lt;&gt;""),P768*L768*100,"")</f>
        <v/>
      </c>
      <c r="T768" s="49" t="str">
        <f aca="false">IF(AND(Q768&lt;&gt;"",R768&lt;&gt;""),R768-Q768,"")</f>
        <v/>
      </c>
      <c r="U768" s="50" t="str">
        <f aca="false">IF(AND(Q768&lt;&gt;"",Q768&lt;&gt;0,T768&lt;&gt;""),T768/Q768,"")</f>
        <v/>
      </c>
      <c r="V768" s="51" t="str">
        <f aca="false">IF(AND(S768&lt;&gt;"",Q768&lt;&gt;""),S768-Q768,"")</f>
        <v/>
      </c>
      <c r="W768" s="52" t="str">
        <f aca="false">IF(AND(Q768&lt;&gt;"",Q768&lt;&gt;0,V768&lt;&gt;""),V768/Q768,"")</f>
        <v/>
      </c>
      <c r="X768" s="53" t="s">
        <v>37</v>
      </c>
      <c r="Y768" s="54" t="str">
        <f aca="false">IF(AND(O768&lt;&gt;"",M768&lt;&gt;"",O768&gt;M768),CONCATENATE("1 : ",TEXT((O768-M768)/M768,"0.00")),IF(AND(O768&lt;&gt;"",M768&lt;&gt;"",O768&lt;M768),CONCATENATE("-1 : ",TEXT((M768-O768)/M768,"0.00")),"—"))</f>
        <v>—</v>
      </c>
      <c r="Z768" s="55" t="str">
        <f aca="false">IF(AND(P768&lt;&gt;"",M768&lt;&gt;"",P768&gt;M768),CONCATENATE("1 : ",TEXT((P768-M768)/M768,"0.00")),"—")</f>
        <v>—</v>
      </c>
      <c r="AA768" s="56" t="str">
        <f aca="false">IF(AND(C768&lt;&gt;"",E768&lt;&gt;""),E768-C768,"")</f>
        <v/>
      </c>
      <c r="AB768" s="42"/>
      <c r="AC768" s="57"/>
      <c r="AD768" s="58"/>
      <c r="AE768" s="59" t="str">
        <f aca="false">IF(G768&lt;&gt;"",HYPERLINK("https://www.tradingview.com/chart/?symbol="&amp;G768&amp;"&amp;interval=60&amp;from="&amp;(AG768-10*3600)&amp;"&amp;to="&amp;(AG768+50*3600),"📈 1H"),"")</f>
        <v/>
      </c>
      <c r="AF768" s="60" t="str">
        <f aca="false">IF(G768&lt;&gt;"",HYPERLINK("https://www.tradingview.com/chart/?symbol="&amp;G768&amp;"&amp;interval=240&amp;from="&amp;(AG768-10*14400)&amp;"&amp;to="&amp;(AG768+50*14400),"📈 4H"),"")</f>
        <v/>
      </c>
      <c r="AG768" s="36" t="str">
        <f aca="false">IF(C768&lt;&gt;"",INT((C768+IF(D768&lt;&gt;"",D768,0)-DATE(1970,1,1))*86400),"")</f>
        <v/>
      </c>
    </row>
    <row r="769" customFormat="false" ht="19.5" hidden="false" customHeight="true" outlineLevel="0" collapsed="false">
      <c r="A769" s="12" t="n">
        <f aca="false">ROW()-4</f>
        <v>765</v>
      </c>
      <c r="B769" s="13"/>
      <c r="C769" s="14"/>
      <c r="D769" s="15"/>
      <c r="E769" s="14"/>
      <c r="F769" s="15"/>
      <c r="G769" s="16"/>
      <c r="H769" s="17"/>
      <c r="I769" s="18"/>
      <c r="J769" s="19"/>
      <c r="K769" s="14"/>
      <c r="L769" s="17"/>
      <c r="M769" s="19"/>
      <c r="N769" s="20"/>
      <c r="O769" s="19"/>
      <c r="P769" s="21"/>
      <c r="Q769" s="22" t="str">
        <f aca="false">IF(L769="","",IF(M769&lt;&gt;"",M769*L769*100,IF(AND(O769&lt;&gt;"",B769&lt;&gt;""),IFERROR(AVERAGEIF($B$5:$B$1004,B769,$M$5:$M$1004)*L769*100,""),"")))</f>
        <v/>
      </c>
      <c r="R769" s="22" t="str">
        <f aca="false">IF(AND(O769&lt;&gt;"",L769&lt;&gt;""),O769*L769*100,"")</f>
        <v/>
      </c>
      <c r="S769" s="23" t="str">
        <f aca="false">IF(AND(P769&lt;&gt;"",L769&lt;&gt;""),P769*L769*100,"")</f>
        <v/>
      </c>
      <c r="T769" s="24" t="str">
        <f aca="false">IF(AND(Q769&lt;&gt;"",R769&lt;&gt;""),R769-Q769,"")</f>
        <v/>
      </c>
      <c r="U769" s="25" t="str">
        <f aca="false">IF(AND(Q769&lt;&gt;"",Q769&lt;&gt;0,T769&lt;&gt;""),T769/Q769,"")</f>
        <v/>
      </c>
      <c r="V769" s="26" t="str">
        <f aca="false">IF(AND(S769&lt;&gt;"",Q769&lt;&gt;""),S769-Q769,"")</f>
        <v/>
      </c>
      <c r="W769" s="27" t="str">
        <f aca="false">IF(AND(Q769&lt;&gt;"",Q769&lt;&gt;0,V769&lt;&gt;""),V769/Q769,"")</f>
        <v/>
      </c>
      <c r="X769" s="28" t="s">
        <v>37</v>
      </c>
      <c r="Y769" s="29" t="str">
        <f aca="false">IF(AND(O769&lt;&gt;"",M769&lt;&gt;"",O769&gt;M769),CONCATENATE("1 : ",TEXT((O769-M769)/M769,"0.00")),IF(AND(O769&lt;&gt;"",M769&lt;&gt;"",O769&lt;M769),CONCATENATE("-1 : ",TEXT((M769-O769)/M769,"0.00")),"—"))</f>
        <v>—</v>
      </c>
      <c r="Z769" s="30" t="str">
        <f aca="false">IF(AND(P769&lt;&gt;"",M769&lt;&gt;"",P769&gt;M769),CONCATENATE("1 : ",TEXT((P769-M769)/M769,"0.00")),"—")</f>
        <v>—</v>
      </c>
      <c r="AA769" s="31" t="str">
        <f aca="false">IF(AND(C769&lt;&gt;"",E769&lt;&gt;""),E769-C769,"")</f>
        <v/>
      </c>
      <c r="AB769" s="17"/>
      <c r="AC769" s="32"/>
      <c r="AD769" s="33"/>
      <c r="AE769" s="34" t="str">
        <f aca="false">IF(G769&lt;&gt;"",HYPERLINK("https://www.tradingview.com/chart/?symbol="&amp;G769&amp;"&amp;interval=60&amp;from="&amp;(AG769-10*3600)&amp;"&amp;to="&amp;(AG769+50*3600),"📈 1H"),"")</f>
        <v/>
      </c>
      <c r="AF769" s="35" t="str">
        <f aca="false">IF(G769&lt;&gt;"",HYPERLINK("https://www.tradingview.com/chart/?symbol="&amp;G769&amp;"&amp;interval=240&amp;from="&amp;(AG769-10*14400)&amp;"&amp;to="&amp;(AG769+50*14400),"📈 4H"),"")</f>
        <v/>
      </c>
      <c r="AG769" s="36" t="str">
        <f aca="false">IF(C769&lt;&gt;"",INT((C769+IF(D769&lt;&gt;"",D769,0)-DATE(1970,1,1))*86400),"")</f>
        <v/>
      </c>
    </row>
    <row r="770" customFormat="false" ht="19.5" hidden="false" customHeight="true" outlineLevel="0" collapsed="false">
      <c r="A770" s="37" t="n">
        <f aca="false">ROW()-4</f>
        <v>766</v>
      </c>
      <c r="B770" s="38"/>
      <c r="C770" s="39"/>
      <c r="D770" s="40"/>
      <c r="E770" s="39"/>
      <c r="F770" s="40"/>
      <c r="G770" s="41"/>
      <c r="H770" s="42"/>
      <c r="I770" s="43"/>
      <c r="J770" s="44"/>
      <c r="K770" s="39"/>
      <c r="L770" s="42"/>
      <c r="M770" s="44"/>
      <c r="N770" s="45"/>
      <c r="O770" s="44"/>
      <c r="P770" s="46"/>
      <c r="Q770" s="47" t="str">
        <f aca="false">IF(L770="","",IF(M770&lt;&gt;"",M770*L770*100,IF(AND(O770&lt;&gt;"",B770&lt;&gt;""),IFERROR(AVERAGEIF($B$5:$B$1004,B770,$M$5:$M$1004)*L770*100,""),"")))</f>
        <v/>
      </c>
      <c r="R770" s="47" t="str">
        <f aca="false">IF(AND(O770&lt;&gt;"",L770&lt;&gt;""),O770*L770*100,"")</f>
        <v/>
      </c>
      <c r="S770" s="48" t="str">
        <f aca="false">IF(AND(P770&lt;&gt;"",L770&lt;&gt;""),P770*L770*100,"")</f>
        <v/>
      </c>
      <c r="T770" s="49" t="str">
        <f aca="false">IF(AND(Q770&lt;&gt;"",R770&lt;&gt;""),R770-Q770,"")</f>
        <v/>
      </c>
      <c r="U770" s="50" t="str">
        <f aca="false">IF(AND(Q770&lt;&gt;"",Q770&lt;&gt;0,T770&lt;&gt;""),T770/Q770,"")</f>
        <v/>
      </c>
      <c r="V770" s="51" t="str">
        <f aca="false">IF(AND(S770&lt;&gt;"",Q770&lt;&gt;""),S770-Q770,"")</f>
        <v/>
      </c>
      <c r="W770" s="52" t="str">
        <f aca="false">IF(AND(Q770&lt;&gt;"",Q770&lt;&gt;0,V770&lt;&gt;""),V770/Q770,"")</f>
        <v/>
      </c>
      <c r="X770" s="53" t="s">
        <v>37</v>
      </c>
      <c r="Y770" s="54" t="str">
        <f aca="false">IF(AND(O770&lt;&gt;"",M770&lt;&gt;"",O770&gt;M770),CONCATENATE("1 : ",TEXT((O770-M770)/M770,"0.00")),IF(AND(O770&lt;&gt;"",M770&lt;&gt;"",O770&lt;M770),CONCATENATE("-1 : ",TEXT((M770-O770)/M770,"0.00")),"—"))</f>
        <v>—</v>
      </c>
      <c r="Z770" s="55" t="str">
        <f aca="false">IF(AND(P770&lt;&gt;"",M770&lt;&gt;"",P770&gt;M770),CONCATENATE("1 : ",TEXT((P770-M770)/M770,"0.00")),"—")</f>
        <v>—</v>
      </c>
      <c r="AA770" s="56" t="str">
        <f aca="false">IF(AND(C770&lt;&gt;"",E770&lt;&gt;""),E770-C770,"")</f>
        <v/>
      </c>
      <c r="AB770" s="42"/>
      <c r="AC770" s="57"/>
      <c r="AD770" s="58"/>
      <c r="AE770" s="59" t="str">
        <f aca="false">IF(G770&lt;&gt;"",HYPERLINK("https://www.tradingview.com/chart/?symbol="&amp;G770&amp;"&amp;interval=60&amp;from="&amp;(AG770-10*3600)&amp;"&amp;to="&amp;(AG770+50*3600),"📈 1H"),"")</f>
        <v/>
      </c>
      <c r="AF770" s="60" t="str">
        <f aca="false">IF(G770&lt;&gt;"",HYPERLINK("https://www.tradingview.com/chart/?symbol="&amp;G770&amp;"&amp;interval=240&amp;from="&amp;(AG770-10*14400)&amp;"&amp;to="&amp;(AG770+50*14400),"📈 4H"),"")</f>
        <v/>
      </c>
      <c r="AG770" s="36" t="str">
        <f aca="false">IF(C770&lt;&gt;"",INT((C770+IF(D770&lt;&gt;"",D770,0)-DATE(1970,1,1))*86400),"")</f>
        <v/>
      </c>
    </row>
    <row r="771" customFormat="false" ht="19.5" hidden="false" customHeight="true" outlineLevel="0" collapsed="false">
      <c r="A771" s="12" t="n">
        <f aca="false">ROW()-4</f>
        <v>767</v>
      </c>
      <c r="B771" s="13"/>
      <c r="C771" s="14"/>
      <c r="D771" s="15"/>
      <c r="E771" s="14"/>
      <c r="F771" s="15"/>
      <c r="G771" s="16"/>
      <c r="H771" s="17"/>
      <c r="I771" s="18"/>
      <c r="J771" s="19"/>
      <c r="K771" s="14"/>
      <c r="L771" s="17"/>
      <c r="M771" s="19"/>
      <c r="N771" s="20"/>
      <c r="O771" s="19"/>
      <c r="P771" s="21"/>
      <c r="Q771" s="22" t="str">
        <f aca="false">IF(L771="","",IF(M771&lt;&gt;"",M771*L771*100,IF(AND(O771&lt;&gt;"",B771&lt;&gt;""),IFERROR(AVERAGEIF($B$5:$B$1004,B771,$M$5:$M$1004)*L771*100,""),"")))</f>
        <v/>
      </c>
      <c r="R771" s="22" t="str">
        <f aca="false">IF(AND(O771&lt;&gt;"",L771&lt;&gt;""),O771*L771*100,"")</f>
        <v/>
      </c>
      <c r="S771" s="23" t="str">
        <f aca="false">IF(AND(P771&lt;&gt;"",L771&lt;&gt;""),P771*L771*100,"")</f>
        <v/>
      </c>
      <c r="T771" s="24" t="str">
        <f aca="false">IF(AND(Q771&lt;&gt;"",R771&lt;&gt;""),R771-Q771,"")</f>
        <v/>
      </c>
      <c r="U771" s="25" t="str">
        <f aca="false">IF(AND(Q771&lt;&gt;"",Q771&lt;&gt;0,T771&lt;&gt;""),T771/Q771,"")</f>
        <v/>
      </c>
      <c r="V771" s="26" t="str">
        <f aca="false">IF(AND(S771&lt;&gt;"",Q771&lt;&gt;""),S771-Q771,"")</f>
        <v/>
      </c>
      <c r="W771" s="27" t="str">
        <f aca="false">IF(AND(Q771&lt;&gt;"",Q771&lt;&gt;0,V771&lt;&gt;""),V771/Q771,"")</f>
        <v/>
      </c>
      <c r="X771" s="28" t="s">
        <v>37</v>
      </c>
      <c r="Y771" s="29" t="str">
        <f aca="false">IF(AND(O771&lt;&gt;"",M771&lt;&gt;"",O771&gt;M771),CONCATENATE("1 : ",TEXT((O771-M771)/M771,"0.00")),IF(AND(O771&lt;&gt;"",M771&lt;&gt;"",O771&lt;M771),CONCATENATE("-1 : ",TEXT((M771-O771)/M771,"0.00")),"—"))</f>
        <v>—</v>
      </c>
      <c r="Z771" s="30" t="str">
        <f aca="false">IF(AND(P771&lt;&gt;"",M771&lt;&gt;"",P771&gt;M771),CONCATENATE("1 : ",TEXT((P771-M771)/M771,"0.00")),"—")</f>
        <v>—</v>
      </c>
      <c r="AA771" s="31" t="str">
        <f aca="false">IF(AND(C771&lt;&gt;"",E771&lt;&gt;""),E771-C771,"")</f>
        <v/>
      </c>
      <c r="AB771" s="17"/>
      <c r="AC771" s="32"/>
      <c r="AD771" s="33"/>
      <c r="AE771" s="34" t="str">
        <f aca="false">IF(G771&lt;&gt;"",HYPERLINK("https://www.tradingview.com/chart/?symbol="&amp;G771&amp;"&amp;interval=60&amp;from="&amp;(AG771-10*3600)&amp;"&amp;to="&amp;(AG771+50*3600),"📈 1H"),"")</f>
        <v/>
      </c>
      <c r="AF771" s="35" t="str">
        <f aca="false">IF(G771&lt;&gt;"",HYPERLINK("https://www.tradingview.com/chart/?symbol="&amp;G771&amp;"&amp;interval=240&amp;from="&amp;(AG771-10*14400)&amp;"&amp;to="&amp;(AG771+50*14400),"📈 4H"),"")</f>
        <v/>
      </c>
      <c r="AG771" s="36" t="str">
        <f aca="false">IF(C771&lt;&gt;"",INT((C771+IF(D771&lt;&gt;"",D771,0)-DATE(1970,1,1))*86400),"")</f>
        <v/>
      </c>
    </row>
    <row r="772" customFormat="false" ht="19.5" hidden="false" customHeight="true" outlineLevel="0" collapsed="false">
      <c r="A772" s="37" t="n">
        <f aca="false">ROW()-4</f>
        <v>768</v>
      </c>
      <c r="B772" s="38"/>
      <c r="C772" s="39"/>
      <c r="D772" s="40"/>
      <c r="E772" s="39"/>
      <c r="F772" s="40"/>
      <c r="G772" s="41"/>
      <c r="H772" s="42"/>
      <c r="I772" s="43"/>
      <c r="J772" s="44"/>
      <c r="K772" s="39"/>
      <c r="L772" s="42"/>
      <c r="M772" s="44"/>
      <c r="N772" s="45"/>
      <c r="O772" s="44"/>
      <c r="P772" s="46"/>
      <c r="Q772" s="47" t="str">
        <f aca="false">IF(L772="","",IF(M772&lt;&gt;"",M772*L772*100,IF(AND(O772&lt;&gt;"",B772&lt;&gt;""),IFERROR(AVERAGEIF($B$5:$B$1004,B772,$M$5:$M$1004)*L772*100,""),"")))</f>
        <v/>
      </c>
      <c r="R772" s="47" t="str">
        <f aca="false">IF(AND(O772&lt;&gt;"",L772&lt;&gt;""),O772*L772*100,"")</f>
        <v/>
      </c>
      <c r="S772" s="48" t="str">
        <f aca="false">IF(AND(P772&lt;&gt;"",L772&lt;&gt;""),P772*L772*100,"")</f>
        <v/>
      </c>
      <c r="T772" s="49" t="str">
        <f aca="false">IF(AND(Q772&lt;&gt;"",R772&lt;&gt;""),R772-Q772,"")</f>
        <v/>
      </c>
      <c r="U772" s="50" t="str">
        <f aca="false">IF(AND(Q772&lt;&gt;"",Q772&lt;&gt;0,T772&lt;&gt;""),T772/Q772,"")</f>
        <v/>
      </c>
      <c r="V772" s="51" t="str">
        <f aca="false">IF(AND(S772&lt;&gt;"",Q772&lt;&gt;""),S772-Q772,"")</f>
        <v/>
      </c>
      <c r="W772" s="52" t="str">
        <f aca="false">IF(AND(Q772&lt;&gt;"",Q772&lt;&gt;0,V772&lt;&gt;""),V772/Q772,"")</f>
        <v/>
      </c>
      <c r="X772" s="53" t="s">
        <v>37</v>
      </c>
      <c r="Y772" s="54" t="str">
        <f aca="false">IF(AND(O772&lt;&gt;"",M772&lt;&gt;"",O772&gt;M772),CONCATENATE("1 : ",TEXT((O772-M772)/M772,"0.00")),IF(AND(O772&lt;&gt;"",M772&lt;&gt;"",O772&lt;M772),CONCATENATE("-1 : ",TEXT((M772-O772)/M772,"0.00")),"—"))</f>
        <v>—</v>
      </c>
      <c r="Z772" s="55" t="str">
        <f aca="false">IF(AND(P772&lt;&gt;"",M772&lt;&gt;"",P772&gt;M772),CONCATENATE("1 : ",TEXT((P772-M772)/M772,"0.00")),"—")</f>
        <v>—</v>
      </c>
      <c r="AA772" s="56" t="str">
        <f aca="false">IF(AND(C772&lt;&gt;"",E772&lt;&gt;""),E772-C772,"")</f>
        <v/>
      </c>
      <c r="AB772" s="42"/>
      <c r="AC772" s="57"/>
      <c r="AD772" s="58"/>
      <c r="AE772" s="59" t="str">
        <f aca="false">IF(G772&lt;&gt;"",HYPERLINK("https://www.tradingview.com/chart/?symbol="&amp;G772&amp;"&amp;interval=60&amp;from="&amp;(AG772-10*3600)&amp;"&amp;to="&amp;(AG772+50*3600),"📈 1H"),"")</f>
        <v/>
      </c>
      <c r="AF772" s="60" t="str">
        <f aca="false">IF(G772&lt;&gt;"",HYPERLINK("https://www.tradingview.com/chart/?symbol="&amp;G772&amp;"&amp;interval=240&amp;from="&amp;(AG772-10*14400)&amp;"&amp;to="&amp;(AG772+50*14400),"📈 4H"),"")</f>
        <v/>
      </c>
      <c r="AG772" s="36" t="str">
        <f aca="false">IF(C772&lt;&gt;"",INT((C772+IF(D772&lt;&gt;"",D772,0)-DATE(1970,1,1))*86400),"")</f>
        <v/>
      </c>
    </row>
    <row r="773" customFormat="false" ht="19.5" hidden="false" customHeight="true" outlineLevel="0" collapsed="false">
      <c r="A773" s="12" t="n">
        <f aca="false">ROW()-4</f>
        <v>769</v>
      </c>
      <c r="B773" s="13"/>
      <c r="C773" s="14"/>
      <c r="D773" s="15"/>
      <c r="E773" s="14"/>
      <c r="F773" s="15"/>
      <c r="G773" s="16"/>
      <c r="H773" s="17"/>
      <c r="I773" s="18"/>
      <c r="J773" s="19"/>
      <c r="K773" s="14"/>
      <c r="L773" s="17"/>
      <c r="M773" s="19"/>
      <c r="N773" s="20"/>
      <c r="O773" s="19"/>
      <c r="P773" s="21"/>
      <c r="Q773" s="22" t="str">
        <f aca="false">IF(L773="","",IF(M773&lt;&gt;"",M773*L773*100,IF(AND(O773&lt;&gt;"",B773&lt;&gt;""),IFERROR(AVERAGEIF($B$5:$B$1004,B773,$M$5:$M$1004)*L773*100,""),"")))</f>
        <v/>
      </c>
      <c r="R773" s="22" t="str">
        <f aca="false">IF(AND(O773&lt;&gt;"",L773&lt;&gt;""),O773*L773*100,"")</f>
        <v/>
      </c>
      <c r="S773" s="23" t="str">
        <f aca="false">IF(AND(P773&lt;&gt;"",L773&lt;&gt;""),P773*L773*100,"")</f>
        <v/>
      </c>
      <c r="T773" s="24" t="str">
        <f aca="false">IF(AND(Q773&lt;&gt;"",R773&lt;&gt;""),R773-Q773,"")</f>
        <v/>
      </c>
      <c r="U773" s="25" t="str">
        <f aca="false">IF(AND(Q773&lt;&gt;"",Q773&lt;&gt;0,T773&lt;&gt;""),T773/Q773,"")</f>
        <v/>
      </c>
      <c r="V773" s="26" t="str">
        <f aca="false">IF(AND(S773&lt;&gt;"",Q773&lt;&gt;""),S773-Q773,"")</f>
        <v/>
      </c>
      <c r="W773" s="27" t="str">
        <f aca="false">IF(AND(Q773&lt;&gt;"",Q773&lt;&gt;0,V773&lt;&gt;""),V773/Q773,"")</f>
        <v/>
      </c>
      <c r="X773" s="28" t="s">
        <v>37</v>
      </c>
      <c r="Y773" s="29" t="str">
        <f aca="false">IF(AND(O773&lt;&gt;"",M773&lt;&gt;"",O773&gt;M773),CONCATENATE("1 : ",TEXT((O773-M773)/M773,"0.00")),IF(AND(O773&lt;&gt;"",M773&lt;&gt;"",O773&lt;M773),CONCATENATE("-1 : ",TEXT((M773-O773)/M773,"0.00")),"—"))</f>
        <v>—</v>
      </c>
      <c r="Z773" s="30" t="str">
        <f aca="false">IF(AND(P773&lt;&gt;"",M773&lt;&gt;"",P773&gt;M773),CONCATENATE("1 : ",TEXT((P773-M773)/M773,"0.00")),"—")</f>
        <v>—</v>
      </c>
      <c r="AA773" s="31" t="str">
        <f aca="false">IF(AND(C773&lt;&gt;"",E773&lt;&gt;""),E773-C773,"")</f>
        <v/>
      </c>
      <c r="AB773" s="17"/>
      <c r="AC773" s="32"/>
      <c r="AD773" s="33"/>
      <c r="AE773" s="34" t="str">
        <f aca="false">IF(G773&lt;&gt;"",HYPERLINK("https://www.tradingview.com/chart/?symbol="&amp;G773&amp;"&amp;interval=60&amp;from="&amp;(AG773-10*3600)&amp;"&amp;to="&amp;(AG773+50*3600),"📈 1H"),"")</f>
        <v/>
      </c>
      <c r="AF773" s="35" t="str">
        <f aca="false">IF(G773&lt;&gt;"",HYPERLINK("https://www.tradingview.com/chart/?symbol="&amp;G773&amp;"&amp;interval=240&amp;from="&amp;(AG773-10*14400)&amp;"&amp;to="&amp;(AG773+50*14400),"📈 4H"),"")</f>
        <v/>
      </c>
      <c r="AG773" s="36" t="str">
        <f aca="false">IF(C773&lt;&gt;"",INT((C773+IF(D773&lt;&gt;"",D773,0)-DATE(1970,1,1))*86400),"")</f>
        <v/>
      </c>
    </row>
    <row r="774" customFormat="false" ht="19.5" hidden="false" customHeight="true" outlineLevel="0" collapsed="false">
      <c r="A774" s="37" t="n">
        <f aca="false">ROW()-4</f>
        <v>770</v>
      </c>
      <c r="B774" s="38"/>
      <c r="C774" s="39"/>
      <c r="D774" s="40"/>
      <c r="E774" s="39"/>
      <c r="F774" s="40"/>
      <c r="G774" s="41"/>
      <c r="H774" s="42"/>
      <c r="I774" s="43"/>
      <c r="J774" s="44"/>
      <c r="K774" s="39"/>
      <c r="L774" s="42"/>
      <c r="M774" s="44"/>
      <c r="N774" s="45"/>
      <c r="O774" s="44"/>
      <c r="P774" s="46"/>
      <c r="Q774" s="47" t="str">
        <f aca="false">IF(L774="","",IF(M774&lt;&gt;"",M774*L774*100,IF(AND(O774&lt;&gt;"",B774&lt;&gt;""),IFERROR(AVERAGEIF($B$5:$B$1004,B774,$M$5:$M$1004)*L774*100,""),"")))</f>
        <v/>
      </c>
      <c r="R774" s="47" t="str">
        <f aca="false">IF(AND(O774&lt;&gt;"",L774&lt;&gt;""),O774*L774*100,"")</f>
        <v/>
      </c>
      <c r="S774" s="48" t="str">
        <f aca="false">IF(AND(P774&lt;&gt;"",L774&lt;&gt;""),P774*L774*100,"")</f>
        <v/>
      </c>
      <c r="T774" s="49" t="str">
        <f aca="false">IF(AND(Q774&lt;&gt;"",R774&lt;&gt;""),R774-Q774,"")</f>
        <v/>
      </c>
      <c r="U774" s="50" t="str">
        <f aca="false">IF(AND(Q774&lt;&gt;"",Q774&lt;&gt;0,T774&lt;&gt;""),T774/Q774,"")</f>
        <v/>
      </c>
      <c r="V774" s="51" t="str">
        <f aca="false">IF(AND(S774&lt;&gt;"",Q774&lt;&gt;""),S774-Q774,"")</f>
        <v/>
      </c>
      <c r="W774" s="52" t="str">
        <f aca="false">IF(AND(Q774&lt;&gt;"",Q774&lt;&gt;0,V774&lt;&gt;""),V774/Q774,"")</f>
        <v/>
      </c>
      <c r="X774" s="53" t="s">
        <v>37</v>
      </c>
      <c r="Y774" s="54" t="str">
        <f aca="false">IF(AND(O774&lt;&gt;"",M774&lt;&gt;"",O774&gt;M774),CONCATENATE("1 : ",TEXT((O774-M774)/M774,"0.00")),IF(AND(O774&lt;&gt;"",M774&lt;&gt;"",O774&lt;M774),CONCATENATE("-1 : ",TEXT((M774-O774)/M774,"0.00")),"—"))</f>
        <v>—</v>
      </c>
      <c r="Z774" s="55" t="str">
        <f aca="false">IF(AND(P774&lt;&gt;"",M774&lt;&gt;"",P774&gt;M774),CONCATENATE("1 : ",TEXT((P774-M774)/M774,"0.00")),"—")</f>
        <v>—</v>
      </c>
      <c r="AA774" s="56" t="str">
        <f aca="false">IF(AND(C774&lt;&gt;"",E774&lt;&gt;""),E774-C774,"")</f>
        <v/>
      </c>
      <c r="AB774" s="42"/>
      <c r="AC774" s="57"/>
      <c r="AD774" s="58"/>
      <c r="AE774" s="59" t="str">
        <f aca="false">IF(G774&lt;&gt;"",HYPERLINK("https://www.tradingview.com/chart/?symbol="&amp;G774&amp;"&amp;interval=60&amp;from="&amp;(AG774-10*3600)&amp;"&amp;to="&amp;(AG774+50*3600),"📈 1H"),"")</f>
        <v/>
      </c>
      <c r="AF774" s="60" t="str">
        <f aca="false">IF(G774&lt;&gt;"",HYPERLINK("https://www.tradingview.com/chart/?symbol="&amp;G774&amp;"&amp;interval=240&amp;from="&amp;(AG774-10*14400)&amp;"&amp;to="&amp;(AG774+50*14400),"📈 4H"),"")</f>
        <v/>
      </c>
      <c r="AG774" s="36" t="str">
        <f aca="false">IF(C774&lt;&gt;"",INT((C774+IF(D774&lt;&gt;"",D774,0)-DATE(1970,1,1))*86400),"")</f>
        <v/>
      </c>
    </row>
    <row r="775" customFormat="false" ht="19.5" hidden="false" customHeight="true" outlineLevel="0" collapsed="false">
      <c r="A775" s="12" t="n">
        <f aca="false">ROW()-4</f>
        <v>771</v>
      </c>
      <c r="B775" s="13"/>
      <c r="C775" s="14"/>
      <c r="D775" s="15"/>
      <c r="E775" s="14"/>
      <c r="F775" s="15"/>
      <c r="G775" s="16"/>
      <c r="H775" s="17"/>
      <c r="I775" s="18"/>
      <c r="J775" s="19"/>
      <c r="K775" s="14"/>
      <c r="L775" s="17"/>
      <c r="M775" s="19"/>
      <c r="N775" s="20"/>
      <c r="O775" s="19"/>
      <c r="P775" s="21"/>
      <c r="Q775" s="22" t="str">
        <f aca="false">IF(L775="","",IF(M775&lt;&gt;"",M775*L775*100,IF(AND(O775&lt;&gt;"",B775&lt;&gt;""),IFERROR(AVERAGEIF($B$5:$B$1004,B775,$M$5:$M$1004)*L775*100,""),"")))</f>
        <v/>
      </c>
      <c r="R775" s="22" t="str">
        <f aca="false">IF(AND(O775&lt;&gt;"",L775&lt;&gt;""),O775*L775*100,"")</f>
        <v/>
      </c>
      <c r="S775" s="23" t="str">
        <f aca="false">IF(AND(P775&lt;&gt;"",L775&lt;&gt;""),P775*L775*100,"")</f>
        <v/>
      </c>
      <c r="T775" s="24" t="str">
        <f aca="false">IF(AND(Q775&lt;&gt;"",R775&lt;&gt;""),R775-Q775,"")</f>
        <v/>
      </c>
      <c r="U775" s="25" t="str">
        <f aca="false">IF(AND(Q775&lt;&gt;"",Q775&lt;&gt;0,T775&lt;&gt;""),T775/Q775,"")</f>
        <v/>
      </c>
      <c r="V775" s="26" t="str">
        <f aca="false">IF(AND(S775&lt;&gt;"",Q775&lt;&gt;""),S775-Q775,"")</f>
        <v/>
      </c>
      <c r="W775" s="27" t="str">
        <f aca="false">IF(AND(Q775&lt;&gt;"",Q775&lt;&gt;0,V775&lt;&gt;""),V775/Q775,"")</f>
        <v/>
      </c>
      <c r="X775" s="28" t="s">
        <v>37</v>
      </c>
      <c r="Y775" s="29" t="str">
        <f aca="false">IF(AND(O775&lt;&gt;"",M775&lt;&gt;"",O775&gt;M775),CONCATENATE("1 : ",TEXT((O775-M775)/M775,"0.00")),IF(AND(O775&lt;&gt;"",M775&lt;&gt;"",O775&lt;M775),CONCATENATE("-1 : ",TEXT((M775-O775)/M775,"0.00")),"—"))</f>
        <v>—</v>
      </c>
      <c r="Z775" s="30" t="str">
        <f aca="false">IF(AND(P775&lt;&gt;"",M775&lt;&gt;"",P775&gt;M775),CONCATENATE("1 : ",TEXT((P775-M775)/M775,"0.00")),"—")</f>
        <v>—</v>
      </c>
      <c r="AA775" s="31" t="str">
        <f aca="false">IF(AND(C775&lt;&gt;"",E775&lt;&gt;""),E775-C775,"")</f>
        <v/>
      </c>
      <c r="AB775" s="17"/>
      <c r="AC775" s="32"/>
      <c r="AD775" s="33"/>
      <c r="AE775" s="34" t="str">
        <f aca="false">IF(G775&lt;&gt;"",HYPERLINK("https://www.tradingview.com/chart/?symbol="&amp;G775&amp;"&amp;interval=60&amp;from="&amp;(AG775-10*3600)&amp;"&amp;to="&amp;(AG775+50*3600),"📈 1H"),"")</f>
        <v/>
      </c>
      <c r="AF775" s="35" t="str">
        <f aca="false">IF(G775&lt;&gt;"",HYPERLINK("https://www.tradingview.com/chart/?symbol="&amp;G775&amp;"&amp;interval=240&amp;from="&amp;(AG775-10*14400)&amp;"&amp;to="&amp;(AG775+50*14400),"📈 4H"),"")</f>
        <v/>
      </c>
      <c r="AG775" s="36" t="str">
        <f aca="false">IF(C775&lt;&gt;"",INT((C775+IF(D775&lt;&gt;"",D775,0)-DATE(1970,1,1))*86400),"")</f>
        <v/>
      </c>
    </row>
    <row r="776" customFormat="false" ht="19.5" hidden="false" customHeight="true" outlineLevel="0" collapsed="false">
      <c r="A776" s="37" t="n">
        <f aca="false">ROW()-4</f>
        <v>772</v>
      </c>
      <c r="B776" s="38"/>
      <c r="C776" s="39"/>
      <c r="D776" s="40"/>
      <c r="E776" s="39"/>
      <c r="F776" s="40"/>
      <c r="G776" s="41"/>
      <c r="H776" s="42"/>
      <c r="I776" s="43"/>
      <c r="J776" s="44"/>
      <c r="K776" s="39"/>
      <c r="L776" s="42"/>
      <c r="M776" s="44"/>
      <c r="N776" s="45"/>
      <c r="O776" s="44"/>
      <c r="P776" s="46"/>
      <c r="Q776" s="47" t="str">
        <f aca="false">IF(L776="","",IF(M776&lt;&gt;"",M776*L776*100,IF(AND(O776&lt;&gt;"",B776&lt;&gt;""),IFERROR(AVERAGEIF($B$5:$B$1004,B776,$M$5:$M$1004)*L776*100,""),"")))</f>
        <v/>
      </c>
      <c r="R776" s="47" t="str">
        <f aca="false">IF(AND(O776&lt;&gt;"",L776&lt;&gt;""),O776*L776*100,"")</f>
        <v/>
      </c>
      <c r="S776" s="48" t="str">
        <f aca="false">IF(AND(P776&lt;&gt;"",L776&lt;&gt;""),P776*L776*100,"")</f>
        <v/>
      </c>
      <c r="T776" s="49" t="str">
        <f aca="false">IF(AND(Q776&lt;&gt;"",R776&lt;&gt;""),R776-Q776,"")</f>
        <v/>
      </c>
      <c r="U776" s="50" t="str">
        <f aca="false">IF(AND(Q776&lt;&gt;"",Q776&lt;&gt;0,T776&lt;&gt;""),T776/Q776,"")</f>
        <v/>
      </c>
      <c r="V776" s="51" t="str">
        <f aca="false">IF(AND(S776&lt;&gt;"",Q776&lt;&gt;""),S776-Q776,"")</f>
        <v/>
      </c>
      <c r="W776" s="52" t="str">
        <f aca="false">IF(AND(Q776&lt;&gt;"",Q776&lt;&gt;0,V776&lt;&gt;""),V776/Q776,"")</f>
        <v/>
      </c>
      <c r="X776" s="53" t="s">
        <v>37</v>
      </c>
      <c r="Y776" s="54" t="str">
        <f aca="false">IF(AND(O776&lt;&gt;"",M776&lt;&gt;"",O776&gt;M776),CONCATENATE("1 : ",TEXT((O776-M776)/M776,"0.00")),IF(AND(O776&lt;&gt;"",M776&lt;&gt;"",O776&lt;M776),CONCATENATE("-1 : ",TEXT((M776-O776)/M776,"0.00")),"—"))</f>
        <v>—</v>
      </c>
      <c r="Z776" s="55" t="str">
        <f aca="false">IF(AND(P776&lt;&gt;"",M776&lt;&gt;"",P776&gt;M776),CONCATENATE("1 : ",TEXT((P776-M776)/M776,"0.00")),"—")</f>
        <v>—</v>
      </c>
      <c r="AA776" s="56" t="str">
        <f aca="false">IF(AND(C776&lt;&gt;"",E776&lt;&gt;""),E776-C776,"")</f>
        <v/>
      </c>
      <c r="AB776" s="42"/>
      <c r="AC776" s="57"/>
      <c r="AD776" s="58"/>
      <c r="AE776" s="59" t="str">
        <f aca="false">IF(G776&lt;&gt;"",HYPERLINK("https://www.tradingview.com/chart/?symbol="&amp;G776&amp;"&amp;interval=60&amp;from="&amp;(AG776-10*3600)&amp;"&amp;to="&amp;(AG776+50*3600),"📈 1H"),"")</f>
        <v/>
      </c>
      <c r="AF776" s="60" t="str">
        <f aca="false">IF(G776&lt;&gt;"",HYPERLINK("https://www.tradingview.com/chart/?symbol="&amp;G776&amp;"&amp;interval=240&amp;from="&amp;(AG776-10*14400)&amp;"&amp;to="&amp;(AG776+50*14400),"📈 4H"),"")</f>
        <v/>
      </c>
      <c r="AG776" s="36" t="str">
        <f aca="false">IF(C776&lt;&gt;"",INT((C776+IF(D776&lt;&gt;"",D776,0)-DATE(1970,1,1))*86400),"")</f>
        <v/>
      </c>
    </row>
    <row r="777" customFormat="false" ht="19.5" hidden="false" customHeight="true" outlineLevel="0" collapsed="false">
      <c r="A777" s="12" t="n">
        <f aca="false">ROW()-4</f>
        <v>773</v>
      </c>
      <c r="B777" s="13"/>
      <c r="C777" s="14"/>
      <c r="D777" s="15"/>
      <c r="E777" s="14"/>
      <c r="F777" s="15"/>
      <c r="G777" s="16"/>
      <c r="H777" s="17"/>
      <c r="I777" s="18"/>
      <c r="J777" s="19"/>
      <c r="K777" s="14"/>
      <c r="L777" s="17"/>
      <c r="M777" s="19"/>
      <c r="N777" s="20"/>
      <c r="O777" s="19"/>
      <c r="P777" s="21"/>
      <c r="Q777" s="22" t="str">
        <f aca="false">IF(L777="","",IF(M777&lt;&gt;"",M777*L777*100,IF(AND(O777&lt;&gt;"",B777&lt;&gt;""),IFERROR(AVERAGEIF($B$5:$B$1004,B777,$M$5:$M$1004)*L777*100,""),"")))</f>
        <v/>
      </c>
      <c r="R777" s="22" t="str">
        <f aca="false">IF(AND(O777&lt;&gt;"",L777&lt;&gt;""),O777*L777*100,"")</f>
        <v/>
      </c>
      <c r="S777" s="23" t="str">
        <f aca="false">IF(AND(P777&lt;&gt;"",L777&lt;&gt;""),P777*L777*100,"")</f>
        <v/>
      </c>
      <c r="T777" s="24" t="str">
        <f aca="false">IF(AND(Q777&lt;&gt;"",R777&lt;&gt;""),R777-Q777,"")</f>
        <v/>
      </c>
      <c r="U777" s="25" t="str">
        <f aca="false">IF(AND(Q777&lt;&gt;"",Q777&lt;&gt;0,T777&lt;&gt;""),T777/Q777,"")</f>
        <v/>
      </c>
      <c r="V777" s="26" t="str">
        <f aca="false">IF(AND(S777&lt;&gt;"",Q777&lt;&gt;""),S777-Q777,"")</f>
        <v/>
      </c>
      <c r="W777" s="27" t="str">
        <f aca="false">IF(AND(Q777&lt;&gt;"",Q777&lt;&gt;0,V777&lt;&gt;""),V777/Q777,"")</f>
        <v/>
      </c>
      <c r="X777" s="28" t="s">
        <v>37</v>
      </c>
      <c r="Y777" s="29" t="str">
        <f aca="false">IF(AND(O777&lt;&gt;"",M777&lt;&gt;"",O777&gt;M777),CONCATENATE("1 : ",TEXT((O777-M777)/M777,"0.00")),IF(AND(O777&lt;&gt;"",M777&lt;&gt;"",O777&lt;M777),CONCATENATE("-1 : ",TEXT((M777-O777)/M777,"0.00")),"—"))</f>
        <v>—</v>
      </c>
      <c r="Z777" s="30" t="str">
        <f aca="false">IF(AND(P777&lt;&gt;"",M777&lt;&gt;"",P777&gt;M777),CONCATENATE("1 : ",TEXT((P777-M777)/M777,"0.00")),"—")</f>
        <v>—</v>
      </c>
      <c r="AA777" s="31" t="str">
        <f aca="false">IF(AND(C777&lt;&gt;"",E777&lt;&gt;""),E777-C777,"")</f>
        <v/>
      </c>
      <c r="AB777" s="17"/>
      <c r="AC777" s="32"/>
      <c r="AD777" s="33"/>
      <c r="AE777" s="34" t="str">
        <f aca="false">IF(G777&lt;&gt;"",HYPERLINK("https://www.tradingview.com/chart/?symbol="&amp;G777&amp;"&amp;interval=60&amp;from="&amp;(AG777-10*3600)&amp;"&amp;to="&amp;(AG777+50*3600),"📈 1H"),"")</f>
        <v/>
      </c>
      <c r="AF777" s="35" t="str">
        <f aca="false">IF(G777&lt;&gt;"",HYPERLINK("https://www.tradingview.com/chart/?symbol="&amp;G777&amp;"&amp;interval=240&amp;from="&amp;(AG777-10*14400)&amp;"&amp;to="&amp;(AG777+50*14400),"📈 4H"),"")</f>
        <v/>
      </c>
      <c r="AG777" s="36" t="str">
        <f aca="false">IF(C777&lt;&gt;"",INT((C777+IF(D777&lt;&gt;"",D777,0)-DATE(1970,1,1))*86400),"")</f>
        <v/>
      </c>
    </row>
    <row r="778" customFormat="false" ht="19.5" hidden="false" customHeight="true" outlineLevel="0" collapsed="false">
      <c r="A778" s="37" t="n">
        <f aca="false">ROW()-4</f>
        <v>774</v>
      </c>
      <c r="B778" s="38"/>
      <c r="C778" s="39"/>
      <c r="D778" s="40"/>
      <c r="E778" s="39"/>
      <c r="F778" s="40"/>
      <c r="G778" s="41"/>
      <c r="H778" s="42"/>
      <c r="I778" s="43"/>
      <c r="J778" s="44"/>
      <c r="K778" s="39"/>
      <c r="L778" s="42"/>
      <c r="M778" s="44"/>
      <c r="N778" s="45"/>
      <c r="O778" s="44"/>
      <c r="P778" s="46"/>
      <c r="Q778" s="47" t="str">
        <f aca="false">IF(L778="","",IF(M778&lt;&gt;"",M778*L778*100,IF(AND(O778&lt;&gt;"",B778&lt;&gt;""),IFERROR(AVERAGEIF($B$5:$B$1004,B778,$M$5:$M$1004)*L778*100,""),"")))</f>
        <v/>
      </c>
      <c r="R778" s="47" t="str">
        <f aca="false">IF(AND(O778&lt;&gt;"",L778&lt;&gt;""),O778*L778*100,"")</f>
        <v/>
      </c>
      <c r="S778" s="48" t="str">
        <f aca="false">IF(AND(P778&lt;&gt;"",L778&lt;&gt;""),P778*L778*100,"")</f>
        <v/>
      </c>
      <c r="T778" s="49" t="str">
        <f aca="false">IF(AND(Q778&lt;&gt;"",R778&lt;&gt;""),R778-Q778,"")</f>
        <v/>
      </c>
      <c r="U778" s="50" t="str">
        <f aca="false">IF(AND(Q778&lt;&gt;"",Q778&lt;&gt;0,T778&lt;&gt;""),T778/Q778,"")</f>
        <v/>
      </c>
      <c r="V778" s="51" t="str">
        <f aca="false">IF(AND(S778&lt;&gt;"",Q778&lt;&gt;""),S778-Q778,"")</f>
        <v/>
      </c>
      <c r="W778" s="52" t="str">
        <f aca="false">IF(AND(Q778&lt;&gt;"",Q778&lt;&gt;0,V778&lt;&gt;""),V778/Q778,"")</f>
        <v/>
      </c>
      <c r="X778" s="53" t="s">
        <v>37</v>
      </c>
      <c r="Y778" s="54" t="str">
        <f aca="false">IF(AND(O778&lt;&gt;"",M778&lt;&gt;"",O778&gt;M778),CONCATENATE("1 : ",TEXT((O778-M778)/M778,"0.00")),IF(AND(O778&lt;&gt;"",M778&lt;&gt;"",O778&lt;M778),CONCATENATE("-1 : ",TEXT((M778-O778)/M778,"0.00")),"—"))</f>
        <v>—</v>
      </c>
      <c r="Z778" s="55" t="str">
        <f aca="false">IF(AND(P778&lt;&gt;"",M778&lt;&gt;"",P778&gt;M778),CONCATENATE("1 : ",TEXT((P778-M778)/M778,"0.00")),"—")</f>
        <v>—</v>
      </c>
      <c r="AA778" s="56" t="str">
        <f aca="false">IF(AND(C778&lt;&gt;"",E778&lt;&gt;""),E778-C778,"")</f>
        <v/>
      </c>
      <c r="AB778" s="42"/>
      <c r="AC778" s="57"/>
      <c r="AD778" s="58"/>
      <c r="AE778" s="59" t="str">
        <f aca="false">IF(G778&lt;&gt;"",HYPERLINK("https://www.tradingview.com/chart/?symbol="&amp;G778&amp;"&amp;interval=60&amp;from="&amp;(AG778-10*3600)&amp;"&amp;to="&amp;(AG778+50*3600),"📈 1H"),"")</f>
        <v/>
      </c>
      <c r="AF778" s="60" t="str">
        <f aca="false">IF(G778&lt;&gt;"",HYPERLINK("https://www.tradingview.com/chart/?symbol="&amp;G778&amp;"&amp;interval=240&amp;from="&amp;(AG778-10*14400)&amp;"&amp;to="&amp;(AG778+50*14400),"📈 4H"),"")</f>
        <v/>
      </c>
      <c r="AG778" s="36" t="str">
        <f aca="false">IF(C778&lt;&gt;"",INT((C778+IF(D778&lt;&gt;"",D778,0)-DATE(1970,1,1))*86400),"")</f>
        <v/>
      </c>
    </row>
    <row r="779" customFormat="false" ht="19.5" hidden="false" customHeight="true" outlineLevel="0" collapsed="false">
      <c r="A779" s="12" t="n">
        <f aca="false">ROW()-4</f>
        <v>775</v>
      </c>
      <c r="B779" s="13"/>
      <c r="C779" s="14"/>
      <c r="D779" s="15"/>
      <c r="E779" s="14"/>
      <c r="F779" s="15"/>
      <c r="G779" s="16"/>
      <c r="H779" s="17"/>
      <c r="I779" s="18"/>
      <c r="J779" s="19"/>
      <c r="K779" s="14"/>
      <c r="L779" s="17"/>
      <c r="M779" s="19"/>
      <c r="N779" s="20"/>
      <c r="O779" s="19"/>
      <c r="P779" s="21"/>
      <c r="Q779" s="22" t="str">
        <f aca="false">IF(L779="","",IF(M779&lt;&gt;"",M779*L779*100,IF(AND(O779&lt;&gt;"",B779&lt;&gt;""),IFERROR(AVERAGEIF($B$5:$B$1004,B779,$M$5:$M$1004)*L779*100,""),"")))</f>
        <v/>
      </c>
      <c r="R779" s="22" t="str">
        <f aca="false">IF(AND(O779&lt;&gt;"",L779&lt;&gt;""),O779*L779*100,"")</f>
        <v/>
      </c>
      <c r="S779" s="23" t="str">
        <f aca="false">IF(AND(P779&lt;&gt;"",L779&lt;&gt;""),P779*L779*100,"")</f>
        <v/>
      </c>
      <c r="T779" s="24" t="str">
        <f aca="false">IF(AND(Q779&lt;&gt;"",R779&lt;&gt;""),R779-Q779,"")</f>
        <v/>
      </c>
      <c r="U779" s="25" t="str">
        <f aca="false">IF(AND(Q779&lt;&gt;"",Q779&lt;&gt;0,T779&lt;&gt;""),T779/Q779,"")</f>
        <v/>
      </c>
      <c r="V779" s="26" t="str">
        <f aca="false">IF(AND(S779&lt;&gt;"",Q779&lt;&gt;""),S779-Q779,"")</f>
        <v/>
      </c>
      <c r="W779" s="27" t="str">
        <f aca="false">IF(AND(Q779&lt;&gt;"",Q779&lt;&gt;0,V779&lt;&gt;""),V779/Q779,"")</f>
        <v/>
      </c>
      <c r="X779" s="28" t="s">
        <v>37</v>
      </c>
      <c r="Y779" s="29" t="str">
        <f aca="false">IF(AND(O779&lt;&gt;"",M779&lt;&gt;"",O779&gt;M779),CONCATENATE("1 : ",TEXT((O779-M779)/M779,"0.00")),IF(AND(O779&lt;&gt;"",M779&lt;&gt;"",O779&lt;M779),CONCATENATE("-1 : ",TEXT((M779-O779)/M779,"0.00")),"—"))</f>
        <v>—</v>
      </c>
      <c r="Z779" s="30" t="str">
        <f aca="false">IF(AND(P779&lt;&gt;"",M779&lt;&gt;"",P779&gt;M779),CONCATENATE("1 : ",TEXT((P779-M779)/M779,"0.00")),"—")</f>
        <v>—</v>
      </c>
      <c r="AA779" s="31" t="str">
        <f aca="false">IF(AND(C779&lt;&gt;"",E779&lt;&gt;""),E779-C779,"")</f>
        <v/>
      </c>
      <c r="AB779" s="17"/>
      <c r="AC779" s="32"/>
      <c r="AD779" s="33"/>
      <c r="AE779" s="34" t="str">
        <f aca="false">IF(G779&lt;&gt;"",HYPERLINK("https://www.tradingview.com/chart/?symbol="&amp;G779&amp;"&amp;interval=60&amp;from="&amp;(AG779-10*3600)&amp;"&amp;to="&amp;(AG779+50*3600),"📈 1H"),"")</f>
        <v/>
      </c>
      <c r="AF779" s="35" t="str">
        <f aca="false">IF(G779&lt;&gt;"",HYPERLINK("https://www.tradingview.com/chart/?symbol="&amp;G779&amp;"&amp;interval=240&amp;from="&amp;(AG779-10*14400)&amp;"&amp;to="&amp;(AG779+50*14400),"📈 4H"),"")</f>
        <v/>
      </c>
      <c r="AG779" s="36" t="str">
        <f aca="false">IF(C779&lt;&gt;"",INT((C779+IF(D779&lt;&gt;"",D779,0)-DATE(1970,1,1))*86400),"")</f>
        <v/>
      </c>
    </row>
    <row r="780" customFormat="false" ht="19.5" hidden="false" customHeight="true" outlineLevel="0" collapsed="false">
      <c r="A780" s="37" t="n">
        <f aca="false">ROW()-4</f>
        <v>776</v>
      </c>
      <c r="B780" s="38"/>
      <c r="C780" s="39"/>
      <c r="D780" s="40"/>
      <c r="E780" s="39"/>
      <c r="F780" s="40"/>
      <c r="G780" s="41"/>
      <c r="H780" s="42"/>
      <c r="I780" s="43"/>
      <c r="J780" s="44"/>
      <c r="K780" s="39"/>
      <c r="L780" s="42"/>
      <c r="M780" s="44"/>
      <c r="N780" s="45"/>
      <c r="O780" s="44"/>
      <c r="P780" s="46"/>
      <c r="Q780" s="47" t="str">
        <f aca="false">IF(L780="","",IF(M780&lt;&gt;"",M780*L780*100,IF(AND(O780&lt;&gt;"",B780&lt;&gt;""),IFERROR(AVERAGEIF($B$5:$B$1004,B780,$M$5:$M$1004)*L780*100,""),"")))</f>
        <v/>
      </c>
      <c r="R780" s="47" t="str">
        <f aca="false">IF(AND(O780&lt;&gt;"",L780&lt;&gt;""),O780*L780*100,"")</f>
        <v/>
      </c>
      <c r="S780" s="48" t="str">
        <f aca="false">IF(AND(P780&lt;&gt;"",L780&lt;&gt;""),P780*L780*100,"")</f>
        <v/>
      </c>
      <c r="T780" s="49" t="str">
        <f aca="false">IF(AND(Q780&lt;&gt;"",R780&lt;&gt;""),R780-Q780,"")</f>
        <v/>
      </c>
      <c r="U780" s="50" t="str">
        <f aca="false">IF(AND(Q780&lt;&gt;"",Q780&lt;&gt;0,T780&lt;&gt;""),T780/Q780,"")</f>
        <v/>
      </c>
      <c r="V780" s="51" t="str">
        <f aca="false">IF(AND(S780&lt;&gt;"",Q780&lt;&gt;""),S780-Q780,"")</f>
        <v/>
      </c>
      <c r="W780" s="52" t="str">
        <f aca="false">IF(AND(Q780&lt;&gt;"",Q780&lt;&gt;0,V780&lt;&gt;""),V780/Q780,"")</f>
        <v/>
      </c>
      <c r="X780" s="53" t="s">
        <v>37</v>
      </c>
      <c r="Y780" s="54" t="str">
        <f aca="false">IF(AND(O780&lt;&gt;"",M780&lt;&gt;"",O780&gt;M780),CONCATENATE("1 : ",TEXT((O780-M780)/M780,"0.00")),IF(AND(O780&lt;&gt;"",M780&lt;&gt;"",O780&lt;M780),CONCATENATE("-1 : ",TEXT((M780-O780)/M780,"0.00")),"—"))</f>
        <v>—</v>
      </c>
      <c r="Z780" s="55" t="str">
        <f aca="false">IF(AND(P780&lt;&gt;"",M780&lt;&gt;"",P780&gt;M780),CONCATENATE("1 : ",TEXT((P780-M780)/M780,"0.00")),"—")</f>
        <v>—</v>
      </c>
      <c r="AA780" s="56" t="str">
        <f aca="false">IF(AND(C780&lt;&gt;"",E780&lt;&gt;""),E780-C780,"")</f>
        <v/>
      </c>
      <c r="AB780" s="42"/>
      <c r="AC780" s="57"/>
      <c r="AD780" s="58"/>
      <c r="AE780" s="59" t="str">
        <f aca="false">IF(G780&lt;&gt;"",HYPERLINK("https://www.tradingview.com/chart/?symbol="&amp;G780&amp;"&amp;interval=60&amp;from="&amp;(AG780-10*3600)&amp;"&amp;to="&amp;(AG780+50*3600),"📈 1H"),"")</f>
        <v/>
      </c>
      <c r="AF780" s="60" t="str">
        <f aca="false">IF(G780&lt;&gt;"",HYPERLINK("https://www.tradingview.com/chart/?symbol="&amp;G780&amp;"&amp;interval=240&amp;from="&amp;(AG780-10*14400)&amp;"&amp;to="&amp;(AG780+50*14400),"📈 4H"),"")</f>
        <v/>
      </c>
      <c r="AG780" s="36" t="str">
        <f aca="false">IF(C780&lt;&gt;"",INT((C780+IF(D780&lt;&gt;"",D780,0)-DATE(1970,1,1))*86400),"")</f>
        <v/>
      </c>
    </row>
    <row r="781" customFormat="false" ht="19.5" hidden="false" customHeight="true" outlineLevel="0" collapsed="false">
      <c r="A781" s="12" t="n">
        <f aca="false">ROW()-4</f>
        <v>777</v>
      </c>
      <c r="B781" s="13"/>
      <c r="C781" s="14"/>
      <c r="D781" s="15"/>
      <c r="E781" s="14"/>
      <c r="F781" s="15"/>
      <c r="G781" s="16"/>
      <c r="H781" s="17"/>
      <c r="I781" s="18"/>
      <c r="J781" s="19"/>
      <c r="K781" s="14"/>
      <c r="L781" s="17"/>
      <c r="M781" s="19"/>
      <c r="N781" s="20"/>
      <c r="O781" s="19"/>
      <c r="P781" s="21"/>
      <c r="Q781" s="22" t="str">
        <f aca="false">IF(L781="","",IF(M781&lt;&gt;"",M781*L781*100,IF(AND(O781&lt;&gt;"",B781&lt;&gt;""),IFERROR(AVERAGEIF($B$5:$B$1004,B781,$M$5:$M$1004)*L781*100,""),"")))</f>
        <v/>
      </c>
      <c r="R781" s="22" t="str">
        <f aca="false">IF(AND(O781&lt;&gt;"",L781&lt;&gt;""),O781*L781*100,"")</f>
        <v/>
      </c>
      <c r="S781" s="23" t="str">
        <f aca="false">IF(AND(P781&lt;&gt;"",L781&lt;&gt;""),P781*L781*100,"")</f>
        <v/>
      </c>
      <c r="T781" s="24" t="str">
        <f aca="false">IF(AND(Q781&lt;&gt;"",R781&lt;&gt;""),R781-Q781,"")</f>
        <v/>
      </c>
      <c r="U781" s="25" t="str">
        <f aca="false">IF(AND(Q781&lt;&gt;"",Q781&lt;&gt;0,T781&lt;&gt;""),T781/Q781,"")</f>
        <v/>
      </c>
      <c r="V781" s="26" t="str">
        <f aca="false">IF(AND(S781&lt;&gt;"",Q781&lt;&gt;""),S781-Q781,"")</f>
        <v/>
      </c>
      <c r="W781" s="27" t="str">
        <f aca="false">IF(AND(Q781&lt;&gt;"",Q781&lt;&gt;0,V781&lt;&gt;""),V781/Q781,"")</f>
        <v/>
      </c>
      <c r="X781" s="28" t="s">
        <v>37</v>
      </c>
      <c r="Y781" s="29" t="str">
        <f aca="false">IF(AND(O781&lt;&gt;"",M781&lt;&gt;"",O781&gt;M781),CONCATENATE("1 : ",TEXT((O781-M781)/M781,"0.00")),IF(AND(O781&lt;&gt;"",M781&lt;&gt;"",O781&lt;M781),CONCATENATE("-1 : ",TEXT((M781-O781)/M781,"0.00")),"—"))</f>
        <v>—</v>
      </c>
      <c r="Z781" s="30" t="str">
        <f aca="false">IF(AND(P781&lt;&gt;"",M781&lt;&gt;"",P781&gt;M781),CONCATENATE("1 : ",TEXT((P781-M781)/M781,"0.00")),"—")</f>
        <v>—</v>
      </c>
      <c r="AA781" s="31" t="str">
        <f aca="false">IF(AND(C781&lt;&gt;"",E781&lt;&gt;""),E781-C781,"")</f>
        <v/>
      </c>
      <c r="AB781" s="17"/>
      <c r="AC781" s="32"/>
      <c r="AD781" s="33"/>
      <c r="AE781" s="34" t="str">
        <f aca="false">IF(G781&lt;&gt;"",HYPERLINK("https://www.tradingview.com/chart/?symbol="&amp;G781&amp;"&amp;interval=60&amp;from="&amp;(AG781-10*3600)&amp;"&amp;to="&amp;(AG781+50*3600),"📈 1H"),"")</f>
        <v/>
      </c>
      <c r="AF781" s="35" t="str">
        <f aca="false">IF(G781&lt;&gt;"",HYPERLINK("https://www.tradingview.com/chart/?symbol="&amp;G781&amp;"&amp;interval=240&amp;from="&amp;(AG781-10*14400)&amp;"&amp;to="&amp;(AG781+50*14400),"📈 4H"),"")</f>
        <v/>
      </c>
      <c r="AG781" s="36" t="str">
        <f aca="false">IF(C781&lt;&gt;"",INT((C781+IF(D781&lt;&gt;"",D781,0)-DATE(1970,1,1))*86400),"")</f>
        <v/>
      </c>
    </row>
    <row r="782" customFormat="false" ht="19.5" hidden="false" customHeight="true" outlineLevel="0" collapsed="false">
      <c r="A782" s="37" t="n">
        <f aca="false">ROW()-4</f>
        <v>778</v>
      </c>
      <c r="B782" s="38"/>
      <c r="C782" s="39"/>
      <c r="D782" s="40"/>
      <c r="E782" s="39"/>
      <c r="F782" s="40"/>
      <c r="G782" s="41"/>
      <c r="H782" s="42"/>
      <c r="I782" s="43"/>
      <c r="J782" s="44"/>
      <c r="K782" s="39"/>
      <c r="L782" s="42"/>
      <c r="M782" s="44"/>
      <c r="N782" s="45"/>
      <c r="O782" s="44"/>
      <c r="P782" s="46"/>
      <c r="Q782" s="47" t="str">
        <f aca="false">IF(L782="","",IF(M782&lt;&gt;"",M782*L782*100,IF(AND(O782&lt;&gt;"",B782&lt;&gt;""),IFERROR(AVERAGEIF($B$5:$B$1004,B782,$M$5:$M$1004)*L782*100,""),"")))</f>
        <v/>
      </c>
      <c r="R782" s="47" t="str">
        <f aca="false">IF(AND(O782&lt;&gt;"",L782&lt;&gt;""),O782*L782*100,"")</f>
        <v/>
      </c>
      <c r="S782" s="48" t="str">
        <f aca="false">IF(AND(P782&lt;&gt;"",L782&lt;&gt;""),P782*L782*100,"")</f>
        <v/>
      </c>
      <c r="T782" s="49" t="str">
        <f aca="false">IF(AND(Q782&lt;&gt;"",R782&lt;&gt;""),R782-Q782,"")</f>
        <v/>
      </c>
      <c r="U782" s="50" t="str">
        <f aca="false">IF(AND(Q782&lt;&gt;"",Q782&lt;&gt;0,T782&lt;&gt;""),T782/Q782,"")</f>
        <v/>
      </c>
      <c r="V782" s="51" t="str">
        <f aca="false">IF(AND(S782&lt;&gt;"",Q782&lt;&gt;""),S782-Q782,"")</f>
        <v/>
      </c>
      <c r="W782" s="52" t="str">
        <f aca="false">IF(AND(Q782&lt;&gt;"",Q782&lt;&gt;0,V782&lt;&gt;""),V782/Q782,"")</f>
        <v/>
      </c>
      <c r="X782" s="53" t="s">
        <v>37</v>
      </c>
      <c r="Y782" s="54" t="str">
        <f aca="false">IF(AND(O782&lt;&gt;"",M782&lt;&gt;"",O782&gt;M782),CONCATENATE("1 : ",TEXT((O782-M782)/M782,"0.00")),IF(AND(O782&lt;&gt;"",M782&lt;&gt;"",O782&lt;M782),CONCATENATE("-1 : ",TEXT((M782-O782)/M782,"0.00")),"—"))</f>
        <v>—</v>
      </c>
      <c r="Z782" s="55" t="str">
        <f aca="false">IF(AND(P782&lt;&gt;"",M782&lt;&gt;"",P782&gt;M782),CONCATENATE("1 : ",TEXT((P782-M782)/M782,"0.00")),"—")</f>
        <v>—</v>
      </c>
      <c r="AA782" s="56" t="str">
        <f aca="false">IF(AND(C782&lt;&gt;"",E782&lt;&gt;""),E782-C782,"")</f>
        <v/>
      </c>
      <c r="AB782" s="42"/>
      <c r="AC782" s="57"/>
      <c r="AD782" s="58"/>
      <c r="AE782" s="59" t="str">
        <f aca="false">IF(G782&lt;&gt;"",HYPERLINK("https://www.tradingview.com/chart/?symbol="&amp;G782&amp;"&amp;interval=60&amp;from="&amp;(AG782-10*3600)&amp;"&amp;to="&amp;(AG782+50*3600),"📈 1H"),"")</f>
        <v/>
      </c>
      <c r="AF782" s="60" t="str">
        <f aca="false">IF(G782&lt;&gt;"",HYPERLINK("https://www.tradingview.com/chart/?symbol="&amp;G782&amp;"&amp;interval=240&amp;from="&amp;(AG782-10*14400)&amp;"&amp;to="&amp;(AG782+50*14400),"📈 4H"),"")</f>
        <v/>
      </c>
      <c r="AG782" s="36" t="str">
        <f aca="false">IF(C782&lt;&gt;"",INT((C782+IF(D782&lt;&gt;"",D782,0)-DATE(1970,1,1))*86400),"")</f>
        <v/>
      </c>
    </row>
    <row r="783" customFormat="false" ht="19.5" hidden="false" customHeight="true" outlineLevel="0" collapsed="false">
      <c r="A783" s="12" t="n">
        <f aca="false">ROW()-4</f>
        <v>779</v>
      </c>
      <c r="B783" s="13"/>
      <c r="C783" s="14"/>
      <c r="D783" s="15"/>
      <c r="E783" s="14"/>
      <c r="F783" s="15"/>
      <c r="G783" s="16"/>
      <c r="H783" s="17"/>
      <c r="I783" s="18"/>
      <c r="J783" s="19"/>
      <c r="K783" s="14"/>
      <c r="L783" s="17"/>
      <c r="M783" s="19"/>
      <c r="N783" s="20"/>
      <c r="O783" s="19"/>
      <c r="P783" s="21"/>
      <c r="Q783" s="22" t="str">
        <f aca="false">IF(L783="","",IF(M783&lt;&gt;"",M783*L783*100,IF(AND(O783&lt;&gt;"",B783&lt;&gt;""),IFERROR(AVERAGEIF($B$5:$B$1004,B783,$M$5:$M$1004)*L783*100,""),"")))</f>
        <v/>
      </c>
      <c r="R783" s="22" t="str">
        <f aca="false">IF(AND(O783&lt;&gt;"",L783&lt;&gt;""),O783*L783*100,"")</f>
        <v/>
      </c>
      <c r="S783" s="23" t="str">
        <f aca="false">IF(AND(P783&lt;&gt;"",L783&lt;&gt;""),P783*L783*100,"")</f>
        <v/>
      </c>
      <c r="T783" s="24" t="str">
        <f aca="false">IF(AND(Q783&lt;&gt;"",R783&lt;&gt;""),R783-Q783,"")</f>
        <v/>
      </c>
      <c r="U783" s="25" t="str">
        <f aca="false">IF(AND(Q783&lt;&gt;"",Q783&lt;&gt;0,T783&lt;&gt;""),T783/Q783,"")</f>
        <v/>
      </c>
      <c r="V783" s="26" t="str">
        <f aca="false">IF(AND(S783&lt;&gt;"",Q783&lt;&gt;""),S783-Q783,"")</f>
        <v/>
      </c>
      <c r="W783" s="27" t="str">
        <f aca="false">IF(AND(Q783&lt;&gt;"",Q783&lt;&gt;0,V783&lt;&gt;""),V783/Q783,"")</f>
        <v/>
      </c>
      <c r="X783" s="28" t="s">
        <v>37</v>
      </c>
      <c r="Y783" s="29" t="str">
        <f aca="false">IF(AND(O783&lt;&gt;"",M783&lt;&gt;"",O783&gt;M783),CONCATENATE("1 : ",TEXT((O783-M783)/M783,"0.00")),IF(AND(O783&lt;&gt;"",M783&lt;&gt;"",O783&lt;M783),CONCATENATE("-1 : ",TEXT((M783-O783)/M783,"0.00")),"—"))</f>
        <v>—</v>
      </c>
      <c r="Z783" s="30" t="str">
        <f aca="false">IF(AND(P783&lt;&gt;"",M783&lt;&gt;"",P783&gt;M783),CONCATENATE("1 : ",TEXT((P783-M783)/M783,"0.00")),"—")</f>
        <v>—</v>
      </c>
      <c r="AA783" s="31" t="str">
        <f aca="false">IF(AND(C783&lt;&gt;"",E783&lt;&gt;""),E783-C783,"")</f>
        <v/>
      </c>
      <c r="AB783" s="17"/>
      <c r="AC783" s="32"/>
      <c r="AD783" s="33"/>
      <c r="AE783" s="34" t="str">
        <f aca="false">IF(G783&lt;&gt;"",HYPERLINK("https://www.tradingview.com/chart/?symbol="&amp;G783&amp;"&amp;interval=60&amp;from="&amp;(AG783-10*3600)&amp;"&amp;to="&amp;(AG783+50*3600),"📈 1H"),"")</f>
        <v/>
      </c>
      <c r="AF783" s="35" t="str">
        <f aca="false">IF(G783&lt;&gt;"",HYPERLINK("https://www.tradingview.com/chart/?symbol="&amp;G783&amp;"&amp;interval=240&amp;from="&amp;(AG783-10*14400)&amp;"&amp;to="&amp;(AG783+50*14400),"📈 4H"),"")</f>
        <v/>
      </c>
      <c r="AG783" s="36" t="str">
        <f aca="false">IF(C783&lt;&gt;"",INT((C783+IF(D783&lt;&gt;"",D783,0)-DATE(1970,1,1))*86400),"")</f>
        <v/>
      </c>
    </row>
    <row r="784" customFormat="false" ht="19.5" hidden="false" customHeight="true" outlineLevel="0" collapsed="false">
      <c r="A784" s="37" t="n">
        <f aca="false">ROW()-4</f>
        <v>780</v>
      </c>
      <c r="B784" s="38"/>
      <c r="C784" s="39"/>
      <c r="D784" s="40"/>
      <c r="E784" s="39"/>
      <c r="F784" s="40"/>
      <c r="G784" s="41"/>
      <c r="H784" s="42"/>
      <c r="I784" s="43"/>
      <c r="J784" s="44"/>
      <c r="K784" s="39"/>
      <c r="L784" s="42"/>
      <c r="M784" s="44"/>
      <c r="N784" s="45"/>
      <c r="O784" s="44"/>
      <c r="P784" s="46"/>
      <c r="Q784" s="47" t="str">
        <f aca="false">IF(L784="","",IF(M784&lt;&gt;"",M784*L784*100,IF(AND(O784&lt;&gt;"",B784&lt;&gt;""),IFERROR(AVERAGEIF($B$5:$B$1004,B784,$M$5:$M$1004)*L784*100,""),"")))</f>
        <v/>
      </c>
      <c r="R784" s="47" t="str">
        <f aca="false">IF(AND(O784&lt;&gt;"",L784&lt;&gt;""),O784*L784*100,"")</f>
        <v/>
      </c>
      <c r="S784" s="48" t="str">
        <f aca="false">IF(AND(P784&lt;&gt;"",L784&lt;&gt;""),P784*L784*100,"")</f>
        <v/>
      </c>
      <c r="T784" s="49" t="str">
        <f aca="false">IF(AND(Q784&lt;&gt;"",R784&lt;&gt;""),R784-Q784,"")</f>
        <v/>
      </c>
      <c r="U784" s="50" t="str">
        <f aca="false">IF(AND(Q784&lt;&gt;"",Q784&lt;&gt;0,T784&lt;&gt;""),T784/Q784,"")</f>
        <v/>
      </c>
      <c r="V784" s="51" t="str">
        <f aca="false">IF(AND(S784&lt;&gt;"",Q784&lt;&gt;""),S784-Q784,"")</f>
        <v/>
      </c>
      <c r="W784" s="52" t="str">
        <f aca="false">IF(AND(Q784&lt;&gt;"",Q784&lt;&gt;0,V784&lt;&gt;""),V784/Q784,"")</f>
        <v/>
      </c>
      <c r="X784" s="53" t="s">
        <v>37</v>
      </c>
      <c r="Y784" s="54" t="str">
        <f aca="false">IF(AND(O784&lt;&gt;"",M784&lt;&gt;"",O784&gt;M784),CONCATENATE("1 : ",TEXT((O784-M784)/M784,"0.00")),IF(AND(O784&lt;&gt;"",M784&lt;&gt;"",O784&lt;M784),CONCATENATE("-1 : ",TEXT((M784-O784)/M784,"0.00")),"—"))</f>
        <v>—</v>
      </c>
      <c r="Z784" s="55" t="str">
        <f aca="false">IF(AND(P784&lt;&gt;"",M784&lt;&gt;"",P784&gt;M784),CONCATENATE("1 : ",TEXT((P784-M784)/M784,"0.00")),"—")</f>
        <v>—</v>
      </c>
      <c r="AA784" s="56" t="str">
        <f aca="false">IF(AND(C784&lt;&gt;"",E784&lt;&gt;""),E784-C784,"")</f>
        <v/>
      </c>
      <c r="AB784" s="42"/>
      <c r="AC784" s="57"/>
      <c r="AD784" s="58"/>
      <c r="AE784" s="59" t="str">
        <f aca="false">IF(G784&lt;&gt;"",HYPERLINK("https://www.tradingview.com/chart/?symbol="&amp;G784&amp;"&amp;interval=60&amp;from="&amp;(AG784-10*3600)&amp;"&amp;to="&amp;(AG784+50*3600),"📈 1H"),"")</f>
        <v/>
      </c>
      <c r="AF784" s="60" t="str">
        <f aca="false">IF(G784&lt;&gt;"",HYPERLINK("https://www.tradingview.com/chart/?symbol="&amp;G784&amp;"&amp;interval=240&amp;from="&amp;(AG784-10*14400)&amp;"&amp;to="&amp;(AG784+50*14400),"📈 4H"),"")</f>
        <v/>
      </c>
      <c r="AG784" s="36" t="str">
        <f aca="false">IF(C784&lt;&gt;"",INT((C784+IF(D784&lt;&gt;"",D784,0)-DATE(1970,1,1))*86400),"")</f>
        <v/>
      </c>
    </row>
    <row r="785" customFormat="false" ht="19.5" hidden="false" customHeight="true" outlineLevel="0" collapsed="false">
      <c r="A785" s="12" t="n">
        <f aca="false">ROW()-4</f>
        <v>781</v>
      </c>
      <c r="B785" s="13"/>
      <c r="C785" s="14"/>
      <c r="D785" s="15"/>
      <c r="E785" s="14"/>
      <c r="F785" s="15"/>
      <c r="G785" s="16"/>
      <c r="H785" s="17"/>
      <c r="I785" s="18"/>
      <c r="J785" s="19"/>
      <c r="K785" s="14"/>
      <c r="L785" s="17"/>
      <c r="M785" s="19"/>
      <c r="N785" s="20"/>
      <c r="O785" s="19"/>
      <c r="P785" s="21"/>
      <c r="Q785" s="22" t="str">
        <f aca="false">IF(L785="","",IF(M785&lt;&gt;"",M785*L785*100,IF(AND(O785&lt;&gt;"",B785&lt;&gt;""),IFERROR(AVERAGEIF($B$5:$B$1004,B785,$M$5:$M$1004)*L785*100,""),"")))</f>
        <v/>
      </c>
      <c r="R785" s="22" t="str">
        <f aca="false">IF(AND(O785&lt;&gt;"",L785&lt;&gt;""),O785*L785*100,"")</f>
        <v/>
      </c>
      <c r="S785" s="23" t="str">
        <f aca="false">IF(AND(P785&lt;&gt;"",L785&lt;&gt;""),P785*L785*100,"")</f>
        <v/>
      </c>
      <c r="T785" s="24" t="str">
        <f aca="false">IF(AND(Q785&lt;&gt;"",R785&lt;&gt;""),R785-Q785,"")</f>
        <v/>
      </c>
      <c r="U785" s="25" t="str">
        <f aca="false">IF(AND(Q785&lt;&gt;"",Q785&lt;&gt;0,T785&lt;&gt;""),T785/Q785,"")</f>
        <v/>
      </c>
      <c r="V785" s="26" t="str">
        <f aca="false">IF(AND(S785&lt;&gt;"",Q785&lt;&gt;""),S785-Q785,"")</f>
        <v/>
      </c>
      <c r="W785" s="27" t="str">
        <f aca="false">IF(AND(Q785&lt;&gt;"",Q785&lt;&gt;0,V785&lt;&gt;""),V785/Q785,"")</f>
        <v/>
      </c>
      <c r="X785" s="28" t="s">
        <v>37</v>
      </c>
      <c r="Y785" s="29" t="str">
        <f aca="false">IF(AND(O785&lt;&gt;"",M785&lt;&gt;"",O785&gt;M785),CONCATENATE("1 : ",TEXT((O785-M785)/M785,"0.00")),IF(AND(O785&lt;&gt;"",M785&lt;&gt;"",O785&lt;M785),CONCATENATE("-1 : ",TEXT((M785-O785)/M785,"0.00")),"—"))</f>
        <v>—</v>
      </c>
      <c r="Z785" s="30" t="str">
        <f aca="false">IF(AND(P785&lt;&gt;"",M785&lt;&gt;"",P785&gt;M785),CONCATENATE("1 : ",TEXT((P785-M785)/M785,"0.00")),"—")</f>
        <v>—</v>
      </c>
      <c r="AA785" s="31" t="str">
        <f aca="false">IF(AND(C785&lt;&gt;"",E785&lt;&gt;""),E785-C785,"")</f>
        <v/>
      </c>
      <c r="AB785" s="17"/>
      <c r="AC785" s="32"/>
      <c r="AD785" s="33"/>
      <c r="AE785" s="34" t="str">
        <f aca="false">IF(G785&lt;&gt;"",HYPERLINK("https://www.tradingview.com/chart/?symbol="&amp;G785&amp;"&amp;interval=60&amp;from="&amp;(AG785-10*3600)&amp;"&amp;to="&amp;(AG785+50*3600),"📈 1H"),"")</f>
        <v/>
      </c>
      <c r="AF785" s="35" t="str">
        <f aca="false">IF(G785&lt;&gt;"",HYPERLINK("https://www.tradingview.com/chart/?symbol="&amp;G785&amp;"&amp;interval=240&amp;from="&amp;(AG785-10*14400)&amp;"&amp;to="&amp;(AG785+50*14400),"📈 4H"),"")</f>
        <v/>
      </c>
      <c r="AG785" s="36" t="str">
        <f aca="false">IF(C785&lt;&gt;"",INT((C785+IF(D785&lt;&gt;"",D785,0)-DATE(1970,1,1))*86400),"")</f>
        <v/>
      </c>
    </row>
    <row r="786" customFormat="false" ht="19.5" hidden="false" customHeight="true" outlineLevel="0" collapsed="false">
      <c r="A786" s="37" t="n">
        <f aca="false">ROW()-4</f>
        <v>782</v>
      </c>
      <c r="B786" s="38"/>
      <c r="C786" s="39"/>
      <c r="D786" s="40"/>
      <c r="E786" s="39"/>
      <c r="F786" s="40"/>
      <c r="G786" s="41"/>
      <c r="H786" s="42"/>
      <c r="I786" s="43"/>
      <c r="J786" s="44"/>
      <c r="K786" s="39"/>
      <c r="L786" s="42"/>
      <c r="M786" s="44"/>
      <c r="N786" s="45"/>
      <c r="O786" s="44"/>
      <c r="P786" s="46"/>
      <c r="Q786" s="47" t="str">
        <f aca="false">IF(L786="","",IF(M786&lt;&gt;"",M786*L786*100,IF(AND(O786&lt;&gt;"",B786&lt;&gt;""),IFERROR(AVERAGEIF($B$5:$B$1004,B786,$M$5:$M$1004)*L786*100,""),"")))</f>
        <v/>
      </c>
      <c r="R786" s="47" t="str">
        <f aca="false">IF(AND(O786&lt;&gt;"",L786&lt;&gt;""),O786*L786*100,"")</f>
        <v/>
      </c>
      <c r="S786" s="48" t="str">
        <f aca="false">IF(AND(P786&lt;&gt;"",L786&lt;&gt;""),P786*L786*100,"")</f>
        <v/>
      </c>
      <c r="T786" s="49" t="str">
        <f aca="false">IF(AND(Q786&lt;&gt;"",R786&lt;&gt;""),R786-Q786,"")</f>
        <v/>
      </c>
      <c r="U786" s="50" t="str">
        <f aca="false">IF(AND(Q786&lt;&gt;"",Q786&lt;&gt;0,T786&lt;&gt;""),T786/Q786,"")</f>
        <v/>
      </c>
      <c r="V786" s="51" t="str">
        <f aca="false">IF(AND(S786&lt;&gt;"",Q786&lt;&gt;""),S786-Q786,"")</f>
        <v/>
      </c>
      <c r="W786" s="52" t="str">
        <f aca="false">IF(AND(Q786&lt;&gt;"",Q786&lt;&gt;0,V786&lt;&gt;""),V786/Q786,"")</f>
        <v/>
      </c>
      <c r="X786" s="53" t="s">
        <v>37</v>
      </c>
      <c r="Y786" s="54" t="str">
        <f aca="false">IF(AND(O786&lt;&gt;"",M786&lt;&gt;"",O786&gt;M786),CONCATENATE("1 : ",TEXT((O786-M786)/M786,"0.00")),IF(AND(O786&lt;&gt;"",M786&lt;&gt;"",O786&lt;M786),CONCATENATE("-1 : ",TEXT((M786-O786)/M786,"0.00")),"—"))</f>
        <v>—</v>
      </c>
      <c r="Z786" s="55" t="str">
        <f aca="false">IF(AND(P786&lt;&gt;"",M786&lt;&gt;"",P786&gt;M786),CONCATENATE("1 : ",TEXT((P786-M786)/M786,"0.00")),"—")</f>
        <v>—</v>
      </c>
      <c r="AA786" s="56" t="str">
        <f aca="false">IF(AND(C786&lt;&gt;"",E786&lt;&gt;""),E786-C786,"")</f>
        <v/>
      </c>
      <c r="AB786" s="42"/>
      <c r="AC786" s="57"/>
      <c r="AD786" s="58"/>
      <c r="AE786" s="59" t="str">
        <f aca="false">IF(G786&lt;&gt;"",HYPERLINK("https://www.tradingview.com/chart/?symbol="&amp;G786&amp;"&amp;interval=60&amp;from="&amp;(AG786-10*3600)&amp;"&amp;to="&amp;(AG786+50*3600),"📈 1H"),"")</f>
        <v/>
      </c>
      <c r="AF786" s="60" t="str">
        <f aca="false">IF(G786&lt;&gt;"",HYPERLINK("https://www.tradingview.com/chart/?symbol="&amp;G786&amp;"&amp;interval=240&amp;from="&amp;(AG786-10*14400)&amp;"&amp;to="&amp;(AG786+50*14400),"📈 4H"),"")</f>
        <v/>
      </c>
      <c r="AG786" s="36" t="str">
        <f aca="false">IF(C786&lt;&gt;"",INT((C786+IF(D786&lt;&gt;"",D786,0)-DATE(1970,1,1))*86400),"")</f>
        <v/>
      </c>
    </row>
    <row r="787" customFormat="false" ht="19.5" hidden="false" customHeight="true" outlineLevel="0" collapsed="false">
      <c r="A787" s="12" t="n">
        <f aca="false">ROW()-4</f>
        <v>783</v>
      </c>
      <c r="B787" s="13"/>
      <c r="C787" s="14"/>
      <c r="D787" s="15"/>
      <c r="E787" s="14"/>
      <c r="F787" s="15"/>
      <c r="G787" s="16"/>
      <c r="H787" s="17"/>
      <c r="I787" s="18"/>
      <c r="J787" s="19"/>
      <c r="K787" s="14"/>
      <c r="L787" s="17"/>
      <c r="M787" s="19"/>
      <c r="N787" s="20"/>
      <c r="O787" s="19"/>
      <c r="P787" s="21"/>
      <c r="Q787" s="22" t="str">
        <f aca="false">IF(L787="","",IF(M787&lt;&gt;"",M787*L787*100,IF(AND(O787&lt;&gt;"",B787&lt;&gt;""),IFERROR(AVERAGEIF($B$5:$B$1004,B787,$M$5:$M$1004)*L787*100,""),"")))</f>
        <v/>
      </c>
      <c r="R787" s="22" t="str">
        <f aca="false">IF(AND(O787&lt;&gt;"",L787&lt;&gt;""),O787*L787*100,"")</f>
        <v/>
      </c>
      <c r="S787" s="23" t="str">
        <f aca="false">IF(AND(P787&lt;&gt;"",L787&lt;&gt;""),P787*L787*100,"")</f>
        <v/>
      </c>
      <c r="T787" s="24" t="str">
        <f aca="false">IF(AND(Q787&lt;&gt;"",R787&lt;&gt;""),R787-Q787,"")</f>
        <v/>
      </c>
      <c r="U787" s="25" t="str">
        <f aca="false">IF(AND(Q787&lt;&gt;"",Q787&lt;&gt;0,T787&lt;&gt;""),T787/Q787,"")</f>
        <v/>
      </c>
      <c r="V787" s="26" t="str">
        <f aca="false">IF(AND(S787&lt;&gt;"",Q787&lt;&gt;""),S787-Q787,"")</f>
        <v/>
      </c>
      <c r="W787" s="27" t="str">
        <f aca="false">IF(AND(Q787&lt;&gt;"",Q787&lt;&gt;0,V787&lt;&gt;""),V787/Q787,"")</f>
        <v/>
      </c>
      <c r="X787" s="28" t="s">
        <v>37</v>
      </c>
      <c r="Y787" s="29" t="str">
        <f aca="false">IF(AND(O787&lt;&gt;"",M787&lt;&gt;"",O787&gt;M787),CONCATENATE("1 : ",TEXT((O787-M787)/M787,"0.00")),IF(AND(O787&lt;&gt;"",M787&lt;&gt;"",O787&lt;M787),CONCATENATE("-1 : ",TEXT((M787-O787)/M787,"0.00")),"—"))</f>
        <v>—</v>
      </c>
      <c r="Z787" s="30" t="str">
        <f aca="false">IF(AND(P787&lt;&gt;"",M787&lt;&gt;"",P787&gt;M787),CONCATENATE("1 : ",TEXT((P787-M787)/M787,"0.00")),"—")</f>
        <v>—</v>
      </c>
      <c r="AA787" s="31" t="str">
        <f aca="false">IF(AND(C787&lt;&gt;"",E787&lt;&gt;""),E787-C787,"")</f>
        <v/>
      </c>
      <c r="AB787" s="17"/>
      <c r="AC787" s="32"/>
      <c r="AD787" s="33"/>
      <c r="AE787" s="34" t="str">
        <f aca="false">IF(G787&lt;&gt;"",HYPERLINK("https://www.tradingview.com/chart/?symbol="&amp;G787&amp;"&amp;interval=60&amp;from="&amp;(AG787-10*3600)&amp;"&amp;to="&amp;(AG787+50*3600),"📈 1H"),"")</f>
        <v/>
      </c>
      <c r="AF787" s="35" t="str">
        <f aca="false">IF(G787&lt;&gt;"",HYPERLINK("https://www.tradingview.com/chart/?symbol="&amp;G787&amp;"&amp;interval=240&amp;from="&amp;(AG787-10*14400)&amp;"&amp;to="&amp;(AG787+50*14400),"📈 4H"),"")</f>
        <v/>
      </c>
      <c r="AG787" s="36" t="str">
        <f aca="false">IF(C787&lt;&gt;"",INT((C787+IF(D787&lt;&gt;"",D787,0)-DATE(1970,1,1))*86400),"")</f>
        <v/>
      </c>
    </row>
    <row r="788" customFormat="false" ht="19.5" hidden="false" customHeight="true" outlineLevel="0" collapsed="false">
      <c r="A788" s="37" t="n">
        <f aca="false">ROW()-4</f>
        <v>784</v>
      </c>
      <c r="B788" s="38"/>
      <c r="C788" s="39"/>
      <c r="D788" s="40"/>
      <c r="E788" s="39"/>
      <c r="F788" s="40"/>
      <c r="G788" s="41"/>
      <c r="H788" s="42"/>
      <c r="I788" s="43"/>
      <c r="J788" s="44"/>
      <c r="K788" s="39"/>
      <c r="L788" s="42"/>
      <c r="M788" s="44"/>
      <c r="N788" s="45"/>
      <c r="O788" s="44"/>
      <c r="P788" s="46"/>
      <c r="Q788" s="47" t="str">
        <f aca="false">IF(L788="","",IF(M788&lt;&gt;"",M788*L788*100,IF(AND(O788&lt;&gt;"",B788&lt;&gt;""),IFERROR(AVERAGEIF($B$5:$B$1004,B788,$M$5:$M$1004)*L788*100,""),"")))</f>
        <v/>
      </c>
      <c r="R788" s="47" t="str">
        <f aca="false">IF(AND(O788&lt;&gt;"",L788&lt;&gt;""),O788*L788*100,"")</f>
        <v/>
      </c>
      <c r="S788" s="48" t="str">
        <f aca="false">IF(AND(P788&lt;&gt;"",L788&lt;&gt;""),P788*L788*100,"")</f>
        <v/>
      </c>
      <c r="T788" s="49" t="str">
        <f aca="false">IF(AND(Q788&lt;&gt;"",R788&lt;&gt;""),R788-Q788,"")</f>
        <v/>
      </c>
      <c r="U788" s="50" t="str">
        <f aca="false">IF(AND(Q788&lt;&gt;"",Q788&lt;&gt;0,T788&lt;&gt;""),T788/Q788,"")</f>
        <v/>
      </c>
      <c r="V788" s="51" t="str">
        <f aca="false">IF(AND(S788&lt;&gt;"",Q788&lt;&gt;""),S788-Q788,"")</f>
        <v/>
      </c>
      <c r="W788" s="52" t="str">
        <f aca="false">IF(AND(Q788&lt;&gt;"",Q788&lt;&gt;0,V788&lt;&gt;""),V788/Q788,"")</f>
        <v/>
      </c>
      <c r="X788" s="53" t="s">
        <v>37</v>
      </c>
      <c r="Y788" s="54" t="str">
        <f aca="false">IF(AND(O788&lt;&gt;"",M788&lt;&gt;"",O788&gt;M788),CONCATENATE("1 : ",TEXT((O788-M788)/M788,"0.00")),IF(AND(O788&lt;&gt;"",M788&lt;&gt;"",O788&lt;M788),CONCATENATE("-1 : ",TEXT((M788-O788)/M788,"0.00")),"—"))</f>
        <v>—</v>
      </c>
      <c r="Z788" s="55" t="str">
        <f aca="false">IF(AND(P788&lt;&gt;"",M788&lt;&gt;"",P788&gt;M788),CONCATENATE("1 : ",TEXT((P788-M788)/M788,"0.00")),"—")</f>
        <v>—</v>
      </c>
      <c r="AA788" s="56" t="str">
        <f aca="false">IF(AND(C788&lt;&gt;"",E788&lt;&gt;""),E788-C788,"")</f>
        <v/>
      </c>
      <c r="AB788" s="42"/>
      <c r="AC788" s="57"/>
      <c r="AD788" s="58"/>
      <c r="AE788" s="59" t="str">
        <f aca="false">IF(G788&lt;&gt;"",HYPERLINK("https://www.tradingview.com/chart/?symbol="&amp;G788&amp;"&amp;interval=60&amp;from="&amp;(AG788-10*3600)&amp;"&amp;to="&amp;(AG788+50*3600),"📈 1H"),"")</f>
        <v/>
      </c>
      <c r="AF788" s="60" t="str">
        <f aca="false">IF(G788&lt;&gt;"",HYPERLINK("https://www.tradingview.com/chart/?symbol="&amp;G788&amp;"&amp;interval=240&amp;from="&amp;(AG788-10*14400)&amp;"&amp;to="&amp;(AG788+50*14400),"📈 4H"),"")</f>
        <v/>
      </c>
      <c r="AG788" s="36" t="str">
        <f aca="false">IF(C788&lt;&gt;"",INT((C788+IF(D788&lt;&gt;"",D788,0)-DATE(1970,1,1))*86400),"")</f>
        <v/>
      </c>
    </row>
    <row r="789" customFormat="false" ht="19.5" hidden="false" customHeight="true" outlineLevel="0" collapsed="false">
      <c r="A789" s="12" t="n">
        <f aca="false">ROW()-4</f>
        <v>785</v>
      </c>
      <c r="B789" s="13"/>
      <c r="C789" s="14"/>
      <c r="D789" s="15"/>
      <c r="E789" s="14"/>
      <c r="F789" s="15"/>
      <c r="G789" s="16"/>
      <c r="H789" s="17"/>
      <c r="I789" s="18"/>
      <c r="J789" s="19"/>
      <c r="K789" s="14"/>
      <c r="L789" s="17"/>
      <c r="M789" s="19"/>
      <c r="N789" s="20"/>
      <c r="O789" s="19"/>
      <c r="P789" s="21"/>
      <c r="Q789" s="22" t="str">
        <f aca="false">IF(L789="","",IF(M789&lt;&gt;"",M789*L789*100,IF(AND(O789&lt;&gt;"",B789&lt;&gt;""),IFERROR(AVERAGEIF($B$5:$B$1004,B789,$M$5:$M$1004)*L789*100,""),"")))</f>
        <v/>
      </c>
      <c r="R789" s="22" t="str">
        <f aca="false">IF(AND(O789&lt;&gt;"",L789&lt;&gt;""),O789*L789*100,"")</f>
        <v/>
      </c>
      <c r="S789" s="23" t="str">
        <f aca="false">IF(AND(P789&lt;&gt;"",L789&lt;&gt;""),P789*L789*100,"")</f>
        <v/>
      </c>
      <c r="T789" s="24" t="str">
        <f aca="false">IF(AND(Q789&lt;&gt;"",R789&lt;&gt;""),R789-Q789,"")</f>
        <v/>
      </c>
      <c r="U789" s="25" t="str">
        <f aca="false">IF(AND(Q789&lt;&gt;"",Q789&lt;&gt;0,T789&lt;&gt;""),T789/Q789,"")</f>
        <v/>
      </c>
      <c r="V789" s="26" t="str">
        <f aca="false">IF(AND(S789&lt;&gt;"",Q789&lt;&gt;""),S789-Q789,"")</f>
        <v/>
      </c>
      <c r="W789" s="27" t="str">
        <f aca="false">IF(AND(Q789&lt;&gt;"",Q789&lt;&gt;0,V789&lt;&gt;""),V789/Q789,"")</f>
        <v/>
      </c>
      <c r="X789" s="28" t="s">
        <v>37</v>
      </c>
      <c r="Y789" s="29" t="str">
        <f aca="false">IF(AND(O789&lt;&gt;"",M789&lt;&gt;"",O789&gt;M789),CONCATENATE("1 : ",TEXT((O789-M789)/M789,"0.00")),IF(AND(O789&lt;&gt;"",M789&lt;&gt;"",O789&lt;M789),CONCATENATE("-1 : ",TEXT((M789-O789)/M789,"0.00")),"—"))</f>
        <v>—</v>
      </c>
      <c r="Z789" s="30" t="str">
        <f aca="false">IF(AND(P789&lt;&gt;"",M789&lt;&gt;"",P789&gt;M789),CONCATENATE("1 : ",TEXT((P789-M789)/M789,"0.00")),"—")</f>
        <v>—</v>
      </c>
      <c r="AA789" s="31" t="str">
        <f aca="false">IF(AND(C789&lt;&gt;"",E789&lt;&gt;""),E789-C789,"")</f>
        <v/>
      </c>
      <c r="AB789" s="17"/>
      <c r="AC789" s="32"/>
      <c r="AD789" s="33"/>
      <c r="AE789" s="34" t="str">
        <f aca="false">IF(G789&lt;&gt;"",HYPERLINK("https://www.tradingview.com/chart/?symbol="&amp;G789&amp;"&amp;interval=60&amp;from="&amp;(AG789-10*3600)&amp;"&amp;to="&amp;(AG789+50*3600),"📈 1H"),"")</f>
        <v/>
      </c>
      <c r="AF789" s="35" t="str">
        <f aca="false">IF(G789&lt;&gt;"",HYPERLINK("https://www.tradingview.com/chart/?symbol="&amp;G789&amp;"&amp;interval=240&amp;from="&amp;(AG789-10*14400)&amp;"&amp;to="&amp;(AG789+50*14400),"📈 4H"),"")</f>
        <v/>
      </c>
      <c r="AG789" s="36" t="str">
        <f aca="false">IF(C789&lt;&gt;"",INT((C789+IF(D789&lt;&gt;"",D789,0)-DATE(1970,1,1))*86400),"")</f>
        <v/>
      </c>
    </row>
    <row r="790" customFormat="false" ht="19.5" hidden="false" customHeight="true" outlineLevel="0" collapsed="false">
      <c r="A790" s="37" t="n">
        <f aca="false">ROW()-4</f>
        <v>786</v>
      </c>
      <c r="B790" s="38"/>
      <c r="C790" s="39"/>
      <c r="D790" s="40"/>
      <c r="E790" s="39"/>
      <c r="F790" s="40"/>
      <c r="G790" s="41"/>
      <c r="H790" s="42"/>
      <c r="I790" s="43"/>
      <c r="J790" s="44"/>
      <c r="K790" s="39"/>
      <c r="L790" s="42"/>
      <c r="M790" s="44"/>
      <c r="N790" s="45"/>
      <c r="O790" s="44"/>
      <c r="P790" s="46"/>
      <c r="Q790" s="47" t="str">
        <f aca="false">IF(L790="","",IF(M790&lt;&gt;"",M790*L790*100,IF(AND(O790&lt;&gt;"",B790&lt;&gt;""),IFERROR(AVERAGEIF($B$5:$B$1004,B790,$M$5:$M$1004)*L790*100,""),"")))</f>
        <v/>
      </c>
      <c r="R790" s="47" t="str">
        <f aca="false">IF(AND(O790&lt;&gt;"",L790&lt;&gt;""),O790*L790*100,"")</f>
        <v/>
      </c>
      <c r="S790" s="48" t="str">
        <f aca="false">IF(AND(P790&lt;&gt;"",L790&lt;&gt;""),P790*L790*100,"")</f>
        <v/>
      </c>
      <c r="T790" s="49" t="str">
        <f aca="false">IF(AND(Q790&lt;&gt;"",R790&lt;&gt;""),R790-Q790,"")</f>
        <v/>
      </c>
      <c r="U790" s="50" t="str">
        <f aca="false">IF(AND(Q790&lt;&gt;"",Q790&lt;&gt;0,T790&lt;&gt;""),T790/Q790,"")</f>
        <v/>
      </c>
      <c r="V790" s="51" t="str">
        <f aca="false">IF(AND(S790&lt;&gt;"",Q790&lt;&gt;""),S790-Q790,"")</f>
        <v/>
      </c>
      <c r="W790" s="52" t="str">
        <f aca="false">IF(AND(Q790&lt;&gt;"",Q790&lt;&gt;0,V790&lt;&gt;""),V790/Q790,"")</f>
        <v/>
      </c>
      <c r="X790" s="53" t="s">
        <v>37</v>
      </c>
      <c r="Y790" s="54" t="str">
        <f aca="false">IF(AND(O790&lt;&gt;"",M790&lt;&gt;"",O790&gt;M790),CONCATENATE("1 : ",TEXT((O790-M790)/M790,"0.00")),IF(AND(O790&lt;&gt;"",M790&lt;&gt;"",O790&lt;M790),CONCATENATE("-1 : ",TEXT((M790-O790)/M790,"0.00")),"—"))</f>
        <v>—</v>
      </c>
      <c r="Z790" s="55" t="str">
        <f aca="false">IF(AND(P790&lt;&gt;"",M790&lt;&gt;"",P790&gt;M790),CONCATENATE("1 : ",TEXT((P790-M790)/M790,"0.00")),"—")</f>
        <v>—</v>
      </c>
      <c r="AA790" s="56" t="str">
        <f aca="false">IF(AND(C790&lt;&gt;"",E790&lt;&gt;""),E790-C790,"")</f>
        <v/>
      </c>
      <c r="AB790" s="42"/>
      <c r="AC790" s="57"/>
      <c r="AD790" s="58"/>
      <c r="AE790" s="59" t="str">
        <f aca="false">IF(G790&lt;&gt;"",HYPERLINK("https://www.tradingview.com/chart/?symbol="&amp;G790&amp;"&amp;interval=60&amp;from="&amp;(AG790-10*3600)&amp;"&amp;to="&amp;(AG790+50*3600),"📈 1H"),"")</f>
        <v/>
      </c>
      <c r="AF790" s="60" t="str">
        <f aca="false">IF(G790&lt;&gt;"",HYPERLINK("https://www.tradingview.com/chart/?symbol="&amp;G790&amp;"&amp;interval=240&amp;from="&amp;(AG790-10*14400)&amp;"&amp;to="&amp;(AG790+50*14400),"📈 4H"),"")</f>
        <v/>
      </c>
      <c r="AG790" s="36" t="str">
        <f aca="false">IF(C790&lt;&gt;"",INT((C790+IF(D790&lt;&gt;"",D790,0)-DATE(1970,1,1))*86400),"")</f>
        <v/>
      </c>
    </row>
    <row r="791" customFormat="false" ht="19.5" hidden="false" customHeight="true" outlineLevel="0" collapsed="false">
      <c r="A791" s="12" t="n">
        <f aca="false">ROW()-4</f>
        <v>787</v>
      </c>
      <c r="B791" s="13"/>
      <c r="C791" s="14"/>
      <c r="D791" s="15"/>
      <c r="E791" s="14"/>
      <c r="F791" s="15"/>
      <c r="G791" s="16"/>
      <c r="H791" s="17"/>
      <c r="I791" s="18"/>
      <c r="J791" s="19"/>
      <c r="K791" s="14"/>
      <c r="L791" s="17"/>
      <c r="M791" s="19"/>
      <c r="N791" s="20"/>
      <c r="O791" s="19"/>
      <c r="P791" s="21"/>
      <c r="Q791" s="22" t="str">
        <f aca="false">IF(L791="","",IF(M791&lt;&gt;"",M791*L791*100,IF(AND(O791&lt;&gt;"",B791&lt;&gt;""),IFERROR(AVERAGEIF($B$5:$B$1004,B791,$M$5:$M$1004)*L791*100,""),"")))</f>
        <v/>
      </c>
      <c r="R791" s="22" t="str">
        <f aca="false">IF(AND(O791&lt;&gt;"",L791&lt;&gt;""),O791*L791*100,"")</f>
        <v/>
      </c>
      <c r="S791" s="23" t="str">
        <f aca="false">IF(AND(P791&lt;&gt;"",L791&lt;&gt;""),P791*L791*100,"")</f>
        <v/>
      </c>
      <c r="T791" s="24" t="str">
        <f aca="false">IF(AND(Q791&lt;&gt;"",R791&lt;&gt;""),R791-Q791,"")</f>
        <v/>
      </c>
      <c r="U791" s="25" t="str">
        <f aca="false">IF(AND(Q791&lt;&gt;"",Q791&lt;&gt;0,T791&lt;&gt;""),T791/Q791,"")</f>
        <v/>
      </c>
      <c r="V791" s="26" t="str">
        <f aca="false">IF(AND(S791&lt;&gt;"",Q791&lt;&gt;""),S791-Q791,"")</f>
        <v/>
      </c>
      <c r="W791" s="27" t="str">
        <f aca="false">IF(AND(Q791&lt;&gt;"",Q791&lt;&gt;0,V791&lt;&gt;""),V791/Q791,"")</f>
        <v/>
      </c>
      <c r="X791" s="28" t="s">
        <v>37</v>
      </c>
      <c r="Y791" s="29" t="str">
        <f aca="false">IF(AND(O791&lt;&gt;"",M791&lt;&gt;"",O791&gt;M791),CONCATENATE("1 : ",TEXT((O791-M791)/M791,"0.00")),IF(AND(O791&lt;&gt;"",M791&lt;&gt;"",O791&lt;M791),CONCATENATE("-1 : ",TEXT((M791-O791)/M791,"0.00")),"—"))</f>
        <v>—</v>
      </c>
      <c r="Z791" s="30" t="str">
        <f aca="false">IF(AND(P791&lt;&gt;"",M791&lt;&gt;"",P791&gt;M791),CONCATENATE("1 : ",TEXT((P791-M791)/M791,"0.00")),"—")</f>
        <v>—</v>
      </c>
      <c r="AA791" s="31" t="str">
        <f aca="false">IF(AND(C791&lt;&gt;"",E791&lt;&gt;""),E791-C791,"")</f>
        <v/>
      </c>
      <c r="AB791" s="17"/>
      <c r="AC791" s="32"/>
      <c r="AD791" s="33"/>
      <c r="AE791" s="34" t="str">
        <f aca="false">IF(G791&lt;&gt;"",HYPERLINK("https://www.tradingview.com/chart/?symbol="&amp;G791&amp;"&amp;interval=60&amp;from="&amp;(AG791-10*3600)&amp;"&amp;to="&amp;(AG791+50*3600),"📈 1H"),"")</f>
        <v/>
      </c>
      <c r="AF791" s="35" t="str">
        <f aca="false">IF(G791&lt;&gt;"",HYPERLINK("https://www.tradingview.com/chart/?symbol="&amp;G791&amp;"&amp;interval=240&amp;from="&amp;(AG791-10*14400)&amp;"&amp;to="&amp;(AG791+50*14400),"📈 4H"),"")</f>
        <v/>
      </c>
      <c r="AG791" s="36" t="str">
        <f aca="false">IF(C791&lt;&gt;"",INT((C791+IF(D791&lt;&gt;"",D791,0)-DATE(1970,1,1))*86400),"")</f>
        <v/>
      </c>
    </row>
    <row r="792" customFormat="false" ht="19.5" hidden="false" customHeight="true" outlineLevel="0" collapsed="false">
      <c r="A792" s="37" t="n">
        <f aca="false">ROW()-4</f>
        <v>788</v>
      </c>
      <c r="B792" s="38"/>
      <c r="C792" s="39"/>
      <c r="D792" s="40"/>
      <c r="E792" s="39"/>
      <c r="F792" s="40"/>
      <c r="G792" s="41"/>
      <c r="H792" s="42"/>
      <c r="I792" s="43"/>
      <c r="J792" s="44"/>
      <c r="K792" s="39"/>
      <c r="L792" s="42"/>
      <c r="M792" s="44"/>
      <c r="N792" s="45"/>
      <c r="O792" s="44"/>
      <c r="P792" s="46"/>
      <c r="Q792" s="47" t="str">
        <f aca="false">IF(L792="","",IF(M792&lt;&gt;"",M792*L792*100,IF(AND(O792&lt;&gt;"",B792&lt;&gt;""),IFERROR(AVERAGEIF($B$5:$B$1004,B792,$M$5:$M$1004)*L792*100,""),"")))</f>
        <v/>
      </c>
      <c r="R792" s="47" t="str">
        <f aca="false">IF(AND(O792&lt;&gt;"",L792&lt;&gt;""),O792*L792*100,"")</f>
        <v/>
      </c>
      <c r="S792" s="48" t="str">
        <f aca="false">IF(AND(P792&lt;&gt;"",L792&lt;&gt;""),P792*L792*100,"")</f>
        <v/>
      </c>
      <c r="T792" s="49" t="str">
        <f aca="false">IF(AND(Q792&lt;&gt;"",R792&lt;&gt;""),R792-Q792,"")</f>
        <v/>
      </c>
      <c r="U792" s="50" t="str">
        <f aca="false">IF(AND(Q792&lt;&gt;"",Q792&lt;&gt;0,T792&lt;&gt;""),T792/Q792,"")</f>
        <v/>
      </c>
      <c r="V792" s="51" t="str">
        <f aca="false">IF(AND(S792&lt;&gt;"",Q792&lt;&gt;""),S792-Q792,"")</f>
        <v/>
      </c>
      <c r="W792" s="52" t="str">
        <f aca="false">IF(AND(Q792&lt;&gt;"",Q792&lt;&gt;0,V792&lt;&gt;""),V792/Q792,"")</f>
        <v/>
      </c>
      <c r="X792" s="53" t="s">
        <v>37</v>
      </c>
      <c r="Y792" s="54" t="str">
        <f aca="false">IF(AND(O792&lt;&gt;"",M792&lt;&gt;"",O792&gt;M792),CONCATENATE("1 : ",TEXT((O792-M792)/M792,"0.00")),IF(AND(O792&lt;&gt;"",M792&lt;&gt;"",O792&lt;M792),CONCATENATE("-1 : ",TEXT((M792-O792)/M792,"0.00")),"—"))</f>
        <v>—</v>
      </c>
      <c r="Z792" s="55" t="str">
        <f aca="false">IF(AND(P792&lt;&gt;"",M792&lt;&gt;"",P792&gt;M792),CONCATENATE("1 : ",TEXT((P792-M792)/M792,"0.00")),"—")</f>
        <v>—</v>
      </c>
      <c r="AA792" s="56" t="str">
        <f aca="false">IF(AND(C792&lt;&gt;"",E792&lt;&gt;""),E792-C792,"")</f>
        <v/>
      </c>
      <c r="AB792" s="42"/>
      <c r="AC792" s="57"/>
      <c r="AD792" s="58"/>
      <c r="AE792" s="59" t="str">
        <f aca="false">IF(G792&lt;&gt;"",HYPERLINK("https://www.tradingview.com/chart/?symbol="&amp;G792&amp;"&amp;interval=60&amp;from="&amp;(AG792-10*3600)&amp;"&amp;to="&amp;(AG792+50*3600),"📈 1H"),"")</f>
        <v/>
      </c>
      <c r="AF792" s="60" t="str">
        <f aca="false">IF(G792&lt;&gt;"",HYPERLINK("https://www.tradingview.com/chart/?symbol="&amp;G792&amp;"&amp;interval=240&amp;from="&amp;(AG792-10*14400)&amp;"&amp;to="&amp;(AG792+50*14400),"📈 4H"),"")</f>
        <v/>
      </c>
      <c r="AG792" s="36" t="str">
        <f aca="false">IF(C792&lt;&gt;"",INT((C792+IF(D792&lt;&gt;"",D792,0)-DATE(1970,1,1))*86400),"")</f>
        <v/>
      </c>
    </row>
    <row r="793" customFormat="false" ht="19.5" hidden="false" customHeight="true" outlineLevel="0" collapsed="false">
      <c r="A793" s="12" t="n">
        <f aca="false">ROW()-4</f>
        <v>789</v>
      </c>
      <c r="B793" s="13"/>
      <c r="C793" s="14"/>
      <c r="D793" s="15"/>
      <c r="E793" s="14"/>
      <c r="F793" s="15"/>
      <c r="G793" s="16"/>
      <c r="H793" s="17"/>
      <c r="I793" s="18"/>
      <c r="J793" s="19"/>
      <c r="K793" s="14"/>
      <c r="L793" s="17"/>
      <c r="M793" s="19"/>
      <c r="N793" s="20"/>
      <c r="O793" s="19"/>
      <c r="P793" s="21"/>
      <c r="Q793" s="22" t="str">
        <f aca="false">IF(L793="","",IF(M793&lt;&gt;"",M793*L793*100,IF(AND(O793&lt;&gt;"",B793&lt;&gt;""),IFERROR(AVERAGEIF($B$5:$B$1004,B793,$M$5:$M$1004)*L793*100,""),"")))</f>
        <v/>
      </c>
      <c r="R793" s="22" t="str">
        <f aca="false">IF(AND(O793&lt;&gt;"",L793&lt;&gt;""),O793*L793*100,"")</f>
        <v/>
      </c>
      <c r="S793" s="23" t="str">
        <f aca="false">IF(AND(P793&lt;&gt;"",L793&lt;&gt;""),P793*L793*100,"")</f>
        <v/>
      </c>
      <c r="T793" s="24" t="str">
        <f aca="false">IF(AND(Q793&lt;&gt;"",R793&lt;&gt;""),R793-Q793,"")</f>
        <v/>
      </c>
      <c r="U793" s="25" t="str">
        <f aca="false">IF(AND(Q793&lt;&gt;"",Q793&lt;&gt;0,T793&lt;&gt;""),T793/Q793,"")</f>
        <v/>
      </c>
      <c r="V793" s="26" t="str">
        <f aca="false">IF(AND(S793&lt;&gt;"",Q793&lt;&gt;""),S793-Q793,"")</f>
        <v/>
      </c>
      <c r="W793" s="27" t="str">
        <f aca="false">IF(AND(Q793&lt;&gt;"",Q793&lt;&gt;0,V793&lt;&gt;""),V793/Q793,"")</f>
        <v/>
      </c>
      <c r="X793" s="28" t="s">
        <v>37</v>
      </c>
      <c r="Y793" s="29" t="str">
        <f aca="false">IF(AND(O793&lt;&gt;"",M793&lt;&gt;"",O793&gt;M793),CONCATENATE("1 : ",TEXT((O793-M793)/M793,"0.00")),IF(AND(O793&lt;&gt;"",M793&lt;&gt;"",O793&lt;M793),CONCATENATE("-1 : ",TEXT((M793-O793)/M793,"0.00")),"—"))</f>
        <v>—</v>
      </c>
      <c r="Z793" s="30" t="str">
        <f aca="false">IF(AND(P793&lt;&gt;"",M793&lt;&gt;"",P793&gt;M793),CONCATENATE("1 : ",TEXT((P793-M793)/M793,"0.00")),"—")</f>
        <v>—</v>
      </c>
      <c r="AA793" s="31" t="str">
        <f aca="false">IF(AND(C793&lt;&gt;"",E793&lt;&gt;""),E793-C793,"")</f>
        <v/>
      </c>
      <c r="AB793" s="17"/>
      <c r="AC793" s="32"/>
      <c r="AD793" s="33"/>
      <c r="AE793" s="34" t="str">
        <f aca="false">IF(G793&lt;&gt;"",HYPERLINK("https://www.tradingview.com/chart/?symbol="&amp;G793&amp;"&amp;interval=60&amp;from="&amp;(AG793-10*3600)&amp;"&amp;to="&amp;(AG793+50*3600),"📈 1H"),"")</f>
        <v/>
      </c>
      <c r="AF793" s="35" t="str">
        <f aca="false">IF(G793&lt;&gt;"",HYPERLINK("https://www.tradingview.com/chart/?symbol="&amp;G793&amp;"&amp;interval=240&amp;from="&amp;(AG793-10*14400)&amp;"&amp;to="&amp;(AG793+50*14400),"📈 4H"),"")</f>
        <v/>
      </c>
      <c r="AG793" s="36" t="str">
        <f aca="false">IF(C793&lt;&gt;"",INT((C793+IF(D793&lt;&gt;"",D793,0)-DATE(1970,1,1))*86400),"")</f>
        <v/>
      </c>
    </row>
    <row r="794" customFormat="false" ht="19.5" hidden="false" customHeight="true" outlineLevel="0" collapsed="false">
      <c r="A794" s="37" t="n">
        <f aca="false">ROW()-4</f>
        <v>790</v>
      </c>
      <c r="B794" s="38"/>
      <c r="C794" s="39"/>
      <c r="D794" s="40"/>
      <c r="E794" s="39"/>
      <c r="F794" s="40"/>
      <c r="G794" s="41"/>
      <c r="H794" s="42"/>
      <c r="I794" s="43"/>
      <c r="J794" s="44"/>
      <c r="K794" s="39"/>
      <c r="L794" s="42"/>
      <c r="M794" s="44"/>
      <c r="N794" s="45"/>
      <c r="O794" s="44"/>
      <c r="P794" s="46"/>
      <c r="Q794" s="47" t="str">
        <f aca="false">IF(L794="","",IF(M794&lt;&gt;"",M794*L794*100,IF(AND(O794&lt;&gt;"",B794&lt;&gt;""),IFERROR(AVERAGEIF($B$5:$B$1004,B794,$M$5:$M$1004)*L794*100,""),"")))</f>
        <v/>
      </c>
      <c r="R794" s="47" t="str">
        <f aca="false">IF(AND(O794&lt;&gt;"",L794&lt;&gt;""),O794*L794*100,"")</f>
        <v/>
      </c>
      <c r="S794" s="48" t="str">
        <f aca="false">IF(AND(P794&lt;&gt;"",L794&lt;&gt;""),P794*L794*100,"")</f>
        <v/>
      </c>
      <c r="T794" s="49" t="str">
        <f aca="false">IF(AND(Q794&lt;&gt;"",R794&lt;&gt;""),R794-Q794,"")</f>
        <v/>
      </c>
      <c r="U794" s="50" t="str">
        <f aca="false">IF(AND(Q794&lt;&gt;"",Q794&lt;&gt;0,T794&lt;&gt;""),T794/Q794,"")</f>
        <v/>
      </c>
      <c r="V794" s="51" t="str">
        <f aca="false">IF(AND(S794&lt;&gt;"",Q794&lt;&gt;""),S794-Q794,"")</f>
        <v/>
      </c>
      <c r="W794" s="52" t="str">
        <f aca="false">IF(AND(Q794&lt;&gt;"",Q794&lt;&gt;0,V794&lt;&gt;""),V794/Q794,"")</f>
        <v/>
      </c>
      <c r="X794" s="53" t="s">
        <v>37</v>
      </c>
      <c r="Y794" s="54" t="str">
        <f aca="false">IF(AND(O794&lt;&gt;"",M794&lt;&gt;"",O794&gt;M794),CONCATENATE("1 : ",TEXT((O794-M794)/M794,"0.00")),IF(AND(O794&lt;&gt;"",M794&lt;&gt;"",O794&lt;M794),CONCATENATE("-1 : ",TEXT((M794-O794)/M794,"0.00")),"—"))</f>
        <v>—</v>
      </c>
      <c r="Z794" s="55" t="str">
        <f aca="false">IF(AND(P794&lt;&gt;"",M794&lt;&gt;"",P794&gt;M794),CONCATENATE("1 : ",TEXT((P794-M794)/M794,"0.00")),"—")</f>
        <v>—</v>
      </c>
      <c r="AA794" s="56" t="str">
        <f aca="false">IF(AND(C794&lt;&gt;"",E794&lt;&gt;""),E794-C794,"")</f>
        <v/>
      </c>
      <c r="AB794" s="42"/>
      <c r="AC794" s="57"/>
      <c r="AD794" s="58"/>
      <c r="AE794" s="59" t="str">
        <f aca="false">IF(G794&lt;&gt;"",HYPERLINK("https://www.tradingview.com/chart/?symbol="&amp;G794&amp;"&amp;interval=60&amp;from="&amp;(AG794-10*3600)&amp;"&amp;to="&amp;(AG794+50*3600),"📈 1H"),"")</f>
        <v/>
      </c>
      <c r="AF794" s="60" t="str">
        <f aca="false">IF(G794&lt;&gt;"",HYPERLINK("https://www.tradingview.com/chart/?symbol="&amp;G794&amp;"&amp;interval=240&amp;from="&amp;(AG794-10*14400)&amp;"&amp;to="&amp;(AG794+50*14400),"📈 4H"),"")</f>
        <v/>
      </c>
      <c r="AG794" s="36" t="str">
        <f aca="false">IF(C794&lt;&gt;"",INT((C794+IF(D794&lt;&gt;"",D794,0)-DATE(1970,1,1))*86400),"")</f>
        <v/>
      </c>
    </row>
    <row r="795" customFormat="false" ht="19.5" hidden="false" customHeight="true" outlineLevel="0" collapsed="false">
      <c r="A795" s="12" t="n">
        <f aca="false">ROW()-4</f>
        <v>791</v>
      </c>
      <c r="B795" s="13"/>
      <c r="C795" s="14"/>
      <c r="D795" s="15"/>
      <c r="E795" s="14"/>
      <c r="F795" s="15"/>
      <c r="G795" s="16"/>
      <c r="H795" s="17"/>
      <c r="I795" s="18"/>
      <c r="J795" s="19"/>
      <c r="K795" s="14"/>
      <c r="L795" s="17"/>
      <c r="M795" s="19"/>
      <c r="N795" s="20"/>
      <c r="O795" s="19"/>
      <c r="P795" s="21"/>
      <c r="Q795" s="22" t="str">
        <f aca="false">IF(L795="","",IF(M795&lt;&gt;"",M795*L795*100,IF(AND(O795&lt;&gt;"",B795&lt;&gt;""),IFERROR(AVERAGEIF($B$5:$B$1004,B795,$M$5:$M$1004)*L795*100,""),"")))</f>
        <v/>
      </c>
      <c r="R795" s="22" t="str">
        <f aca="false">IF(AND(O795&lt;&gt;"",L795&lt;&gt;""),O795*L795*100,"")</f>
        <v/>
      </c>
      <c r="S795" s="23" t="str">
        <f aca="false">IF(AND(P795&lt;&gt;"",L795&lt;&gt;""),P795*L795*100,"")</f>
        <v/>
      </c>
      <c r="T795" s="24" t="str">
        <f aca="false">IF(AND(Q795&lt;&gt;"",R795&lt;&gt;""),R795-Q795,"")</f>
        <v/>
      </c>
      <c r="U795" s="25" t="str">
        <f aca="false">IF(AND(Q795&lt;&gt;"",Q795&lt;&gt;0,T795&lt;&gt;""),T795/Q795,"")</f>
        <v/>
      </c>
      <c r="V795" s="26" t="str">
        <f aca="false">IF(AND(S795&lt;&gt;"",Q795&lt;&gt;""),S795-Q795,"")</f>
        <v/>
      </c>
      <c r="W795" s="27" t="str">
        <f aca="false">IF(AND(Q795&lt;&gt;"",Q795&lt;&gt;0,V795&lt;&gt;""),V795/Q795,"")</f>
        <v/>
      </c>
      <c r="X795" s="28" t="s">
        <v>37</v>
      </c>
      <c r="Y795" s="29" t="str">
        <f aca="false">IF(AND(O795&lt;&gt;"",M795&lt;&gt;"",O795&gt;M795),CONCATENATE("1 : ",TEXT((O795-M795)/M795,"0.00")),IF(AND(O795&lt;&gt;"",M795&lt;&gt;"",O795&lt;M795),CONCATENATE("-1 : ",TEXT((M795-O795)/M795,"0.00")),"—"))</f>
        <v>—</v>
      </c>
      <c r="Z795" s="30" t="str">
        <f aca="false">IF(AND(P795&lt;&gt;"",M795&lt;&gt;"",P795&gt;M795),CONCATENATE("1 : ",TEXT((P795-M795)/M795,"0.00")),"—")</f>
        <v>—</v>
      </c>
      <c r="AA795" s="31" t="str">
        <f aca="false">IF(AND(C795&lt;&gt;"",E795&lt;&gt;""),E795-C795,"")</f>
        <v/>
      </c>
      <c r="AB795" s="17"/>
      <c r="AC795" s="32"/>
      <c r="AD795" s="33"/>
      <c r="AE795" s="34" t="str">
        <f aca="false">IF(G795&lt;&gt;"",HYPERLINK("https://www.tradingview.com/chart/?symbol="&amp;G795&amp;"&amp;interval=60&amp;from="&amp;(AG795-10*3600)&amp;"&amp;to="&amp;(AG795+50*3600),"📈 1H"),"")</f>
        <v/>
      </c>
      <c r="AF795" s="35" t="str">
        <f aca="false">IF(G795&lt;&gt;"",HYPERLINK("https://www.tradingview.com/chart/?symbol="&amp;G795&amp;"&amp;interval=240&amp;from="&amp;(AG795-10*14400)&amp;"&amp;to="&amp;(AG795+50*14400),"📈 4H"),"")</f>
        <v/>
      </c>
      <c r="AG795" s="36" t="str">
        <f aca="false">IF(C795&lt;&gt;"",INT((C795+IF(D795&lt;&gt;"",D795,0)-DATE(1970,1,1))*86400),"")</f>
        <v/>
      </c>
    </row>
    <row r="796" customFormat="false" ht="19.5" hidden="false" customHeight="true" outlineLevel="0" collapsed="false">
      <c r="A796" s="37" t="n">
        <f aca="false">ROW()-4</f>
        <v>792</v>
      </c>
      <c r="B796" s="38"/>
      <c r="C796" s="39"/>
      <c r="D796" s="40"/>
      <c r="E796" s="39"/>
      <c r="F796" s="40"/>
      <c r="G796" s="41"/>
      <c r="H796" s="42"/>
      <c r="I796" s="43"/>
      <c r="J796" s="44"/>
      <c r="K796" s="39"/>
      <c r="L796" s="42"/>
      <c r="M796" s="44"/>
      <c r="N796" s="45"/>
      <c r="O796" s="44"/>
      <c r="P796" s="46"/>
      <c r="Q796" s="47" t="str">
        <f aca="false">IF(L796="","",IF(M796&lt;&gt;"",M796*L796*100,IF(AND(O796&lt;&gt;"",B796&lt;&gt;""),IFERROR(AVERAGEIF($B$5:$B$1004,B796,$M$5:$M$1004)*L796*100,""),"")))</f>
        <v/>
      </c>
      <c r="R796" s="47" t="str">
        <f aca="false">IF(AND(O796&lt;&gt;"",L796&lt;&gt;""),O796*L796*100,"")</f>
        <v/>
      </c>
      <c r="S796" s="48" t="str">
        <f aca="false">IF(AND(P796&lt;&gt;"",L796&lt;&gt;""),P796*L796*100,"")</f>
        <v/>
      </c>
      <c r="T796" s="49" t="str">
        <f aca="false">IF(AND(Q796&lt;&gt;"",R796&lt;&gt;""),R796-Q796,"")</f>
        <v/>
      </c>
      <c r="U796" s="50" t="str">
        <f aca="false">IF(AND(Q796&lt;&gt;"",Q796&lt;&gt;0,T796&lt;&gt;""),T796/Q796,"")</f>
        <v/>
      </c>
      <c r="V796" s="51" t="str">
        <f aca="false">IF(AND(S796&lt;&gt;"",Q796&lt;&gt;""),S796-Q796,"")</f>
        <v/>
      </c>
      <c r="W796" s="52" t="str">
        <f aca="false">IF(AND(Q796&lt;&gt;"",Q796&lt;&gt;0,V796&lt;&gt;""),V796/Q796,"")</f>
        <v/>
      </c>
      <c r="X796" s="53" t="s">
        <v>37</v>
      </c>
      <c r="Y796" s="54" t="str">
        <f aca="false">IF(AND(O796&lt;&gt;"",M796&lt;&gt;"",O796&gt;M796),CONCATENATE("1 : ",TEXT((O796-M796)/M796,"0.00")),IF(AND(O796&lt;&gt;"",M796&lt;&gt;"",O796&lt;M796),CONCATENATE("-1 : ",TEXT((M796-O796)/M796,"0.00")),"—"))</f>
        <v>—</v>
      </c>
      <c r="Z796" s="55" t="str">
        <f aca="false">IF(AND(P796&lt;&gt;"",M796&lt;&gt;"",P796&gt;M796),CONCATENATE("1 : ",TEXT((P796-M796)/M796,"0.00")),"—")</f>
        <v>—</v>
      </c>
      <c r="AA796" s="56" t="str">
        <f aca="false">IF(AND(C796&lt;&gt;"",E796&lt;&gt;""),E796-C796,"")</f>
        <v/>
      </c>
      <c r="AB796" s="42"/>
      <c r="AC796" s="57"/>
      <c r="AD796" s="58"/>
      <c r="AE796" s="59" t="str">
        <f aca="false">IF(G796&lt;&gt;"",HYPERLINK("https://www.tradingview.com/chart/?symbol="&amp;G796&amp;"&amp;interval=60&amp;from="&amp;(AG796-10*3600)&amp;"&amp;to="&amp;(AG796+50*3600),"📈 1H"),"")</f>
        <v/>
      </c>
      <c r="AF796" s="60" t="str">
        <f aca="false">IF(G796&lt;&gt;"",HYPERLINK("https://www.tradingview.com/chart/?symbol="&amp;G796&amp;"&amp;interval=240&amp;from="&amp;(AG796-10*14400)&amp;"&amp;to="&amp;(AG796+50*14400),"📈 4H"),"")</f>
        <v/>
      </c>
      <c r="AG796" s="36" t="str">
        <f aca="false">IF(C796&lt;&gt;"",INT((C796+IF(D796&lt;&gt;"",D796,0)-DATE(1970,1,1))*86400),"")</f>
        <v/>
      </c>
    </row>
    <row r="797" customFormat="false" ht="19.5" hidden="false" customHeight="true" outlineLevel="0" collapsed="false">
      <c r="A797" s="12" t="n">
        <f aca="false">ROW()-4</f>
        <v>793</v>
      </c>
      <c r="B797" s="13"/>
      <c r="C797" s="14"/>
      <c r="D797" s="15"/>
      <c r="E797" s="14"/>
      <c r="F797" s="15"/>
      <c r="G797" s="16"/>
      <c r="H797" s="17"/>
      <c r="I797" s="18"/>
      <c r="J797" s="19"/>
      <c r="K797" s="14"/>
      <c r="L797" s="17"/>
      <c r="M797" s="19"/>
      <c r="N797" s="20"/>
      <c r="O797" s="19"/>
      <c r="P797" s="21"/>
      <c r="Q797" s="22" t="str">
        <f aca="false">IF(L797="","",IF(M797&lt;&gt;"",M797*L797*100,IF(AND(O797&lt;&gt;"",B797&lt;&gt;""),IFERROR(AVERAGEIF($B$5:$B$1004,B797,$M$5:$M$1004)*L797*100,""),"")))</f>
        <v/>
      </c>
      <c r="R797" s="22" t="str">
        <f aca="false">IF(AND(O797&lt;&gt;"",L797&lt;&gt;""),O797*L797*100,"")</f>
        <v/>
      </c>
      <c r="S797" s="23" t="str">
        <f aca="false">IF(AND(P797&lt;&gt;"",L797&lt;&gt;""),P797*L797*100,"")</f>
        <v/>
      </c>
      <c r="T797" s="24" t="str">
        <f aca="false">IF(AND(Q797&lt;&gt;"",R797&lt;&gt;""),R797-Q797,"")</f>
        <v/>
      </c>
      <c r="U797" s="25" t="str">
        <f aca="false">IF(AND(Q797&lt;&gt;"",Q797&lt;&gt;0,T797&lt;&gt;""),T797/Q797,"")</f>
        <v/>
      </c>
      <c r="V797" s="26" t="str">
        <f aca="false">IF(AND(S797&lt;&gt;"",Q797&lt;&gt;""),S797-Q797,"")</f>
        <v/>
      </c>
      <c r="W797" s="27" t="str">
        <f aca="false">IF(AND(Q797&lt;&gt;"",Q797&lt;&gt;0,V797&lt;&gt;""),V797/Q797,"")</f>
        <v/>
      </c>
      <c r="X797" s="28" t="s">
        <v>37</v>
      </c>
      <c r="Y797" s="29" t="str">
        <f aca="false">IF(AND(O797&lt;&gt;"",M797&lt;&gt;"",O797&gt;M797),CONCATENATE("1 : ",TEXT((O797-M797)/M797,"0.00")),IF(AND(O797&lt;&gt;"",M797&lt;&gt;"",O797&lt;M797),CONCATENATE("-1 : ",TEXT((M797-O797)/M797,"0.00")),"—"))</f>
        <v>—</v>
      </c>
      <c r="Z797" s="30" t="str">
        <f aca="false">IF(AND(P797&lt;&gt;"",M797&lt;&gt;"",P797&gt;M797),CONCATENATE("1 : ",TEXT((P797-M797)/M797,"0.00")),"—")</f>
        <v>—</v>
      </c>
      <c r="AA797" s="31" t="str">
        <f aca="false">IF(AND(C797&lt;&gt;"",E797&lt;&gt;""),E797-C797,"")</f>
        <v/>
      </c>
      <c r="AB797" s="17"/>
      <c r="AC797" s="32"/>
      <c r="AD797" s="33"/>
      <c r="AE797" s="34" t="str">
        <f aca="false">IF(G797&lt;&gt;"",HYPERLINK("https://www.tradingview.com/chart/?symbol="&amp;G797&amp;"&amp;interval=60&amp;from="&amp;(AG797-10*3600)&amp;"&amp;to="&amp;(AG797+50*3600),"📈 1H"),"")</f>
        <v/>
      </c>
      <c r="AF797" s="35" t="str">
        <f aca="false">IF(G797&lt;&gt;"",HYPERLINK("https://www.tradingview.com/chart/?symbol="&amp;G797&amp;"&amp;interval=240&amp;from="&amp;(AG797-10*14400)&amp;"&amp;to="&amp;(AG797+50*14400),"📈 4H"),"")</f>
        <v/>
      </c>
      <c r="AG797" s="36" t="str">
        <f aca="false">IF(C797&lt;&gt;"",INT((C797+IF(D797&lt;&gt;"",D797,0)-DATE(1970,1,1))*86400),"")</f>
        <v/>
      </c>
    </row>
    <row r="798" customFormat="false" ht="19.5" hidden="false" customHeight="true" outlineLevel="0" collapsed="false">
      <c r="A798" s="37" t="n">
        <f aca="false">ROW()-4</f>
        <v>794</v>
      </c>
      <c r="B798" s="38"/>
      <c r="C798" s="39"/>
      <c r="D798" s="40"/>
      <c r="E798" s="39"/>
      <c r="F798" s="40"/>
      <c r="G798" s="41"/>
      <c r="H798" s="42"/>
      <c r="I798" s="43"/>
      <c r="J798" s="44"/>
      <c r="K798" s="39"/>
      <c r="L798" s="42"/>
      <c r="M798" s="44"/>
      <c r="N798" s="45"/>
      <c r="O798" s="44"/>
      <c r="P798" s="46"/>
      <c r="Q798" s="47" t="str">
        <f aca="false">IF(L798="","",IF(M798&lt;&gt;"",M798*L798*100,IF(AND(O798&lt;&gt;"",B798&lt;&gt;""),IFERROR(AVERAGEIF($B$5:$B$1004,B798,$M$5:$M$1004)*L798*100,""),"")))</f>
        <v/>
      </c>
      <c r="R798" s="47" t="str">
        <f aca="false">IF(AND(O798&lt;&gt;"",L798&lt;&gt;""),O798*L798*100,"")</f>
        <v/>
      </c>
      <c r="S798" s="48" t="str">
        <f aca="false">IF(AND(P798&lt;&gt;"",L798&lt;&gt;""),P798*L798*100,"")</f>
        <v/>
      </c>
      <c r="T798" s="49" t="str">
        <f aca="false">IF(AND(Q798&lt;&gt;"",R798&lt;&gt;""),R798-Q798,"")</f>
        <v/>
      </c>
      <c r="U798" s="50" t="str">
        <f aca="false">IF(AND(Q798&lt;&gt;"",Q798&lt;&gt;0,T798&lt;&gt;""),T798/Q798,"")</f>
        <v/>
      </c>
      <c r="V798" s="51" t="str">
        <f aca="false">IF(AND(S798&lt;&gt;"",Q798&lt;&gt;""),S798-Q798,"")</f>
        <v/>
      </c>
      <c r="W798" s="52" t="str">
        <f aca="false">IF(AND(Q798&lt;&gt;"",Q798&lt;&gt;0,V798&lt;&gt;""),V798/Q798,"")</f>
        <v/>
      </c>
      <c r="X798" s="53" t="s">
        <v>37</v>
      </c>
      <c r="Y798" s="54" t="str">
        <f aca="false">IF(AND(O798&lt;&gt;"",M798&lt;&gt;"",O798&gt;M798),CONCATENATE("1 : ",TEXT((O798-M798)/M798,"0.00")),IF(AND(O798&lt;&gt;"",M798&lt;&gt;"",O798&lt;M798),CONCATENATE("-1 : ",TEXT((M798-O798)/M798,"0.00")),"—"))</f>
        <v>—</v>
      </c>
      <c r="Z798" s="55" t="str">
        <f aca="false">IF(AND(P798&lt;&gt;"",M798&lt;&gt;"",P798&gt;M798),CONCATENATE("1 : ",TEXT((P798-M798)/M798,"0.00")),"—")</f>
        <v>—</v>
      </c>
      <c r="AA798" s="56" t="str">
        <f aca="false">IF(AND(C798&lt;&gt;"",E798&lt;&gt;""),E798-C798,"")</f>
        <v/>
      </c>
      <c r="AB798" s="42"/>
      <c r="AC798" s="57"/>
      <c r="AD798" s="58"/>
      <c r="AE798" s="59" t="str">
        <f aca="false">IF(G798&lt;&gt;"",HYPERLINK("https://www.tradingview.com/chart/?symbol="&amp;G798&amp;"&amp;interval=60&amp;from="&amp;(AG798-10*3600)&amp;"&amp;to="&amp;(AG798+50*3600),"📈 1H"),"")</f>
        <v/>
      </c>
      <c r="AF798" s="60" t="str">
        <f aca="false">IF(G798&lt;&gt;"",HYPERLINK("https://www.tradingview.com/chart/?symbol="&amp;G798&amp;"&amp;interval=240&amp;from="&amp;(AG798-10*14400)&amp;"&amp;to="&amp;(AG798+50*14400),"📈 4H"),"")</f>
        <v/>
      </c>
      <c r="AG798" s="36" t="str">
        <f aca="false">IF(C798&lt;&gt;"",INT((C798+IF(D798&lt;&gt;"",D798,0)-DATE(1970,1,1))*86400),"")</f>
        <v/>
      </c>
    </row>
    <row r="799" customFormat="false" ht="19.5" hidden="false" customHeight="true" outlineLevel="0" collapsed="false">
      <c r="A799" s="12" t="n">
        <f aca="false">ROW()-4</f>
        <v>795</v>
      </c>
      <c r="B799" s="13"/>
      <c r="C799" s="14"/>
      <c r="D799" s="15"/>
      <c r="E799" s="14"/>
      <c r="F799" s="15"/>
      <c r="G799" s="16"/>
      <c r="H799" s="17"/>
      <c r="I799" s="18"/>
      <c r="J799" s="19"/>
      <c r="K799" s="14"/>
      <c r="L799" s="17"/>
      <c r="M799" s="19"/>
      <c r="N799" s="20"/>
      <c r="O799" s="19"/>
      <c r="P799" s="21"/>
      <c r="Q799" s="22" t="str">
        <f aca="false">IF(L799="","",IF(M799&lt;&gt;"",M799*L799*100,IF(AND(O799&lt;&gt;"",B799&lt;&gt;""),IFERROR(AVERAGEIF($B$5:$B$1004,B799,$M$5:$M$1004)*L799*100,""),"")))</f>
        <v/>
      </c>
      <c r="R799" s="22" t="str">
        <f aca="false">IF(AND(O799&lt;&gt;"",L799&lt;&gt;""),O799*L799*100,"")</f>
        <v/>
      </c>
      <c r="S799" s="23" t="str">
        <f aca="false">IF(AND(P799&lt;&gt;"",L799&lt;&gt;""),P799*L799*100,"")</f>
        <v/>
      </c>
      <c r="T799" s="24" t="str">
        <f aca="false">IF(AND(Q799&lt;&gt;"",R799&lt;&gt;""),R799-Q799,"")</f>
        <v/>
      </c>
      <c r="U799" s="25" t="str">
        <f aca="false">IF(AND(Q799&lt;&gt;"",Q799&lt;&gt;0,T799&lt;&gt;""),T799/Q799,"")</f>
        <v/>
      </c>
      <c r="V799" s="26" t="str">
        <f aca="false">IF(AND(S799&lt;&gt;"",Q799&lt;&gt;""),S799-Q799,"")</f>
        <v/>
      </c>
      <c r="W799" s="27" t="str">
        <f aca="false">IF(AND(Q799&lt;&gt;"",Q799&lt;&gt;0,V799&lt;&gt;""),V799/Q799,"")</f>
        <v/>
      </c>
      <c r="X799" s="28" t="s">
        <v>37</v>
      </c>
      <c r="Y799" s="29" t="str">
        <f aca="false">IF(AND(O799&lt;&gt;"",M799&lt;&gt;"",O799&gt;M799),CONCATENATE("1 : ",TEXT((O799-M799)/M799,"0.00")),IF(AND(O799&lt;&gt;"",M799&lt;&gt;"",O799&lt;M799),CONCATENATE("-1 : ",TEXT((M799-O799)/M799,"0.00")),"—"))</f>
        <v>—</v>
      </c>
      <c r="Z799" s="30" t="str">
        <f aca="false">IF(AND(P799&lt;&gt;"",M799&lt;&gt;"",P799&gt;M799),CONCATENATE("1 : ",TEXT((P799-M799)/M799,"0.00")),"—")</f>
        <v>—</v>
      </c>
      <c r="AA799" s="31" t="str">
        <f aca="false">IF(AND(C799&lt;&gt;"",E799&lt;&gt;""),E799-C799,"")</f>
        <v/>
      </c>
      <c r="AB799" s="17"/>
      <c r="AC799" s="32"/>
      <c r="AD799" s="33"/>
      <c r="AE799" s="34" t="str">
        <f aca="false">IF(G799&lt;&gt;"",HYPERLINK("https://www.tradingview.com/chart/?symbol="&amp;G799&amp;"&amp;interval=60&amp;from="&amp;(AG799-10*3600)&amp;"&amp;to="&amp;(AG799+50*3600),"📈 1H"),"")</f>
        <v/>
      </c>
      <c r="AF799" s="35" t="str">
        <f aca="false">IF(G799&lt;&gt;"",HYPERLINK("https://www.tradingview.com/chart/?symbol="&amp;G799&amp;"&amp;interval=240&amp;from="&amp;(AG799-10*14400)&amp;"&amp;to="&amp;(AG799+50*14400),"📈 4H"),"")</f>
        <v/>
      </c>
      <c r="AG799" s="36" t="str">
        <f aca="false">IF(C799&lt;&gt;"",INT((C799+IF(D799&lt;&gt;"",D799,0)-DATE(1970,1,1))*86400),"")</f>
        <v/>
      </c>
    </row>
    <row r="800" customFormat="false" ht="19.5" hidden="false" customHeight="true" outlineLevel="0" collapsed="false">
      <c r="A800" s="37" t="n">
        <f aca="false">ROW()-4</f>
        <v>796</v>
      </c>
      <c r="B800" s="38"/>
      <c r="C800" s="39"/>
      <c r="D800" s="40"/>
      <c r="E800" s="39"/>
      <c r="F800" s="40"/>
      <c r="G800" s="41"/>
      <c r="H800" s="42"/>
      <c r="I800" s="43"/>
      <c r="J800" s="44"/>
      <c r="K800" s="39"/>
      <c r="L800" s="42"/>
      <c r="M800" s="44"/>
      <c r="N800" s="45"/>
      <c r="O800" s="44"/>
      <c r="P800" s="46"/>
      <c r="Q800" s="47" t="str">
        <f aca="false">IF(L800="","",IF(M800&lt;&gt;"",M800*L800*100,IF(AND(O800&lt;&gt;"",B800&lt;&gt;""),IFERROR(AVERAGEIF($B$5:$B$1004,B800,$M$5:$M$1004)*L800*100,""),"")))</f>
        <v/>
      </c>
      <c r="R800" s="47" t="str">
        <f aca="false">IF(AND(O800&lt;&gt;"",L800&lt;&gt;""),O800*L800*100,"")</f>
        <v/>
      </c>
      <c r="S800" s="48" t="str">
        <f aca="false">IF(AND(P800&lt;&gt;"",L800&lt;&gt;""),P800*L800*100,"")</f>
        <v/>
      </c>
      <c r="T800" s="49" t="str">
        <f aca="false">IF(AND(Q800&lt;&gt;"",R800&lt;&gt;""),R800-Q800,"")</f>
        <v/>
      </c>
      <c r="U800" s="50" t="str">
        <f aca="false">IF(AND(Q800&lt;&gt;"",Q800&lt;&gt;0,T800&lt;&gt;""),T800/Q800,"")</f>
        <v/>
      </c>
      <c r="V800" s="51" t="str">
        <f aca="false">IF(AND(S800&lt;&gt;"",Q800&lt;&gt;""),S800-Q800,"")</f>
        <v/>
      </c>
      <c r="W800" s="52" t="str">
        <f aca="false">IF(AND(Q800&lt;&gt;"",Q800&lt;&gt;0,V800&lt;&gt;""),V800/Q800,"")</f>
        <v/>
      </c>
      <c r="X800" s="53" t="s">
        <v>37</v>
      </c>
      <c r="Y800" s="54" t="str">
        <f aca="false">IF(AND(O800&lt;&gt;"",M800&lt;&gt;"",O800&gt;M800),CONCATENATE("1 : ",TEXT((O800-M800)/M800,"0.00")),IF(AND(O800&lt;&gt;"",M800&lt;&gt;"",O800&lt;M800),CONCATENATE("-1 : ",TEXT((M800-O800)/M800,"0.00")),"—"))</f>
        <v>—</v>
      </c>
      <c r="Z800" s="55" t="str">
        <f aca="false">IF(AND(P800&lt;&gt;"",M800&lt;&gt;"",P800&gt;M800),CONCATENATE("1 : ",TEXT((P800-M800)/M800,"0.00")),"—")</f>
        <v>—</v>
      </c>
      <c r="AA800" s="56" t="str">
        <f aca="false">IF(AND(C800&lt;&gt;"",E800&lt;&gt;""),E800-C800,"")</f>
        <v/>
      </c>
      <c r="AB800" s="42"/>
      <c r="AC800" s="57"/>
      <c r="AD800" s="58"/>
      <c r="AE800" s="59" t="str">
        <f aca="false">IF(G800&lt;&gt;"",HYPERLINK("https://www.tradingview.com/chart/?symbol="&amp;G800&amp;"&amp;interval=60&amp;from="&amp;(AG800-10*3600)&amp;"&amp;to="&amp;(AG800+50*3600),"📈 1H"),"")</f>
        <v/>
      </c>
      <c r="AF800" s="60" t="str">
        <f aca="false">IF(G800&lt;&gt;"",HYPERLINK("https://www.tradingview.com/chart/?symbol="&amp;G800&amp;"&amp;interval=240&amp;from="&amp;(AG800-10*14400)&amp;"&amp;to="&amp;(AG800+50*14400),"📈 4H"),"")</f>
        <v/>
      </c>
      <c r="AG800" s="36" t="str">
        <f aca="false">IF(C800&lt;&gt;"",INT((C800+IF(D800&lt;&gt;"",D800,0)-DATE(1970,1,1))*86400),"")</f>
        <v/>
      </c>
    </row>
    <row r="801" customFormat="false" ht="19.5" hidden="false" customHeight="true" outlineLevel="0" collapsed="false">
      <c r="A801" s="12" t="n">
        <f aca="false">ROW()-4</f>
        <v>797</v>
      </c>
      <c r="B801" s="13"/>
      <c r="C801" s="14"/>
      <c r="D801" s="15"/>
      <c r="E801" s="14"/>
      <c r="F801" s="15"/>
      <c r="G801" s="16"/>
      <c r="H801" s="17"/>
      <c r="I801" s="18"/>
      <c r="J801" s="19"/>
      <c r="K801" s="14"/>
      <c r="L801" s="17"/>
      <c r="M801" s="19"/>
      <c r="N801" s="20"/>
      <c r="O801" s="19"/>
      <c r="P801" s="21"/>
      <c r="Q801" s="22" t="str">
        <f aca="false">IF(L801="","",IF(M801&lt;&gt;"",M801*L801*100,IF(AND(O801&lt;&gt;"",B801&lt;&gt;""),IFERROR(AVERAGEIF($B$5:$B$1004,B801,$M$5:$M$1004)*L801*100,""),"")))</f>
        <v/>
      </c>
      <c r="R801" s="22" t="str">
        <f aca="false">IF(AND(O801&lt;&gt;"",L801&lt;&gt;""),O801*L801*100,"")</f>
        <v/>
      </c>
      <c r="S801" s="23" t="str">
        <f aca="false">IF(AND(P801&lt;&gt;"",L801&lt;&gt;""),P801*L801*100,"")</f>
        <v/>
      </c>
      <c r="T801" s="24" t="str">
        <f aca="false">IF(AND(Q801&lt;&gt;"",R801&lt;&gt;""),R801-Q801,"")</f>
        <v/>
      </c>
      <c r="U801" s="25" t="str">
        <f aca="false">IF(AND(Q801&lt;&gt;"",Q801&lt;&gt;0,T801&lt;&gt;""),T801/Q801,"")</f>
        <v/>
      </c>
      <c r="V801" s="26" t="str">
        <f aca="false">IF(AND(S801&lt;&gt;"",Q801&lt;&gt;""),S801-Q801,"")</f>
        <v/>
      </c>
      <c r="W801" s="27" t="str">
        <f aca="false">IF(AND(Q801&lt;&gt;"",Q801&lt;&gt;0,V801&lt;&gt;""),V801/Q801,"")</f>
        <v/>
      </c>
      <c r="X801" s="28" t="s">
        <v>37</v>
      </c>
      <c r="Y801" s="29" t="str">
        <f aca="false">IF(AND(O801&lt;&gt;"",M801&lt;&gt;"",O801&gt;M801),CONCATENATE("1 : ",TEXT((O801-M801)/M801,"0.00")),IF(AND(O801&lt;&gt;"",M801&lt;&gt;"",O801&lt;M801),CONCATENATE("-1 : ",TEXT((M801-O801)/M801,"0.00")),"—"))</f>
        <v>—</v>
      </c>
      <c r="Z801" s="30" t="str">
        <f aca="false">IF(AND(P801&lt;&gt;"",M801&lt;&gt;"",P801&gt;M801),CONCATENATE("1 : ",TEXT((P801-M801)/M801,"0.00")),"—")</f>
        <v>—</v>
      </c>
      <c r="AA801" s="31" t="str">
        <f aca="false">IF(AND(C801&lt;&gt;"",E801&lt;&gt;""),E801-C801,"")</f>
        <v/>
      </c>
      <c r="AB801" s="17"/>
      <c r="AC801" s="32"/>
      <c r="AD801" s="33"/>
      <c r="AE801" s="34" t="str">
        <f aca="false">IF(G801&lt;&gt;"",HYPERLINK("https://www.tradingview.com/chart/?symbol="&amp;G801&amp;"&amp;interval=60&amp;from="&amp;(AG801-10*3600)&amp;"&amp;to="&amp;(AG801+50*3600),"📈 1H"),"")</f>
        <v/>
      </c>
      <c r="AF801" s="35" t="str">
        <f aca="false">IF(G801&lt;&gt;"",HYPERLINK("https://www.tradingview.com/chart/?symbol="&amp;G801&amp;"&amp;interval=240&amp;from="&amp;(AG801-10*14400)&amp;"&amp;to="&amp;(AG801+50*14400),"📈 4H"),"")</f>
        <v/>
      </c>
      <c r="AG801" s="36" t="str">
        <f aca="false">IF(C801&lt;&gt;"",INT((C801+IF(D801&lt;&gt;"",D801,0)-DATE(1970,1,1))*86400),"")</f>
        <v/>
      </c>
    </row>
    <row r="802" customFormat="false" ht="19.5" hidden="false" customHeight="true" outlineLevel="0" collapsed="false">
      <c r="A802" s="37" t="n">
        <f aca="false">ROW()-4</f>
        <v>798</v>
      </c>
      <c r="B802" s="38"/>
      <c r="C802" s="39"/>
      <c r="D802" s="40"/>
      <c r="E802" s="39"/>
      <c r="F802" s="40"/>
      <c r="G802" s="41"/>
      <c r="H802" s="42"/>
      <c r="I802" s="43"/>
      <c r="J802" s="44"/>
      <c r="K802" s="39"/>
      <c r="L802" s="42"/>
      <c r="M802" s="44"/>
      <c r="N802" s="45"/>
      <c r="O802" s="44"/>
      <c r="P802" s="46"/>
      <c r="Q802" s="47" t="str">
        <f aca="false">IF(L802="","",IF(M802&lt;&gt;"",M802*L802*100,IF(AND(O802&lt;&gt;"",B802&lt;&gt;""),IFERROR(AVERAGEIF($B$5:$B$1004,B802,$M$5:$M$1004)*L802*100,""),"")))</f>
        <v/>
      </c>
      <c r="R802" s="47" t="str">
        <f aca="false">IF(AND(O802&lt;&gt;"",L802&lt;&gt;""),O802*L802*100,"")</f>
        <v/>
      </c>
      <c r="S802" s="48" t="str">
        <f aca="false">IF(AND(P802&lt;&gt;"",L802&lt;&gt;""),P802*L802*100,"")</f>
        <v/>
      </c>
      <c r="T802" s="49" t="str">
        <f aca="false">IF(AND(Q802&lt;&gt;"",R802&lt;&gt;""),R802-Q802,"")</f>
        <v/>
      </c>
      <c r="U802" s="50" t="str">
        <f aca="false">IF(AND(Q802&lt;&gt;"",Q802&lt;&gt;0,T802&lt;&gt;""),T802/Q802,"")</f>
        <v/>
      </c>
      <c r="V802" s="51" t="str">
        <f aca="false">IF(AND(S802&lt;&gt;"",Q802&lt;&gt;""),S802-Q802,"")</f>
        <v/>
      </c>
      <c r="W802" s="52" t="str">
        <f aca="false">IF(AND(Q802&lt;&gt;"",Q802&lt;&gt;0,V802&lt;&gt;""),V802/Q802,"")</f>
        <v/>
      </c>
      <c r="X802" s="53" t="s">
        <v>37</v>
      </c>
      <c r="Y802" s="54" t="str">
        <f aca="false">IF(AND(O802&lt;&gt;"",M802&lt;&gt;"",O802&gt;M802),CONCATENATE("1 : ",TEXT((O802-M802)/M802,"0.00")),IF(AND(O802&lt;&gt;"",M802&lt;&gt;"",O802&lt;M802),CONCATENATE("-1 : ",TEXT((M802-O802)/M802,"0.00")),"—"))</f>
        <v>—</v>
      </c>
      <c r="Z802" s="55" t="str">
        <f aca="false">IF(AND(P802&lt;&gt;"",M802&lt;&gt;"",P802&gt;M802),CONCATENATE("1 : ",TEXT((P802-M802)/M802,"0.00")),"—")</f>
        <v>—</v>
      </c>
      <c r="AA802" s="56" t="str">
        <f aca="false">IF(AND(C802&lt;&gt;"",E802&lt;&gt;""),E802-C802,"")</f>
        <v/>
      </c>
      <c r="AB802" s="42"/>
      <c r="AC802" s="57"/>
      <c r="AD802" s="58"/>
      <c r="AE802" s="59" t="str">
        <f aca="false">IF(G802&lt;&gt;"",HYPERLINK("https://www.tradingview.com/chart/?symbol="&amp;G802&amp;"&amp;interval=60&amp;from="&amp;(AG802-10*3600)&amp;"&amp;to="&amp;(AG802+50*3600),"📈 1H"),"")</f>
        <v/>
      </c>
      <c r="AF802" s="60" t="str">
        <f aca="false">IF(G802&lt;&gt;"",HYPERLINK("https://www.tradingview.com/chart/?symbol="&amp;G802&amp;"&amp;interval=240&amp;from="&amp;(AG802-10*14400)&amp;"&amp;to="&amp;(AG802+50*14400),"📈 4H"),"")</f>
        <v/>
      </c>
      <c r="AG802" s="36" t="str">
        <f aca="false">IF(C802&lt;&gt;"",INT((C802+IF(D802&lt;&gt;"",D802,0)-DATE(1970,1,1))*86400),"")</f>
        <v/>
      </c>
    </row>
    <row r="803" customFormat="false" ht="19.5" hidden="false" customHeight="true" outlineLevel="0" collapsed="false">
      <c r="A803" s="12" t="n">
        <f aca="false">ROW()-4</f>
        <v>799</v>
      </c>
      <c r="B803" s="13"/>
      <c r="C803" s="14"/>
      <c r="D803" s="15"/>
      <c r="E803" s="14"/>
      <c r="F803" s="15"/>
      <c r="G803" s="16"/>
      <c r="H803" s="17"/>
      <c r="I803" s="18"/>
      <c r="J803" s="19"/>
      <c r="K803" s="14"/>
      <c r="L803" s="17"/>
      <c r="M803" s="19"/>
      <c r="N803" s="20"/>
      <c r="O803" s="19"/>
      <c r="P803" s="21"/>
      <c r="Q803" s="22" t="str">
        <f aca="false">IF(L803="","",IF(M803&lt;&gt;"",M803*L803*100,IF(AND(O803&lt;&gt;"",B803&lt;&gt;""),IFERROR(AVERAGEIF($B$5:$B$1004,B803,$M$5:$M$1004)*L803*100,""),"")))</f>
        <v/>
      </c>
      <c r="R803" s="22" t="str">
        <f aca="false">IF(AND(O803&lt;&gt;"",L803&lt;&gt;""),O803*L803*100,"")</f>
        <v/>
      </c>
      <c r="S803" s="23" t="str">
        <f aca="false">IF(AND(P803&lt;&gt;"",L803&lt;&gt;""),P803*L803*100,"")</f>
        <v/>
      </c>
      <c r="T803" s="24" t="str">
        <f aca="false">IF(AND(Q803&lt;&gt;"",R803&lt;&gt;""),R803-Q803,"")</f>
        <v/>
      </c>
      <c r="U803" s="25" t="str">
        <f aca="false">IF(AND(Q803&lt;&gt;"",Q803&lt;&gt;0,T803&lt;&gt;""),T803/Q803,"")</f>
        <v/>
      </c>
      <c r="V803" s="26" t="str">
        <f aca="false">IF(AND(S803&lt;&gt;"",Q803&lt;&gt;""),S803-Q803,"")</f>
        <v/>
      </c>
      <c r="W803" s="27" t="str">
        <f aca="false">IF(AND(Q803&lt;&gt;"",Q803&lt;&gt;0,V803&lt;&gt;""),V803/Q803,"")</f>
        <v/>
      </c>
      <c r="X803" s="28" t="s">
        <v>37</v>
      </c>
      <c r="Y803" s="29" t="str">
        <f aca="false">IF(AND(O803&lt;&gt;"",M803&lt;&gt;"",O803&gt;M803),CONCATENATE("1 : ",TEXT((O803-M803)/M803,"0.00")),IF(AND(O803&lt;&gt;"",M803&lt;&gt;"",O803&lt;M803),CONCATENATE("-1 : ",TEXT((M803-O803)/M803,"0.00")),"—"))</f>
        <v>—</v>
      </c>
      <c r="Z803" s="30" t="str">
        <f aca="false">IF(AND(P803&lt;&gt;"",M803&lt;&gt;"",P803&gt;M803),CONCATENATE("1 : ",TEXT((P803-M803)/M803,"0.00")),"—")</f>
        <v>—</v>
      </c>
      <c r="AA803" s="31" t="str">
        <f aca="false">IF(AND(C803&lt;&gt;"",E803&lt;&gt;""),E803-C803,"")</f>
        <v/>
      </c>
      <c r="AB803" s="17"/>
      <c r="AC803" s="32"/>
      <c r="AD803" s="33"/>
      <c r="AE803" s="34" t="str">
        <f aca="false">IF(G803&lt;&gt;"",HYPERLINK("https://www.tradingview.com/chart/?symbol="&amp;G803&amp;"&amp;interval=60&amp;from="&amp;(AG803-10*3600)&amp;"&amp;to="&amp;(AG803+50*3600),"📈 1H"),"")</f>
        <v/>
      </c>
      <c r="AF803" s="35" t="str">
        <f aca="false">IF(G803&lt;&gt;"",HYPERLINK("https://www.tradingview.com/chart/?symbol="&amp;G803&amp;"&amp;interval=240&amp;from="&amp;(AG803-10*14400)&amp;"&amp;to="&amp;(AG803+50*14400),"📈 4H"),"")</f>
        <v/>
      </c>
      <c r="AG803" s="36" t="str">
        <f aca="false">IF(C803&lt;&gt;"",INT((C803+IF(D803&lt;&gt;"",D803,0)-DATE(1970,1,1))*86400),"")</f>
        <v/>
      </c>
    </row>
    <row r="804" customFormat="false" ht="19.5" hidden="false" customHeight="true" outlineLevel="0" collapsed="false">
      <c r="A804" s="37" t="n">
        <f aca="false">ROW()-4</f>
        <v>800</v>
      </c>
      <c r="B804" s="38"/>
      <c r="C804" s="39"/>
      <c r="D804" s="40"/>
      <c r="E804" s="39"/>
      <c r="F804" s="40"/>
      <c r="G804" s="41"/>
      <c r="H804" s="42"/>
      <c r="I804" s="43"/>
      <c r="J804" s="44"/>
      <c r="K804" s="39"/>
      <c r="L804" s="42"/>
      <c r="M804" s="44"/>
      <c r="N804" s="45"/>
      <c r="O804" s="44"/>
      <c r="P804" s="46"/>
      <c r="Q804" s="47" t="str">
        <f aca="false">IF(L804="","",IF(M804&lt;&gt;"",M804*L804*100,IF(AND(O804&lt;&gt;"",B804&lt;&gt;""),IFERROR(AVERAGEIF($B$5:$B$1004,B804,$M$5:$M$1004)*L804*100,""),"")))</f>
        <v/>
      </c>
      <c r="R804" s="47" t="str">
        <f aca="false">IF(AND(O804&lt;&gt;"",L804&lt;&gt;""),O804*L804*100,"")</f>
        <v/>
      </c>
      <c r="S804" s="48" t="str">
        <f aca="false">IF(AND(P804&lt;&gt;"",L804&lt;&gt;""),P804*L804*100,"")</f>
        <v/>
      </c>
      <c r="T804" s="49" t="str">
        <f aca="false">IF(AND(Q804&lt;&gt;"",R804&lt;&gt;""),R804-Q804,"")</f>
        <v/>
      </c>
      <c r="U804" s="50" t="str">
        <f aca="false">IF(AND(Q804&lt;&gt;"",Q804&lt;&gt;0,T804&lt;&gt;""),T804/Q804,"")</f>
        <v/>
      </c>
      <c r="V804" s="51" t="str">
        <f aca="false">IF(AND(S804&lt;&gt;"",Q804&lt;&gt;""),S804-Q804,"")</f>
        <v/>
      </c>
      <c r="W804" s="52" t="str">
        <f aca="false">IF(AND(Q804&lt;&gt;"",Q804&lt;&gt;0,V804&lt;&gt;""),V804/Q804,"")</f>
        <v/>
      </c>
      <c r="X804" s="53" t="s">
        <v>37</v>
      </c>
      <c r="Y804" s="54" t="str">
        <f aca="false">IF(AND(O804&lt;&gt;"",M804&lt;&gt;"",O804&gt;M804),CONCATENATE("1 : ",TEXT((O804-M804)/M804,"0.00")),IF(AND(O804&lt;&gt;"",M804&lt;&gt;"",O804&lt;M804),CONCATENATE("-1 : ",TEXT((M804-O804)/M804,"0.00")),"—"))</f>
        <v>—</v>
      </c>
      <c r="Z804" s="55" t="str">
        <f aca="false">IF(AND(P804&lt;&gt;"",M804&lt;&gt;"",P804&gt;M804),CONCATENATE("1 : ",TEXT((P804-M804)/M804,"0.00")),"—")</f>
        <v>—</v>
      </c>
      <c r="AA804" s="56" t="str">
        <f aca="false">IF(AND(C804&lt;&gt;"",E804&lt;&gt;""),E804-C804,"")</f>
        <v/>
      </c>
      <c r="AB804" s="42"/>
      <c r="AC804" s="57"/>
      <c r="AD804" s="58"/>
      <c r="AE804" s="59" t="str">
        <f aca="false">IF(G804&lt;&gt;"",HYPERLINK("https://www.tradingview.com/chart/?symbol="&amp;G804&amp;"&amp;interval=60&amp;from="&amp;(AG804-10*3600)&amp;"&amp;to="&amp;(AG804+50*3600),"📈 1H"),"")</f>
        <v/>
      </c>
      <c r="AF804" s="60" t="str">
        <f aca="false">IF(G804&lt;&gt;"",HYPERLINK("https://www.tradingview.com/chart/?symbol="&amp;G804&amp;"&amp;interval=240&amp;from="&amp;(AG804-10*14400)&amp;"&amp;to="&amp;(AG804+50*14400),"📈 4H"),"")</f>
        <v/>
      </c>
      <c r="AG804" s="36" t="str">
        <f aca="false">IF(C804&lt;&gt;"",INT((C804+IF(D804&lt;&gt;"",D804,0)-DATE(1970,1,1))*86400),"")</f>
        <v/>
      </c>
    </row>
    <row r="805" customFormat="false" ht="19.5" hidden="false" customHeight="true" outlineLevel="0" collapsed="false">
      <c r="A805" s="12" t="n">
        <f aca="false">ROW()-4</f>
        <v>801</v>
      </c>
      <c r="B805" s="13"/>
      <c r="C805" s="14"/>
      <c r="D805" s="15"/>
      <c r="E805" s="14"/>
      <c r="F805" s="15"/>
      <c r="G805" s="16"/>
      <c r="H805" s="17"/>
      <c r="I805" s="18"/>
      <c r="J805" s="19"/>
      <c r="K805" s="14"/>
      <c r="L805" s="17"/>
      <c r="M805" s="19"/>
      <c r="N805" s="20"/>
      <c r="O805" s="19"/>
      <c r="P805" s="21"/>
      <c r="Q805" s="22" t="str">
        <f aca="false">IF(L805="","",IF(M805&lt;&gt;"",M805*L805*100,IF(AND(O805&lt;&gt;"",B805&lt;&gt;""),IFERROR(AVERAGEIF($B$5:$B$1004,B805,$M$5:$M$1004)*L805*100,""),"")))</f>
        <v/>
      </c>
      <c r="R805" s="22" t="str">
        <f aca="false">IF(AND(O805&lt;&gt;"",L805&lt;&gt;""),O805*L805*100,"")</f>
        <v/>
      </c>
      <c r="S805" s="23" t="str">
        <f aca="false">IF(AND(P805&lt;&gt;"",L805&lt;&gt;""),P805*L805*100,"")</f>
        <v/>
      </c>
      <c r="T805" s="24" t="str">
        <f aca="false">IF(AND(Q805&lt;&gt;"",R805&lt;&gt;""),R805-Q805,"")</f>
        <v/>
      </c>
      <c r="U805" s="25" t="str">
        <f aca="false">IF(AND(Q805&lt;&gt;"",Q805&lt;&gt;0,T805&lt;&gt;""),T805/Q805,"")</f>
        <v/>
      </c>
      <c r="V805" s="26" t="str">
        <f aca="false">IF(AND(S805&lt;&gt;"",Q805&lt;&gt;""),S805-Q805,"")</f>
        <v/>
      </c>
      <c r="W805" s="27" t="str">
        <f aca="false">IF(AND(Q805&lt;&gt;"",Q805&lt;&gt;0,V805&lt;&gt;""),V805/Q805,"")</f>
        <v/>
      </c>
      <c r="X805" s="28" t="s">
        <v>37</v>
      </c>
      <c r="Y805" s="29" t="str">
        <f aca="false">IF(AND(O805&lt;&gt;"",M805&lt;&gt;"",O805&gt;M805),CONCATENATE("1 : ",TEXT((O805-M805)/M805,"0.00")),IF(AND(O805&lt;&gt;"",M805&lt;&gt;"",O805&lt;M805),CONCATENATE("-1 : ",TEXT((M805-O805)/M805,"0.00")),"—"))</f>
        <v>—</v>
      </c>
      <c r="Z805" s="30" t="str">
        <f aca="false">IF(AND(P805&lt;&gt;"",M805&lt;&gt;"",P805&gt;M805),CONCATENATE("1 : ",TEXT((P805-M805)/M805,"0.00")),"—")</f>
        <v>—</v>
      </c>
      <c r="AA805" s="31" t="str">
        <f aca="false">IF(AND(C805&lt;&gt;"",E805&lt;&gt;""),E805-C805,"")</f>
        <v/>
      </c>
      <c r="AB805" s="17"/>
      <c r="AC805" s="32"/>
      <c r="AD805" s="33"/>
      <c r="AE805" s="34" t="str">
        <f aca="false">IF(G805&lt;&gt;"",HYPERLINK("https://www.tradingview.com/chart/?symbol="&amp;G805&amp;"&amp;interval=60&amp;from="&amp;(AG805-10*3600)&amp;"&amp;to="&amp;(AG805+50*3600),"📈 1H"),"")</f>
        <v/>
      </c>
      <c r="AF805" s="35" t="str">
        <f aca="false">IF(G805&lt;&gt;"",HYPERLINK("https://www.tradingview.com/chart/?symbol="&amp;G805&amp;"&amp;interval=240&amp;from="&amp;(AG805-10*14400)&amp;"&amp;to="&amp;(AG805+50*14400),"📈 4H"),"")</f>
        <v/>
      </c>
      <c r="AG805" s="36" t="str">
        <f aca="false">IF(C805&lt;&gt;"",INT((C805+IF(D805&lt;&gt;"",D805,0)-DATE(1970,1,1))*86400),"")</f>
        <v/>
      </c>
    </row>
    <row r="806" customFormat="false" ht="19.5" hidden="false" customHeight="true" outlineLevel="0" collapsed="false">
      <c r="A806" s="37" t="n">
        <f aca="false">ROW()-4</f>
        <v>802</v>
      </c>
      <c r="B806" s="38"/>
      <c r="C806" s="39"/>
      <c r="D806" s="40"/>
      <c r="E806" s="39"/>
      <c r="F806" s="40"/>
      <c r="G806" s="41"/>
      <c r="H806" s="42"/>
      <c r="I806" s="43"/>
      <c r="J806" s="44"/>
      <c r="K806" s="39"/>
      <c r="L806" s="42"/>
      <c r="M806" s="44"/>
      <c r="N806" s="45"/>
      <c r="O806" s="44"/>
      <c r="P806" s="46"/>
      <c r="Q806" s="47" t="str">
        <f aca="false">IF(L806="","",IF(M806&lt;&gt;"",M806*L806*100,IF(AND(O806&lt;&gt;"",B806&lt;&gt;""),IFERROR(AVERAGEIF($B$5:$B$1004,B806,$M$5:$M$1004)*L806*100,""),"")))</f>
        <v/>
      </c>
      <c r="R806" s="47" t="str">
        <f aca="false">IF(AND(O806&lt;&gt;"",L806&lt;&gt;""),O806*L806*100,"")</f>
        <v/>
      </c>
      <c r="S806" s="48" t="str">
        <f aca="false">IF(AND(P806&lt;&gt;"",L806&lt;&gt;""),P806*L806*100,"")</f>
        <v/>
      </c>
      <c r="T806" s="49" t="str">
        <f aca="false">IF(AND(Q806&lt;&gt;"",R806&lt;&gt;""),R806-Q806,"")</f>
        <v/>
      </c>
      <c r="U806" s="50" t="str">
        <f aca="false">IF(AND(Q806&lt;&gt;"",Q806&lt;&gt;0,T806&lt;&gt;""),T806/Q806,"")</f>
        <v/>
      </c>
      <c r="V806" s="51" t="str">
        <f aca="false">IF(AND(S806&lt;&gt;"",Q806&lt;&gt;""),S806-Q806,"")</f>
        <v/>
      </c>
      <c r="W806" s="52" t="str">
        <f aca="false">IF(AND(Q806&lt;&gt;"",Q806&lt;&gt;0,V806&lt;&gt;""),V806/Q806,"")</f>
        <v/>
      </c>
      <c r="X806" s="53" t="s">
        <v>37</v>
      </c>
      <c r="Y806" s="54" t="str">
        <f aca="false">IF(AND(O806&lt;&gt;"",M806&lt;&gt;"",O806&gt;M806),CONCATENATE("1 : ",TEXT((O806-M806)/M806,"0.00")),IF(AND(O806&lt;&gt;"",M806&lt;&gt;"",O806&lt;M806),CONCATENATE("-1 : ",TEXT((M806-O806)/M806,"0.00")),"—"))</f>
        <v>—</v>
      </c>
      <c r="Z806" s="55" t="str">
        <f aca="false">IF(AND(P806&lt;&gt;"",M806&lt;&gt;"",P806&gt;M806),CONCATENATE("1 : ",TEXT((P806-M806)/M806,"0.00")),"—")</f>
        <v>—</v>
      </c>
      <c r="AA806" s="56" t="str">
        <f aca="false">IF(AND(C806&lt;&gt;"",E806&lt;&gt;""),E806-C806,"")</f>
        <v/>
      </c>
      <c r="AB806" s="42"/>
      <c r="AC806" s="57"/>
      <c r="AD806" s="58"/>
      <c r="AE806" s="59" t="str">
        <f aca="false">IF(G806&lt;&gt;"",HYPERLINK("https://www.tradingview.com/chart/?symbol="&amp;G806&amp;"&amp;interval=60&amp;from="&amp;(AG806-10*3600)&amp;"&amp;to="&amp;(AG806+50*3600),"📈 1H"),"")</f>
        <v/>
      </c>
      <c r="AF806" s="60" t="str">
        <f aca="false">IF(G806&lt;&gt;"",HYPERLINK("https://www.tradingview.com/chart/?symbol="&amp;G806&amp;"&amp;interval=240&amp;from="&amp;(AG806-10*14400)&amp;"&amp;to="&amp;(AG806+50*14400),"📈 4H"),"")</f>
        <v/>
      </c>
      <c r="AG806" s="36" t="str">
        <f aca="false">IF(C806&lt;&gt;"",INT((C806+IF(D806&lt;&gt;"",D806,0)-DATE(1970,1,1))*86400),"")</f>
        <v/>
      </c>
    </row>
    <row r="807" customFormat="false" ht="19.5" hidden="false" customHeight="true" outlineLevel="0" collapsed="false">
      <c r="A807" s="12" t="n">
        <f aca="false">ROW()-4</f>
        <v>803</v>
      </c>
      <c r="B807" s="13"/>
      <c r="C807" s="14"/>
      <c r="D807" s="15"/>
      <c r="E807" s="14"/>
      <c r="F807" s="15"/>
      <c r="G807" s="16"/>
      <c r="H807" s="17"/>
      <c r="I807" s="18"/>
      <c r="J807" s="19"/>
      <c r="K807" s="14"/>
      <c r="L807" s="17"/>
      <c r="M807" s="19"/>
      <c r="N807" s="20"/>
      <c r="O807" s="19"/>
      <c r="P807" s="21"/>
      <c r="Q807" s="22" t="str">
        <f aca="false">IF(L807="","",IF(M807&lt;&gt;"",M807*L807*100,IF(AND(O807&lt;&gt;"",B807&lt;&gt;""),IFERROR(AVERAGEIF($B$5:$B$1004,B807,$M$5:$M$1004)*L807*100,""),"")))</f>
        <v/>
      </c>
      <c r="R807" s="22" t="str">
        <f aca="false">IF(AND(O807&lt;&gt;"",L807&lt;&gt;""),O807*L807*100,"")</f>
        <v/>
      </c>
      <c r="S807" s="23" t="str">
        <f aca="false">IF(AND(P807&lt;&gt;"",L807&lt;&gt;""),P807*L807*100,"")</f>
        <v/>
      </c>
      <c r="T807" s="24" t="str">
        <f aca="false">IF(AND(Q807&lt;&gt;"",R807&lt;&gt;""),R807-Q807,"")</f>
        <v/>
      </c>
      <c r="U807" s="25" t="str">
        <f aca="false">IF(AND(Q807&lt;&gt;"",Q807&lt;&gt;0,T807&lt;&gt;""),T807/Q807,"")</f>
        <v/>
      </c>
      <c r="V807" s="26" t="str">
        <f aca="false">IF(AND(S807&lt;&gt;"",Q807&lt;&gt;""),S807-Q807,"")</f>
        <v/>
      </c>
      <c r="W807" s="27" t="str">
        <f aca="false">IF(AND(Q807&lt;&gt;"",Q807&lt;&gt;0,V807&lt;&gt;""),V807/Q807,"")</f>
        <v/>
      </c>
      <c r="X807" s="28" t="s">
        <v>37</v>
      </c>
      <c r="Y807" s="29" t="str">
        <f aca="false">IF(AND(O807&lt;&gt;"",M807&lt;&gt;"",O807&gt;M807),CONCATENATE("1 : ",TEXT((O807-M807)/M807,"0.00")),IF(AND(O807&lt;&gt;"",M807&lt;&gt;"",O807&lt;M807),CONCATENATE("-1 : ",TEXT((M807-O807)/M807,"0.00")),"—"))</f>
        <v>—</v>
      </c>
      <c r="Z807" s="30" t="str">
        <f aca="false">IF(AND(P807&lt;&gt;"",M807&lt;&gt;"",P807&gt;M807),CONCATENATE("1 : ",TEXT((P807-M807)/M807,"0.00")),"—")</f>
        <v>—</v>
      </c>
      <c r="AA807" s="31" t="str">
        <f aca="false">IF(AND(C807&lt;&gt;"",E807&lt;&gt;""),E807-C807,"")</f>
        <v/>
      </c>
      <c r="AB807" s="17"/>
      <c r="AC807" s="32"/>
      <c r="AD807" s="33"/>
      <c r="AE807" s="34" t="str">
        <f aca="false">IF(G807&lt;&gt;"",HYPERLINK("https://www.tradingview.com/chart/?symbol="&amp;G807&amp;"&amp;interval=60&amp;from="&amp;(AG807-10*3600)&amp;"&amp;to="&amp;(AG807+50*3600),"📈 1H"),"")</f>
        <v/>
      </c>
      <c r="AF807" s="35" t="str">
        <f aca="false">IF(G807&lt;&gt;"",HYPERLINK("https://www.tradingview.com/chart/?symbol="&amp;G807&amp;"&amp;interval=240&amp;from="&amp;(AG807-10*14400)&amp;"&amp;to="&amp;(AG807+50*14400),"📈 4H"),"")</f>
        <v/>
      </c>
      <c r="AG807" s="36" t="str">
        <f aca="false">IF(C807&lt;&gt;"",INT((C807+IF(D807&lt;&gt;"",D807,0)-DATE(1970,1,1))*86400),"")</f>
        <v/>
      </c>
    </row>
    <row r="808" customFormat="false" ht="19.5" hidden="false" customHeight="true" outlineLevel="0" collapsed="false">
      <c r="A808" s="37" t="n">
        <f aca="false">ROW()-4</f>
        <v>804</v>
      </c>
      <c r="B808" s="38"/>
      <c r="C808" s="39"/>
      <c r="D808" s="40"/>
      <c r="E808" s="39"/>
      <c r="F808" s="40"/>
      <c r="G808" s="41"/>
      <c r="H808" s="42"/>
      <c r="I808" s="43"/>
      <c r="J808" s="44"/>
      <c r="K808" s="39"/>
      <c r="L808" s="42"/>
      <c r="M808" s="44"/>
      <c r="N808" s="45"/>
      <c r="O808" s="44"/>
      <c r="P808" s="46"/>
      <c r="Q808" s="47" t="str">
        <f aca="false">IF(L808="","",IF(M808&lt;&gt;"",M808*L808*100,IF(AND(O808&lt;&gt;"",B808&lt;&gt;""),IFERROR(AVERAGEIF($B$5:$B$1004,B808,$M$5:$M$1004)*L808*100,""),"")))</f>
        <v/>
      </c>
      <c r="R808" s="47" t="str">
        <f aca="false">IF(AND(O808&lt;&gt;"",L808&lt;&gt;""),O808*L808*100,"")</f>
        <v/>
      </c>
      <c r="S808" s="48" t="str">
        <f aca="false">IF(AND(P808&lt;&gt;"",L808&lt;&gt;""),P808*L808*100,"")</f>
        <v/>
      </c>
      <c r="T808" s="49" t="str">
        <f aca="false">IF(AND(Q808&lt;&gt;"",R808&lt;&gt;""),R808-Q808,"")</f>
        <v/>
      </c>
      <c r="U808" s="50" t="str">
        <f aca="false">IF(AND(Q808&lt;&gt;"",Q808&lt;&gt;0,T808&lt;&gt;""),T808/Q808,"")</f>
        <v/>
      </c>
      <c r="V808" s="51" t="str">
        <f aca="false">IF(AND(S808&lt;&gt;"",Q808&lt;&gt;""),S808-Q808,"")</f>
        <v/>
      </c>
      <c r="W808" s="52" t="str">
        <f aca="false">IF(AND(Q808&lt;&gt;"",Q808&lt;&gt;0,V808&lt;&gt;""),V808/Q808,"")</f>
        <v/>
      </c>
      <c r="X808" s="53" t="s">
        <v>37</v>
      </c>
      <c r="Y808" s="54" t="str">
        <f aca="false">IF(AND(O808&lt;&gt;"",M808&lt;&gt;"",O808&gt;M808),CONCATENATE("1 : ",TEXT((O808-M808)/M808,"0.00")),IF(AND(O808&lt;&gt;"",M808&lt;&gt;"",O808&lt;M808),CONCATENATE("-1 : ",TEXT((M808-O808)/M808,"0.00")),"—"))</f>
        <v>—</v>
      </c>
      <c r="Z808" s="55" t="str">
        <f aca="false">IF(AND(P808&lt;&gt;"",M808&lt;&gt;"",P808&gt;M808),CONCATENATE("1 : ",TEXT((P808-M808)/M808,"0.00")),"—")</f>
        <v>—</v>
      </c>
      <c r="AA808" s="56" t="str">
        <f aca="false">IF(AND(C808&lt;&gt;"",E808&lt;&gt;""),E808-C808,"")</f>
        <v/>
      </c>
      <c r="AB808" s="42"/>
      <c r="AC808" s="57"/>
      <c r="AD808" s="58"/>
      <c r="AE808" s="59" t="str">
        <f aca="false">IF(G808&lt;&gt;"",HYPERLINK("https://www.tradingview.com/chart/?symbol="&amp;G808&amp;"&amp;interval=60&amp;from="&amp;(AG808-10*3600)&amp;"&amp;to="&amp;(AG808+50*3600),"📈 1H"),"")</f>
        <v/>
      </c>
      <c r="AF808" s="60" t="str">
        <f aca="false">IF(G808&lt;&gt;"",HYPERLINK("https://www.tradingview.com/chart/?symbol="&amp;G808&amp;"&amp;interval=240&amp;from="&amp;(AG808-10*14400)&amp;"&amp;to="&amp;(AG808+50*14400),"📈 4H"),"")</f>
        <v/>
      </c>
      <c r="AG808" s="36" t="str">
        <f aca="false">IF(C808&lt;&gt;"",INT((C808+IF(D808&lt;&gt;"",D808,0)-DATE(1970,1,1))*86400),"")</f>
        <v/>
      </c>
    </row>
    <row r="809" customFormat="false" ht="19.5" hidden="false" customHeight="true" outlineLevel="0" collapsed="false">
      <c r="A809" s="12" t="n">
        <f aca="false">ROW()-4</f>
        <v>805</v>
      </c>
      <c r="B809" s="13"/>
      <c r="C809" s="14"/>
      <c r="D809" s="15"/>
      <c r="E809" s="14"/>
      <c r="F809" s="15"/>
      <c r="G809" s="16"/>
      <c r="H809" s="17"/>
      <c r="I809" s="18"/>
      <c r="J809" s="19"/>
      <c r="K809" s="14"/>
      <c r="L809" s="17"/>
      <c r="M809" s="19"/>
      <c r="N809" s="20"/>
      <c r="O809" s="19"/>
      <c r="P809" s="21"/>
      <c r="Q809" s="22" t="str">
        <f aca="false">IF(L809="","",IF(M809&lt;&gt;"",M809*L809*100,IF(AND(O809&lt;&gt;"",B809&lt;&gt;""),IFERROR(AVERAGEIF($B$5:$B$1004,B809,$M$5:$M$1004)*L809*100,""),"")))</f>
        <v/>
      </c>
      <c r="R809" s="22" t="str">
        <f aca="false">IF(AND(O809&lt;&gt;"",L809&lt;&gt;""),O809*L809*100,"")</f>
        <v/>
      </c>
      <c r="S809" s="23" t="str">
        <f aca="false">IF(AND(P809&lt;&gt;"",L809&lt;&gt;""),P809*L809*100,"")</f>
        <v/>
      </c>
      <c r="T809" s="24" t="str">
        <f aca="false">IF(AND(Q809&lt;&gt;"",R809&lt;&gt;""),R809-Q809,"")</f>
        <v/>
      </c>
      <c r="U809" s="25" t="str">
        <f aca="false">IF(AND(Q809&lt;&gt;"",Q809&lt;&gt;0,T809&lt;&gt;""),T809/Q809,"")</f>
        <v/>
      </c>
      <c r="V809" s="26" t="str">
        <f aca="false">IF(AND(S809&lt;&gt;"",Q809&lt;&gt;""),S809-Q809,"")</f>
        <v/>
      </c>
      <c r="W809" s="27" t="str">
        <f aca="false">IF(AND(Q809&lt;&gt;"",Q809&lt;&gt;0,V809&lt;&gt;""),V809/Q809,"")</f>
        <v/>
      </c>
      <c r="X809" s="28" t="s">
        <v>37</v>
      </c>
      <c r="Y809" s="29" t="str">
        <f aca="false">IF(AND(O809&lt;&gt;"",M809&lt;&gt;"",O809&gt;M809),CONCATENATE("1 : ",TEXT((O809-M809)/M809,"0.00")),IF(AND(O809&lt;&gt;"",M809&lt;&gt;"",O809&lt;M809),CONCATENATE("-1 : ",TEXT((M809-O809)/M809,"0.00")),"—"))</f>
        <v>—</v>
      </c>
      <c r="Z809" s="30" t="str">
        <f aca="false">IF(AND(P809&lt;&gt;"",M809&lt;&gt;"",P809&gt;M809),CONCATENATE("1 : ",TEXT((P809-M809)/M809,"0.00")),"—")</f>
        <v>—</v>
      </c>
      <c r="AA809" s="31" t="str">
        <f aca="false">IF(AND(C809&lt;&gt;"",E809&lt;&gt;""),E809-C809,"")</f>
        <v/>
      </c>
      <c r="AB809" s="17"/>
      <c r="AC809" s="32"/>
      <c r="AD809" s="33"/>
      <c r="AE809" s="34" t="str">
        <f aca="false">IF(G809&lt;&gt;"",HYPERLINK("https://www.tradingview.com/chart/?symbol="&amp;G809&amp;"&amp;interval=60&amp;from="&amp;(AG809-10*3600)&amp;"&amp;to="&amp;(AG809+50*3600),"📈 1H"),"")</f>
        <v/>
      </c>
      <c r="AF809" s="35" t="str">
        <f aca="false">IF(G809&lt;&gt;"",HYPERLINK("https://www.tradingview.com/chart/?symbol="&amp;G809&amp;"&amp;interval=240&amp;from="&amp;(AG809-10*14400)&amp;"&amp;to="&amp;(AG809+50*14400),"📈 4H"),"")</f>
        <v/>
      </c>
      <c r="AG809" s="36" t="str">
        <f aca="false">IF(C809&lt;&gt;"",INT((C809+IF(D809&lt;&gt;"",D809,0)-DATE(1970,1,1))*86400),"")</f>
        <v/>
      </c>
    </row>
    <row r="810" customFormat="false" ht="19.5" hidden="false" customHeight="true" outlineLevel="0" collapsed="false">
      <c r="A810" s="37" t="n">
        <f aca="false">ROW()-4</f>
        <v>806</v>
      </c>
      <c r="B810" s="38"/>
      <c r="C810" s="39"/>
      <c r="D810" s="40"/>
      <c r="E810" s="39"/>
      <c r="F810" s="40"/>
      <c r="G810" s="41"/>
      <c r="H810" s="42"/>
      <c r="I810" s="43"/>
      <c r="J810" s="44"/>
      <c r="K810" s="39"/>
      <c r="L810" s="42"/>
      <c r="M810" s="44"/>
      <c r="N810" s="45"/>
      <c r="O810" s="44"/>
      <c r="P810" s="46"/>
      <c r="Q810" s="47" t="str">
        <f aca="false">IF(L810="","",IF(M810&lt;&gt;"",M810*L810*100,IF(AND(O810&lt;&gt;"",B810&lt;&gt;""),IFERROR(AVERAGEIF($B$5:$B$1004,B810,$M$5:$M$1004)*L810*100,""),"")))</f>
        <v/>
      </c>
      <c r="R810" s="47" t="str">
        <f aca="false">IF(AND(O810&lt;&gt;"",L810&lt;&gt;""),O810*L810*100,"")</f>
        <v/>
      </c>
      <c r="S810" s="48" t="str">
        <f aca="false">IF(AND(P810&lt;&gt;"",L810&lt;&gt;""),P810*L810*100,"")</f>
        <v/>
      </c>
      <c r="T810" s="49" t="str">
        <f aca="false">IF(AND(Q810&lt;&gt;"",R810&lt;&gt;""),R810-Q810,"")</f>
        <v/>
      </c>
      <c r="U810" s="50" t="str">
        <f aca="false">IF(AND(Q810&lt;&gt;"",Q810&lt;&gt;0,T810&lt;&gt;""),T810/Q810,"")</f>
        <v/>
      </c>
      <c r="V810" s="51" t="str">
        <f aca="false">IF(AND(S810&lt;&gt;"",Q810&lt;&gt;""),S810-Q810,"")</f>
        <v/>
      </c>
      <c r="W810" s="52" t="str">
        <f aca="false">IF(AND(Q810&lt;&gt;"",Q810&lt;&gt;0,V810&lt;&gt;""),V810/Q810,"")</f>
        <v/>
      </c>
      <c r="X810" s="53" t="s">
        <v>37</v>
      </c>
      <c r="Y810" s="54" t="str">
        <f aca="false">IF(AND(O810&lt;&gt;"",M810&lt;&gt;"",O810&gt;M810),CONCATENATE("1 : ",TEXT((O810-M810)/M810,"0.00")),IF(AND(O810&lt;&gt;"",M810&lt;&gt;"",O810&lt;M810),CONCATENATE("-1 : ",TEXT((M810-O810)/M810,"0.00")),"—"))</f>
        <v>—</v>
      </c>
      <c r="Z810" s="55" t="str">
        <f aca="false">IF(AND(P810&lt;&gt;"",M810&lt;&gt;"",P810&gt;M810),CONCATENATE("1 : ",TEXT((P810-M810)/M810,"0.00")),"—")</f>
        <v>—</v>
      </c>
      <c r="AA810" s="56" t="str">
        <f aca="false">IF(AND(C810&lt;&gt;"",E810&lt;&gt;""),E810-C810,"")</f>
        <v/>
      </c>
      <c r="AB810" s="42"/>
      <c r="AC810" s="57"/>
      <c r="AD810" s="58"/>
      <c r="AE810" s="59" t="str">
        <f aca="false">IF(G810&lt;&gt;"",HYPERLINK("https://www.tradingview.com/chart/?symbol="&amp;G810&amp;"&amp;interval=60&amp;from="&amp;(AG810-10*3600)&amp;"&amp;to="&amp;(AG810+50*3600),"📈 1H"),"")</f>
        <v/>
      </c>
      <c r="AF810" s="60" t="str">
        <f aca="false">IF(G810&lt;&gt;"",HYPERLINK("https://www.tradingview.com/chart/?symbol="&amp;G810&amp;"&amp;interval=240&amp;from="&amp;(AG810-10*14400)&amp;"&amp;to="&amp;(AG810+50*14400),"📈 4H"),"")</f>
        <v/>
      </c>
      <c r="AG810" s="36" t="str">
        <f aca="false">IF(C810&lt;&gt;"",INT((C810+IF(D810&lt;&gt;"",D810,0)-DATE(1970,1,1))*86400),"")</f>
        <v/>
      </c>
    </row>
    <row r="811" customFormat="false" ht="19.5" hidden="false" customHeight="true" outlineLevel="0" collapsed="false">
      <c r="A811" s="12" t="n">
        <f aca="false">ROW()-4</f>
        <v>807</v>
      </c>
      <c r="B811" s="13"/>
      <c r="C811" s="14"/>
      <c r="D811" s="15"/>
      <c r="E811" s="14"/>
      <c r="F811" s="15"/>
      <c r="G811" s="16"/>
      <c r="H811" s="17"/>
      <c r="I811" s="18"/>
      <c r="J811" s="19"/>
      <c r="K811" s="14"/>
      <c r="L811" s="17"/>
      <c r="M811" s="19"/>
      <c r="N811" s="20"/>
      <c r="O811" s="19"/>
      <c r="P811" s="21"/>
      <c r="Q811" s="22" t="str">
        <f aca="false">IF(L811="","",IF(M811&lt;&gt;"",M811*L811*100,IF(AND(O811&lt;&gt;"",B811&lt;&gt;""),IFERROR(AVERAGEIF($B$5:$B$1004,B811,$M$5:$M$1004)*L811*100,""),"")))</f>
        <v/>
      </c>
      <c r="R811" s="22" t="str">
        <f aca="false">IF(AND(O811&lt;&gt;"",L811&lt;&gt;""),O811*L811*100,"")</f>
        <v/>
      </c>
      <c r="S811" s="23" t="str">
        <f aca="false">IF(AND(P811&lt;&gt;"",L811&lt;&gt;""),P811*L811*100,"")</f>
        <v/>
      </c>
      <c r="T811" s="24" t="str">
        <f aca="false">IF(AND(Q811&lt;&gt;"",R811&lt;&gt;""),R811-Q811,"")</f>
        <v/>
      </c>
      <c r="U811" s="25" t="str">
        <f aca="false">IF(AND(Q811&lt;&gt;"",Q811&lt;&gt;0,T811&lt;&gt;""),T811/Q811,"")</f>
        <v/>
      </c>
      <c r="V811" s="26" t="str">
        <f aca="false">IF(AND(S811&lt;&gt;"",Q811&lt;&gt;""),S811-Q811,"")</f>
        <v/>
      </c>
      <c r="W811" s="27" t="str">
        <f aca="false">IF(AND(Q811&lt;&gt;"",Q811&lt;&gt;0,V811&lt;&gt;""),V811/Q811,"")</f>
        <v/>
      </c>
      <c r="X811" s="28" t="s">
        <v>37</v>
      </c>
      <c r="Y811" s="29" t="str">
        <f aca="false">IF(AND(O811&lt;&gt;"",M811&lt;&gt;"",O811&gt;M811),CONCATENATE("1 : ",TEXT((O811-M811)/M811,"0.00")),IF(AND(O811&lt;&gt;"",M811&lt;&gt;"",O811&lt;M811),CONCATENATE("-1 : ",TEXT((M811-O811)/M811,"0.00")),"—"))</f>
        <v>—</v>
      </c>
      <c r="Z811" s="30" t="str">
        <f aca="false">IF(AND(P811&lt;&gt;"",M811&lt;&gt;"",P811&gt;M811),CONCATENATE("1 : ",TEXT((P811-M811)/M811,"0.00")),"—")</f>
        <v>—</v>
      </c>
      <c r="AA811" s="31" t="str">
        <f aca="false">IF(AND(C811&lt;&gt;"",E811&lt;&gt;""),E811-C811,"")</f>
        <v/>
      </c>
      <c r="AB811" s="17"/>
      <c r="AC811" s="32"/>
      <c r="AD811" s="33"/>
      <c r="AE811" s="34" t="str">
        <f aca="false">IF(G811&lt;&gt;"",HYPERLINK("https://www.tradingview.com/chart/?symbol="&amp;G811&amp;"&amp;interval=60&amp;from="&amp;(AG811-10*3600)&amp;"&amp;to="&amp;(AG811+50*3600),"📈 1H"),"")</f>
        <v/>
      </c>
      <c r="AF811" s="35" t="str">
        <f aca="false">IF(G811&lt;&gt;"",HYPERLINK("https://www.tradingview.com/chart/?symbol="&amp;G811&amp;"&amp;interval=240&amp;from="&amp;(AG811-10*14400)&amp;"&amp;to="&amp;(AG811+50*14400),"📈 4H"),"")</f>
        <v/>
      </c>
      <c r="AG811" s="36" t="str">
        <f aca="false">IF(C811&lt;&gt;"",INT((C811+IF(D811&lt;&gt;"",D811,0)-DATE(1970,1,1))*86400),"")</f>
        <v/>
      </c>
    </row>
    <row r="812" customFormat="false" ht="19.5" hidden="false" customHeight="true" outlineLevel="0" collapsed="false">
      <c r="A812" s="37" t="n">
        <f aca="false">ROW()-4</f>
        <v>808</v>
      </c>
      <c r="B812" s="38"/>
      <c r="C812" s="39"/>
      <c r="D812" s="40"/>
      <c r="E812" s="39"/>
      <c r="F812" s="40"/>
      <c r="G812" s="41"/>
      <c r="H812" s="42"/>
      <c r="I812" s="43"/>
      <c r="J812" s="44"/>
      <c r="K812" s="39"/>
      <c r="L812" s="42"/>
      <c r="M812" s="44"/>
      <c r="N812" s="45"/>
      <c r="O812" s="44"/>
      <c r="P812" s="46"/>
      <c r="Q812" s="47" t="str">
        <f aca="false">IF(L812="","",IF(M812&lt;&gt;"",M812*L812*100,IF(AND(O812&lt;&gt;"",B812&lt;&gt;""),IFERROR(AVERAGEIF($B$5:$B$1004,B812,$M$5:$M$1004)*L812*100,""),"")))</f>
        <v/>
      </c>
      <c r="R812" s="47" t="str">
        <f aca="false">IF(AND(O812&lt;&gt;"",L812&lt;&gt;""),O812*L812*100,"")</f>
        <v/>
      </c>
      <c r="S812" s="48" t="str">
        <f aca="false">IF(AND(P812&lt;&gt;"",L812&lt;&gt;""),P812*L812*100,"")</f>
        <v/>
      </c>
      <c r="T812" s="49" t="str">
        <f aca="false">IF(AND(Q812&lt;&gt;"",R812&lt;&gt;""),R812-Q812,"")</f>
        <v/>
      </c>
      <c r="U812" s="50" t="str">
        <f aca="false">IF(AND(Q812&lt;&gt;"",Q812&lt;&gt;0,T812&lt;&gt;""),T812/Q812,"")</f>
        <v/>
      </c>
      <c r="V812" s="51" t="str">
        <f aca="false">IF(AND(S812&lt;&gt;"",Q812&lt;&gt;""),S812-Q812,"")</f>
        <v/>
      </c>
      <c r="W812" s="52" t="str">
        <f aca="false">IF(AND(Q812&lt;&gt;"",Q812&lt;&gt;0,V812&lt;&gt;""),V812/Q812,"")</f>
        <v/>
      </c>
      <c r="X812" s="53" t="s">
        <v>37</v>
      </c>
      <c r="Y812" s="54" t="str">
        <f aca="false">IF(AND(O812&lt;&gt;"",M812&lt;&gt;"",O812&gt;M812),CONCATENATE("1 : ",TEXT((O812-M812)/M812,"0.00")),IF(AND(O812&lt;&gt;"",M812&lt;&gt;"",O812&lt;M812),CONCATENATE("-1 : ",TEXT((M812-O812)/M812,"0.00")),"—"))</f>
        <v>—</v>
      </c>
      <c r="Z812" s="55" t="str">
        <f aca="false">IF(AND(P812&lt;&gt;"",M812&lt;&gt;"",P812&gt;M812),CONCATENATE("1 : ",TEXT((P812-M812)/M812,"0.00")),"—")</f>
        <v>—</v>
      </c>
      <c r="AA812" s="56" t="str">
        <f aca="false">IF(AND(C812&lt;&gt;"",E812&lt;&gt;""),E812-C812,"")</f>
        <v/>
      </c>
      <c r="AB812" s="42"/>
      <c r="AC812" s="57"/>
      <c r="AD812" s="58"/>
      <c r="AE812" s="59" t="str">
        <f aca="false">IF(G812&lt;&gt;"",HYPERLINK("https://www.tradingview.com/chart/?symbol="&amp;G812&amp;"&amp;interval=60&amp;from="&amp;(AG812-10*3600)&amp;"&amp;to="&amp;(AG812+50*3600),"📈 1H"),"")</f>
        <v/>
      </c>
      <c r="AF812" s="60" t="str">
        <f aca="false">IF(G812&lt;&gt;"",HYPERLINK("https://www.tradingview.com/chart/?symbol="&amp;G812&amp;"&amp;interval=240&amp;from="&amp;(AG812-10*14400)&amp;"&amp;to="&amp;(AG812+50*14400),"📈 4H"),"")</f>
        <v/>
      </c>
      <c r="AG812" s="36" t="str">
        <f aca="false">IF(C812&lt;&gt;"",INT((C812+IF(D812&lt;&gt;"",D812,0)-DATE(1970,1,1))*86400),"")</f>
        <v/>
      </c>
    </row>
    <row r="813" customFormat="false" ht="19.5" hidden="false" customHeight="true" outlineLevel="0" collapsed="false">
      <c r="A813" s="12" t="n">
        <f aca="false">ROW()-4</f>
        <v>809</v>
      </c>
      <c r="B813" s="13"/>
      <c r="C813" s="14"/>
      <c r="D813" s="15"/>
      <c r="E813" s="14"/>
      <c r="F813" s="15"/>
      <c r="G813" s="16"/>
      <c r="H813" s="17"/>
      <c r="I813" s="18"/>
      <c r="J813" s="19"/>
      <c r="K813" s="14"/>
      <c r="L813" s="17"/>
      <c r="M813" s="19"/>
      <c r="N813" s="20"/>
      <c r="O813" s="19"/>
      <c r="P813" s="21"/>
      <c r="Q813" s="22" t="str">
        <f aca="false">IF(L813="","",IF(M813&lt;&gt;"",M813*L813*100,IF(AND(O813&lt;&gt;"",B813&lt;&gt;""),IFERROR(AVERAGEIF($B$5:$B$1004,B813,$M$5:$M$1004)*L813*100,""),"")))</f>
        <v/>
      </c>
      <c r="R813" s="22" t="str">
        <f aca="false">IF(AND(O813&lt;&gt;"",L813&lt;&gt;""),O813*L813*100,"")</f>
        <v/>
      </c>
      <c r="S813" s="23" t="str">
        <f aca="false">IF(AND(P813&lt;&gt;"",L813&lt;&gt;""),P813*L813*100,"")</f>
        <v/>
      </c>
      <c r="T813" s="24" t="str">
        <f aca="false">IF(AND(Q813&lt;&gt;"",R813&lt;&gt;""),R813-Q813,"")</f>
        <v/>
      </c>
      <c r="U813" s="25" t="str">
        <f aca="false">IF(AND(Q813&lt;&gt;"",Q813&lt;&gt;0,T813&lt;&gt;""),T813/Q813,"")</f>
        <v/>
      </c>
      <c r="V813" s="26" t="str">
        <f aca="false">IF(AND(S813&lt;&gt;"",Q813&lt;&gt;""),S813-Q813,"")</f>
        <v/>
      </c>
      <c r="W813" s="27" t="str">
        <f aca="false">IF(AND(Q813&lt;&gt;"",Q813&lt;&gt;0,V813&lt;&gt;""),V813/Q813,"")</f>
        <v/>
      </c>
      <c r="X813" s="28" t="s">
        <v>37</v>
      </c>
      <c r="Y813" s="29" t="str">
        <f aca="false">IF(AND(O813&lt;&gt;"",M813&lt;&gt;"",O813&gt;M813),CONCATENATE("1 : ",TEXT((O813-M813)/M813,"0.00")),IF(AND(O813&lt;&gt;"",M813&lt;&gt;"",O813&lt;M813),CONCATENATE("-1 : ",TEXT((M813-O813)/M813,"0.00")),"—"))</f>
        <v>—</v>
      </c>
      <c r="Z813" s="30" t="str">
        <f aca="false">IF(AND(P813&lt;&gt;"",M813&lt;&gt;"",P813&gt;M813),CONCATENATE("1 : ",TEXT((P813-M813)/M813,"0.00")),"—")</f>
        <v>—</v>
      </c>
      <c r="AA813" s="31" t="str">
        <f aca="false">IF(AND(C813&lt;&gt;"",E813&lt;&gt;""),E813-C813,"")</f>
        <v/>
      </c>
      <c r="AB813" s="17"/>
      <c r="AC813" s="32"/>
      <c r="AD813" s="33"/>
      <c r="AE813" s="34" t="str">
        <f aca="false">IF(G813&lt;&gt;"",HYPERLINK("https://www.tradingview.com/chart/?symbol="&amp;G813&amp;"&amp;interval=60&amp;from="&amp;(AG813-10*3600)&amp;"&amp;to="&amp;(AG813+50*3600),"📈 1H"),"")</f>
        <v/>
      </c>
      <c r="AF813" s="35" t="str">
        <f aca="false">IF(G813&lt;&gt;"",HYPERLINK("https://www.tradingview.com/chart/?symbol="&amp;G813&amp;"&amp;interval=240&amp;from="&amp;(AG813-10*14400)&amp;"&amp;to="&amp;(AG813+50*14400),"📈 4H"),"")</f>
        <v/>
      </c>
      <c r="AG813" s="36" t="str">
        <f aca="false">IF(C813&lt;&gt;"",INT((C813+IF(D813&lt;&gt;"",D813,0)-DATE(1970,1,1))*86400),"")</f>
        <v/>
      </c>
    </row>
    <row r="814" customFormat="false" ht="19.5" hidden="false" customHeight="true" outlineLevel="0" collapsed="false">
      <c r="A814" s="37" t="n">
        <f aca="false">ROW()-4</f>
        <v>810</v>
      </c>
      <c r="B814" s="38"/>
      <c r="C814" s="39"/>
      <c r="D814" s="40"/>
      <c r="E814" s="39"/>
      <c r="F814" s="40"/>
      <c r="G814" s="41"/>
      <c r="H814" s="42"/>
      <c r="I814" s="43"/>
      <c r="J814" s="44"/>
      <c r="K814" s="39"/>
      <c r="L814" s="42"/>
      <c r="M814" s="44"/>
      <c r="N814" s="45"/>
      <c r="O814" s="44"/>
      <c r="P814" s="46"/>
      <c r="Q814" s="47" t="str">
        <f aca="false">IF(L814="","",IF(M814&lt;&gt;"",M814*L814*100,IF(AND(O814&lt;&gt;"",B814&lt;&gt;""),IFERROR(AVERAGEIF($B$5:$B$1004,B814,$M$5:$M$1004)*L814*100,""),"")))</f>
        <v/>
      </c>
      <c r="R814" s="47" t="str">
        <f aca="false">IF(AND(O814&lt;&gt;"",L814&lt;&gt;""),O814*L814*100,"")</f>
        <v/>
      </c>
      <c r="S814" s="48" t="str">
        <f aca="false">IF(AND(P814&lt;&gt;"",L814&lt;&gt;""),P814*L814*100,"")</f>
        <v/>
      </c>
      <c r="T814" s="49" t="str">
        <f aca="false">IF(AND(Q814&lt;&gt;"",R814&lt;&gt;""),R814-Q814,"")</f>
        <v/>
      </c>
      <c r="U814" s="50" t="str">
        <f aca="false">IF(AND(Q814&lt;&gt;"",Q814&lt;&gt;0,T814&lt;&gt;""),T814/Q814,"")</f>
        <v/>
      </c>
      <c r="V814" s="51" t="str">
        <f aca="false">IF(AND(S814&lt;&gt;"",Q814&lt;&gt;""),S814-Q814,"")</f>
        <v/>
      </c>
      <c r="W814" s="52" t="str">
        <f aca="false">IF(AND(Q814&lt;&gt;"",Q814&lt;&gt;0,V814&lt;&gt;""),V814/Q814,"")</f>
        <v/>
      </c>
      <c r="X814" s="53" t="s">
        <v>37</v>
      </c>
      <c r="Y814" s="54" t="str">
        <f aca="false">IF(AND(O814&lt;&gt;"",M814&lt;&gt;"",O814&gt;M814),CONCATENATE("1 : ",TEXT((O814-M814)/M814,"0.00")),IF(AND(O814&lt;&gt;"",M814&lt;&gt;"",O814&lt;M814),CONCATENATE("-1 : ",TEXT((M814-O814)/M814,"0.00")),"—"))</f>
        <v>—</v>
      </c>
      <c r="Z814" s="55" t="str">
        <f aca="false">IF(AND(P814&lt;&gt;"",M814&lt;&gt;"",P814&gt;M814),CONCATENATE("1 : ",TEXT((P814-M814)/M814,"0.00")),"—")</f>
        <v>—</v>
      </c>
      <c r="AA814" s="56" t="str">
        <f aca="false">IF(AND(C814&lt;&gt;"",E814&lt;&gt;""),E814-C814,"")</f>
        <v/>
      </c>
      <c r="AB814" s="42"/>
      <c r="AC814" s="57"/>
      <c r="AD814" s="58"/>
      <c r="AE814" s="59" t="str">
        <f aca="false">IF(G814&lt;&gt;"",HYPERLINK("https://www.tradingview.com/chart/?symbol="&amp;G814&amp;"&amp;interval=60&amp;from="&amp;(AG814-10*3600)&amp;"&amp;to="&amp;(AG814+50*3600),"📈 1H"),"")</f>
        <v/>
      </c>
      <c r="AF814" s="60" t="str">
        <f aca="false">IF(G814&lt;&gt;"",HYPERLINK("https://www.tradingview.com/chart/?symbol="&amp;G814&amp;"&amp;interval=240&amp;from="&amp;(AG814-10*14400)&amp;"&amp;to="&amp;(AG814+50*14400),"📈 4H"),"")</f>
        <v/>
      </c>
      <c r="AG814" s="36" t="str">
        <f aca="false">IF(C814&lt;&gt;"",INT((C814+IF(D814&lt;&gt;"",D814,0)-DATE(1970,1,1))*86400),"")</f>
        <v/>
      </c>
    </row>
    <row r="815" customFormat="false" ht="19.5" hidden="false" customHeight="true" outlineLevel="0" collapsed="false">
      <c r="A815" s="12" t="n">
        <f aca="false">ROW()-4</f>
        <v>811</v>
      </c>
      <c r="B815" s="13"/>
      <c r="C815" s="14"/>
      <c r="D815" s="15"/>
      <c r="E815" s="14"/>
      <c r="F815" s="15"/>
      <c r="G815" s="16"/>
      <c r="H815" s="17"/>
      <c r="I815" s="18"/>
      <c r="J815" s="19"/>
      <c r="K815" s="14"/>
      <c r="L815" s="17"/>
      <c r="M815" s="19"/>
      <c r="N815" s="20"/>
      <c r="O815" s="19"/>
      <c r="P815" s="21"/>
      <c r="Q815" s="22" t="str">
        <f aca="false">IF(L815="","",IF(M815&lt;&gt;"",M815*L815*100,IF(AND(O815&lt;&gt;"",B815&lt;&gt;""),IFERROR(AVERAGEIF($B$5:$B$1004,B815,$M$5:$M$1004)*L815*100,""),"")))</f>
        <v/>
      </c>
      <c r="R815" s="22" t="str">
        <f aca="false">IF(AND(O815&lt;&gt;"",L815&lt;&gt;""),O815*L815*100,"")</f>
        <v/>
      </c>
      <c r="S815" s="23" t="str">
        <f aca="false">IF(AND(P815&lt;&gt;"",L815&lt;&gt;""),P815*L815*100,"")</f>
        <v/>
      </c>
      <c r="T815" s="24" t="str">
        <f aca="false">IF(AND(Q815&lt;&gt;"",R815&lt;&gt;""),R815-Q815,"")</f>
        <v/>
      </c>
      <c r="U815" s="25" t="str">
        <f aca="false">IF(AND(Q815&lt;&gt;"",Q815&lt;&gt;0,T815&lt;&gt;""),T815/Q815,"")</f>
        <v/>
      </c>
      <c r="V815" s="26" t="str">
        <f aca="false">IF(AND(S815&lt;&gt;"",Q815&lt;&gt;""),S815-Q815,"")</f>
        <v/>
      </c>
      <c r="W815" s="27" t="str">
        <f aca="false">IF(AND(Q815&lt;&gt;"",Q815&lt;&gt;0,V815&lt;&gt;""),V815/Q815,"")</f>
        <v/>
      </c>
      <c r="X815" s="28" t="s">
        <v>37</v>
      </c>
      <c r="Y815" s="29" t="str">
        <f aca="false">IF(AND(O815&lt;&gt;"",M815&lt;&gt;"",O815&gt;M815),CONCATENATE("1 : ",TEXT((O815-M815)/M815,"0.00")),IF(AND(O815&lt;&gt;"",M815&lt;&gt;"",O815&lt;M815),CONCATENATE("-1 : ",TEXT((M815-O815)/M815,"0.00")),"—"))</f>
        <v>—</v>
      </c>
      <c r="Z815" s="30" t="str">
        <f aca="false">IF(AND(P815&lt;&gt;"",M815&lt;&gt;"",P815&gt;M815),CONCATENATE("1 : ",TEXT((P815-M815)/M815,"0.00")),"—")</f>
        <v>—</v>
      </c>
      <c r="AA815" s="31" t="str">
        <f aca="false">IF(AND(C815&lt;&gt;"",E815&lt;&gt;""),E815-C815,"")</f>
        <v/>
      </c>
      <c r="AB815" s="17"/>
      <c r="AC815" s="32"/>
      <c r="AD815" s="33"/>
      <c r="AE815" s="34" t="str">
        <f aca="false">IF(G815&lt;&gt;"",HYPERLINK("https://www.tradingview.com/chart/?symbol="&amp;G815&amp;"&amp;interval=60&amp;from="&amp;(AG815-10*3600)&amp;"&amp;to="&amp;(AG815+50*3600),"📈 1H"),"")</f>
        <v/>
      </c>
      <c r="AF815" s="35" t="str">
        <f aca="false">IF(G815&lt;&gt;"",HYPERLINK("https://www.tradingview.com/chart/?symbol="&amp;G815&amp;"&amp;interval=240&amp;from="&amp;(AG815-10*14400)&amp;"&amp;to="&amp;(AG815+50*14400),"📈 4H"),"")</f>
        <v/>
      </c>
      <c r="AG815" s="36" t="str">
        <f aca="false">IF(C815&lt;&gt;"",INT((C815+IF(D815&lt;&gt;"",D815,0)-DATE(1970,1,1))*86400),"")</f>
        <v/>
      </c>
    </row>
    <row r="816" customFormat="false" ht="19.5" hidden="false" customHeight="true" outlineLevel="0" collapsed="false">
      <c r="A816" s="37" t="n">
        <f aca="false">ROW()-4</f>
        <v>812</v>
      </c>
      <c r="B816" s="38"/>
      <c r="C816" s="39"/>
      <c r="D816" s="40"/>
      <c r="E816" s="39"/>
      <c r="F816" s="40"/>
      <c r="G816" s="41"/>
      <c r="H816" s="42"/>
      <c r="I816" s="43"/>
      <c r="J816" s="44"/>
      <c r="K816" s="39"/>
      <c r="L816" s="42"/>
      <c r="M816" s="44"/>
      <c r="N816" s="45"/>
      <c r="O816" s="44"/>
      <c r="P816" s="46"/>
      <c r="Q816" s="47" t="str">
        <f aca="false">IF(L816="","",IF(M816&lt;&gt;"",M816*L816*100,IF(AND(O816&lt;&gt;"",B816&lt;&gt;""),IFERROR(AVERAGEIF($B$5:$B$1004,B816,$M$5:$M$1004)*L816*100,""),"")))</f>
        <v/>
      </c>
      <c r="R816" s="47" t="str">
        <f aca="false">IF(AND(O816&lt;&gt;"",L816&lt;&gt;""),O816*L816*100,"")</f>
        <v/>
      </c>
      <c r="S816" s="48" t="str">
        <f aca="false">IF(AND(P816&lt;&gt;"",L816&lt;&gt;""),P816*L816*100,"")</f>
        <v/>
      </c>
      <c r="T816" s="49" t="str">
        <f aca="false">IF(AND(Q816&lt;&gt;"",R816&lt;&gt;""),R816-Q816,"")</f>
        <v/>
      </c>
      <c r="U816" s="50" t="str">
        <f aca="false">IF(AND(Q816&lt;&gt;"",Q816&lt;&gt;0,T816&lt;&gt;""),T816/Q816,"")</f>
        <v/>
      </c>
      <c r="V816" s="51" t="str">
        <f aca="false">IF(AND(S816&lt;&gt;"",Q816&lt;&gt;""),S816-Q816,"")</f>
        <v/>
      </c>
      <c r="W816" s="52" t="str">
        <f aca="false">IF(AND(Q816&lt;&gt;"",Q816&lt;&gt;0,V816&lt;&gt;""),V816/Q816,"")</f>
        <v/>
      </c>
      <c r="X816" s="53" t="s">
        <v>37</v>
      </c>
      <c r="Y816" s="54" t="str">
        <f aca="false">IF(AND(O816&lt;&gt;"",M816&lt;&gt;"",O816&gt;M816),CONCATENATE("1 : ",TEXT((O816-M816)/M816,"0.00")),IF(AND(O816&lt;&gt;"",M816&lt;&gt;"",O816&lt;M816),CONCATENATE("-1 : ",TEXT((M816-O816)/M816,"0.00")),"—"))</f>
        <v>—</v>
      </c>
      <c r="Z816" s="55" t="str">
        <f aca="false">IF(AND(P816&lt;&gt;"",M816&lt;&gt;"",P816&gt;M816),CONCATENATE("1 : ",TEXT((P816-M816)/M816,"0.00")),"—")</f>
        <v>—</v>
      </c>
      <c r="AA816" s="56" t="str">
        <f aca="false">IF(AND(C816&lt;&gt;"",E816&lt;&gt;""),E816-C816,"")</f>
        <v/>
      </c>
      <c r="AB816" s="42"/>
      <c r="AC816" s="57"/>
      <c r="AD816" s="58"/>
      <c r="AE816" s="59" t="str">
        <f aca="false">IF(G816&lt;&gt;"",HYPERLINK("https://www.tradingview.com/chart/?symbol="&amp;G816&amp;"&amp;interval=60&amp;from="&amp;(AG816-10*3600)&amp;"&amp;to="&amp;(AG816+50*3600),"📈 1H"),"")</f>
        <v/>
      </c>
      <c r="AF816" s="60" t="str">
        <f aca="false">IF(G816&lt;&gt;"",HYPERLINK("https://www.tradingview.com/chart/?symbol="&amp;G816&amp;"&amp;interval=240&amp;from="&amp;(AG816-10*14400)&amp;"&amp;to="&amp;(AG816+50*14400),"📈 4H"),"")</f>
        <v/>
      </c>
      <c r="AG816" s="36" t="str">
        <f aca="false">IF(C816&lt;&gt;"",INT((C816+IF(D816&lt;&gt;"",D816,0)-DATE(1970,1,1))*86400),"")</f>
        <v/>
      </c>
    </row>
    <row r="817" customFormat="false" ht="19.5" hidden="false" customHeight="true" outlineLevel="0" collapsed="false">
      <c r="A817" s="12" t="n">
        <f aca="false">ROW()-4</f>
        <v>813</v>
      </c>
      <c r="B817" s="13"/>
      <c r="C817" s="14"/>
      <c r="D817" s="15"/>
      <c r="E817" s="14"/>
      <c r="F817" s="15"/>
      <c r="G817" s="16"/>
      <c r="H817" s="17"/>
      <c r="I817" s="18"/>
      <c r="J817" s="19"/>
      <c r="K817" s="14"/>
      <c r="L817" s="17"/>
      <c r="M817" s="19"/>
      <c r="N817" s="20"/>
      <c r="O817" s="19"/>
      <c r="P817" s="21"/>
      <c r="Q817" s="22" t="str">
        <f aca="false">IF(L817="","",IF(M817&lt;&gt;"",M817*L817*100,IF(AND(O817&lt;&gt;"",B817&lt;&gt;""),IFERROR(AVERAGEIF($B$5:$B$1004,B817,$M$5:$M$1004)*L817*100,""),"")))</f>
        <v/>
      </c>
      <c r="R817" s="22" t="str">
        <f aca="false">IF(AND(O817&lt;&gt;"",L817&lt;&gt;""),O817*L817*100,"")</f>
        <v/>
      </c>
      <c r="S817" s="23" t="str">
        <f aca="false">IF(AND(P817&lt;&gt;"",L817&lt;&gt;""),P817*L817*100,"")</f>
        <v/>
      </c>
      <c r="T817" s="24" t="str">
        <f aca="false">IF(AND(Q817&lt;&gt;"",R817&lt;&gt;""),R817-Q817,"")</f>
        <v/>
      </c>
      <c r="U817" s="25" t="str">
        <f aca="false">IF(AND(Q817&lt;&gt;"",Q817&lt;&gt;0,T817&lt;&gt;""),T817/Q817,"")</f>
        <v/>
      </c>
      <c r="V817" s="26" t="str">
        <f aca="false">IF(AND(S817&lt;&gt;"",Q817&lt;&gt;""),S817-Q817,"")</f>
        <v/>
      </c>
      <c r="W817" s="27" t="str">
        <f aca="false">IF(AND(Q817&lt;&gt;"",Q817&lt;&gt;0,V817&lt;&gt;""),V817/Q817,"")</f>
        <v/>
      </c>
      <c r="X817" s="28" t="s">
        <v>37</v>
      </c>
      <c r="Y817" s="29" t="str">
        <f aca="false">IF(AND(O817&lt;&gt;"",M817&lt;&gt;"",O817&gt;M817),CONCATENATE("1 : ",TEXT((O817-M817)/M817,"0.00")),IF(AND(O817&lt;&gt;"",M817&lt;&gt;"",O817&lt;M817),CONCATENATE("-1 : ",TEXT((M817-O817)/M817,"0.00")),"—"))</f>
        <v>—</v>
      </c>
      <c r="Z817" s="30" t="str">
        <f aca="false">IF(AND(P817&lt;&gt;"",M817&lt;&gt;"",P817&gt;M817),CONCATENATE("1 : ",TEXT((P817-M817)/M817,"0.00")),"—")</f>
        <v>—</v>
      </c>
      <c r="AA817" s="31" t="str">
        <f aca="false">IF(AND(C817&lt;&gt;"",E817&lt;&gt;""),E817-C817,"")</f>
        <v/>
      </c>
      <c r="AB817" s="17"/>
      <c r="AC817" s="32"/>
      <c r="AD817" s="33"/>
      <c r="AE817" s="34" t="str">
        <f aca="false">IF(G817&lt;&gt;"",HYPERLINK("https://www.tradingview.com/chart/?symbol="&amp;G817&amp;"&amp;interval=60&amp;from="&amp;(AG817-10*3600)&amp;"&amp;to="&amp;(AG817+50*3600),"📈 1H"),"")</f>
        <v/>
      </c>
      <c r="AF817" s="35" t="str">
        <f aca="false">IF(G817&lt;&gt;"",HYPERLINK("https://www.tradingview.com/chart/?symbol="&amp;G817&amp;"&amp;interval=240&amp;from="&amp;(AG817-10*14400)&amp;"&amp;to="&amp;(AG817+50*14400),"📈 4H"),"")</f>
        <v/>
      </c>
      <c r="AG817" s="36" t="str">
        <f aca="false">IF(C817&lt;&gt;"",INT((C817+IF(D817&lt;&gt;"",D817,0)-DATE(1970,1,1))*86400),"")</f>
        <v/>
      </c>
    </row>
    <row r="818" customFormat="false" ht="19.5" hidden="false" customHeight="true" outlineLevel="0" collapsed="false">
      <c r="A818" s="37" t="n">
        <f aca="false">ROW()-4</f>
        <v>814</v>
      </c>
      <c r="B818" s="38"/>
      <c r="C818" s="39"/>
      <c r="D818" s="40"/>
      <c r="E818" s="39"/>
      <c r="F818" s="40"/>
      <c r="G818" s="41"/>
      <c r="H818" s="42"/>
      <c r="I818" s="43"/>
      <c r="J818" s="44"/>
      <c r="K818" s="39"/>
      <c r="L818" s="42"/>
      <c r="M818" s="44"/>
      <c r="N818" s="45"/>
      <c r="O818" s="44"/>
      <c r="P818" s="46"/>
      <c r="Q818" s="47" t="str">
        <f aca="false">IF(L818="","",IF(M818&lt;&gt;"",M818*L818*100,IF(AND(O818&lt;&gt;"",B818&lt;&gt;""),IFERROR(AVERAGEIF($B$5:$B$1004,B818,$M$5:$M$1004)*L818*100,""),"")))</f>
        <v/>
      </c>
      <c r="R818" s="47" t="str">
        <f aca="false">IF(AND(O818&lt;&gt;"",L818&lt;&gt;""),O818*L818*100,"")</f>
        <v/>
      </c>
      <c r="S818" s="48" t="str">
        <f aca="false">IF(AND(P818&lt;&gt;"",L818&lt;&gt;""),P818*L818*100,"")</f>
        <v/>
      </c>
      <c r="T818" s="49" t="str">
        <f aca="false">IF(AND(Q818&lt;&gt;"",R818&lt;&gt;""),R818-Q818,"")</f>
        <v/>
      </c>
      <c r="U818" s="50" t="str">
        <f aca="false">IF(AND(Q818&lt;&gt;"",Q818&lt;&gt;0,T818&lt;&gt;""),T818/Q818,"")</f>
        <v/>
      </c>
      <c r="V818" s="51" t="str">
        <f aca="false">IF(AND(S818&lt;&gt;"",Q818&lt;&gt;""),S818-Q818,"")</f>
        <v/>
      </c>
      <c r="W818" s="52" t="str">
        <f aca="false">IF(AND(Q818&lt;&gt;"",Q818&lt;&gt;0,V818&lt;&gt;""),V818/Q818,"")</f>
        <v/>
      </c>
      <c r="X818" s="53" t="s">
        <v>37</v>
      </c>
      <c r="Y818" s="54" t="str">
        <f aca="false">IF(AND(O818&lt;&gt;"",M818&lt;&gt;"",O818&gt;M818),CONCATENATE("1 : ",TEXT((O818-M818)/M818,"0.00")),IF(AND(O818&lt;&gt;"",M818&lt;&gt;"",O818&lt;M818),CONCATENATE("-1 : ",TEXT((M818-O818)/M818,"0.00")),"—"))</f>
        <v>—</v>
      </c>
      <c r="Z818" s="55" t="str">
        <f aca="false">IF(AND(P818&lt;&gt;"",M818&lt;&gt;"",P818&gt;M818),CONCATENATE("1 : ",TEXT((P818-M818)/M818,"0.00")),"—")</f>
        <v>—</v>
      </c>
      <c r="AA818" s="56" t="str">
        <f aca="false">IF(AND(C818&lt;&gt;"",E818&lt;&gt;""),E818-C818,"")</f>
        <v/>
      </c>
      <c r="AB818" s="42"/>
      <c r="AC818" s="57"/>
      <c r="AD818" s="58"/>
      <c r="AE818" s="59" t="str">
        <f aca="false">IF(G818&lt;&gt;"",HYPERLINK("https://www.tradingview.com/chart/?symbol="&amp;G818&amp;"&amp;interval=60&amp;from="&amp;(AG818-10*3600)&amp;"&amp;to="&amp;(AG818+50*3600),"📈 1H"),"")</f>
        <v/>
      </c>
      <c r="AF818" s="60" t="str">
        <f aca="false">IF(G818&lt;&gt;"",HYPERLINK("https://www.tradingview.com/chart/?symbol="&amp;G818&amp;"&amp;interval=240&amp;from="&amp;(AG818-10*14400)&amp;"&amp;to="&amp;(AG818+50*14400),"📈 4H"),"")</f>
        <v/>
      </c>
      <c r="AG818" s="36" t="str">
        <f aca="false">IF(C818&lt;&gt;"",INT((C818+IF(D818&lt;&gt;"",D818,0)-DATE(1970,1,1))*86400),"")</f>
        <v/>
      </c>
    </row>
    <row r="819" customFormat="false" ht="19.5" hidden="false" customHeight="true" outlineLevel="0" collapsed="false">
      <c r="A819" s="12" t="n">
        <f aca="false">ROW()-4</f>
        <v>815</v>
      </c>
      <c r="B819" s="13"/>
      <c r="C819" s="14"/>
      <c r="D819" s="15"/>
      <c r="E819" s="14"/>
      <c r="F819" s="15"/>
      <c r="G819" s="16"/>
      <c r="H819" s="17"/>
      <c r="I819" s="18"/>
      <c r="J819" s="19"/>
      <c r="K819" s="14"/>
      <c r="L819" s="17"/>
      <c r="M819" s="19"/>
      <c r="N819" s="20"/>
      <c r="O819" s="19"/>
      <c r="P819" s="21"/>
      <c r="Q819" s="22" t="str">
        <f aca="false">IF(L819="","",IF(M819&lt;&gt;"",M819*L819*100,IF(AND(O819&lt;&gt;"",B819&lt;&gt;""),IFERROR(AVERAGEIF($B$5:$B$1004,B819,$M$5:$M$1004)*L819*100,""),"")))</f>
        <v/>
      </c>
      <c r="R819" s="22" t="str">
        <f aca="false">IF(AND(O819&lt;&gt;"",L819&lt;&gt;""),O819*L819*100,"")</f>
        <v/>
      </c>
      <c r="S819" s="23" t="str">
        <f aca="false">IF(AND(P819&lt;&gt;"",L819&lt;&gt;""),P819*L819*100,"")</f>
        <v/>
      </c>
      <c r="T819" s="24" t="str">
        <f aca="false">IF(AND(Q819&lt;&gt;"",R819&lt;&gt;""),R819-Q819,"")</f>
        <v/>
      </c>
      <c r="U819" s="25" t="str">
        <f aca="false">IF(AND(Q819&lt;&gt;"",Q819&lt;&gt;0,T819&lt;&gt;""),T819/Q819,"")</f>
        <v/>
      </c>
      <c r="V819" s="26" t="str">
        <f aca="false">IF(AND(S819&lt;&gt;"",Q819&lt;&gt;""),S819-Q819,"")</f>
        <v/>
      </c>
      <c r="W819" s="27" t="str">
        <f aca="false">IF(AND(Q819&lt;&gt;"",Q819&lt;&gt;0,V819&lt;&gt;""),V819/Q819,"")</f>
        <v/>
      </c>
      <c r="X819" s="28" t="s">
        <v>37</v>
      </c>
      <c r="Y819" s="29" t="str">
        <f aca="false">IF(AND(O819&lt;&gt;"",M819&lt;&gt;"",O819&gt;M819),CONCATENATE("1 : ",TEXT((O819-M819)/M819,"0.00")),IF(AND(O819&lt;&gt;"",M819&lt;&gt;"",O819&lt;M819),CONCATENATE("-1 : ",TEXT((M819-O819)/M819,"0.00")),"—"))</f>
        <v>—</v>
      </c>
      <c r="Z819" s="30" t="str">
        <f aca="false">IF(AND(P819&lt;&gt;"",M819&lt;&gt;"",P819&gt;M819),CONCATENATE("1 : ",TEXT((P819-M819)/M819,"0.00")),"—")</f>
        <v>—</v>
      </c>
      <c r="AA819" s="31" t="str">
        <f aca="false">IF(AND(C819&lt;&gt;"",E819&lt;&gt;""),E819-C819,"")</f>
        <v/>
      </c>
      <c r="AB819" s="17"/>
      <c r="AC819" s="32"/>
      <c r="AD819" s="33"/>
      <c r="AE819" s="34" t="str">
        <f aca="false">IF(G819&lt;&gt;"",HYPERLINK("https://www.tradingview.com/chart/?symbol="&amp;G819&amp;"&amp;interval=60&amp;from="&amp;(AG819-10*3600)&amp;"&amp;to="&amp;(AG819+50*3600),"📈 1H"),"")</f>
        <v/>
      </c>
      <c r="AF819" s="35" t="str">
        <f aca="false">IF(G819&lt;&gt;"",HYPERLINK("https://www.tradingview.com/chart/?symbol="&amp;G819&amp;"&amp;interval=240&amp;from="&amp;(AG819-10*14400)&amp;"&amp;to="&amp;(AG819+50*14400),"📈 4H"),"")</f>
        <v/>
      </c>
      <c r="AG819" s="36" t="str">
        <f aca="false">IF(C819&lt;&gt;"",INT((C819+IF(D819&lt;&gt;"",D819,0)-DATE(1970,1,1))*86400),"")</f>
        <v/>
      </c>
    </row>
    <row r="820" customFormat="false" ht="19.5" hidden="false" customHeight="true" outlineLevel="0" collapsed="false">
      <c r="A820" s="37" t="n">
        <f aca="false">ROW()-4</f>
        <v>816</v>
      </c>
      <c r="B820" s="38"/>
      <c r="C820" s="39"/>
      <c r="D820" s="40"/>
      <c r="E820" s="39"/>
      <c r="F820" s="40"/>
      <c r="G820" s="41"/>
      <c r="H820" s="42"/>
      <c r="I820" s="43"/>
      <c r="J820" s="44"/>
      <c r="K820" s="39"/>
      <c r="L820" s="42"/>
      <c r="M820" s="44"/>
      <c r="N820" s="45"/>
      <c r="O820" s="44"/>
      <c r="P820" s="46"/>
      <c r="Q820" s="47" t="str">
        <f aca="false">IF(L820="","",IF(M820&lt;&gt;"",M820*L820*100,IF(AND(O820&lt;&gt;"",B820&lt;&gt;""),IFERROR(AVERAGEIF($B$5:$B$1004,B820,$M$5:$M$1004)*L820*100,""),"")))</f>
        <v/>
      </c>
      <c r="R820" s="47" t="str">
        <f aca="false">IF(AND(O820&lt;&gt;"",L820&lt;&gt;""),O820*L820*100,"")</f>
        <v/>
      </c>
      <c r="S820" s="48" t="str">
        <f aca="false">IF(AND(P820&lt;&gt;"",L820&lt;&gt;""),P820*L820*100,"")</f>
        <v/>
      </c>
      <c r="T820" s="49" t="str">
        <f aca="false">IF(AND(Q820&lt;&gt;"",R820&lt;&gt;""),R820-Q820,"")</f>
        <v/>
      </c>
      <c r="U820" s="50" t="str">
        <f aca="false">IF(AND(Q820&lt;&gt;"",Q820&lt;&gt;0,T820&lt;&gt;""),T820/Q820,"")</f>
        <v/>
      </c>
      <c r="V820" s="51" t="str">
        <f aca="false">IF(AND(S820&lt;&gt;"",Q820&lt;&gt;""),S820-Q820,"")</f>
        <v/>
      </c>
      <c r="W820" s="52" t="str">
        <f aca="false">IF(AND(Q820&lt;&gt;"",Q820&lt;&gt;0,V820&lt;&gt;""),V820/Q820,"")</f>
        <v/>
      </c>
      <c r="X820" s="53" t="s">
        <v>37</v>
      </c>
      <c r="Y820" s="54" t="str">
        <f aca="false">IF(AND(O820&lt;&gt;"",M820&lt;&gt;"",O820&gt;M820),CONCATENATE("1 : ",TEXT((O820-M820)/M820,"0.00")),IF(AND(O820&lt;&gt;"",M820&lt;&gt;"",O820&lt;M820),CONCATENATE("-1 : ",TEXT((M820-O820)/M820,"0.00")),"—"))</f>
        <v>—</v>
      </c>
      <c r="Z820" s="55" t="str">
        <f aca="false">IF(AND(P820&lt;&gt;"",M820&lt;&gt;"",P820&gt;M820),CONCATENATE("1 : ",TEXT((P820-M820)/M820,"0.00")),"—")</f>
        <v>—</v>
      </c>
      <c r="AA820" s="56" t="str">
        <f aca="false">IF(AND(C820&lt;&gt;"",E820&lt;&gt;""),E820-C820,"")</f>
        <v/>
      </c>
      <c r="AB820" s="42"/>
      <c r="AC820" s="57"/>
      <c r="AD820" s="58"/>
      <c r="AE820" s="59" t="str">
        <f aca="false">IF(G820&lt;&gt;"",HYPERLINK("https://www.tradingview.com/chart/?symbol="&amp;G820&amp;"&amp;interval=60&amp;from="&amp;(AG820-10*3600)&amp;"&amp;to="&amp;(AG820+50*3600),"📈 1H"),"")</f>
        <v/>
      </c>
      <c r="AF820" s="60" t="str">
        <f aca="false">IF(G820&lt;&gt;"",HYPERLINK("https://www.tradingview.com/chart/?symbol="&amp;G820&amp;"&amp;interval=240&amp;from="&amp;(AG820-10*14400)&amp;"&amp;to="&amp;(AG820+50*14400),"📈 4H"),"")</f>
        <v/>
      </c>
      <c r="AG820" s="36" t="str">
        <f aca="false">IF(C820&lt;&gt;"",INT((C820+IF(D820&lt;&gt;"",D820,0)-DATE(1970,1,1))*86400),"")</f>
        <v/>
      </c>
    </row>
    <row r="821" customFormat="false" ht="19.5" hidden="false" customHeight="true" outlineLevel="0" collapsed="false">
      <c r="A821" s="12" t="n">
        <f aca="false">ROW()-4</f>
        <v>817</v>
      </c>
      <c r="B821" s="13"/>
      <c r="C821" s="14"/>
      <c r="D821" s="15"/>
      <c r="E821" s="14"/>
      <c r="F821" s="15"/>
      <c r="G821" s="16"/>
      <c r="H821" s="17"/>
      <c r="I821" s="18"/>
      <c r="J821" s="19"/>
      <c r="K821" s="14"/>
      <c r="L821" s="17"/>
      <c r="M821" s="19"/>
      <c r="N821" s="20"/>
      <c r="O821" s="19"/>
      <c r="P821" s="21"/>
      <c r="Q821" s="22" t="str">
        <f aca="false">IF(L821="","",IF(M821&lt;&gt;"",M821*L821*100,IF(AND(O821&lt;&gt;"",B821&lt;&gt;""),IFERROR(AVERAGEIF($B$5:$B$1004,B821,$M$5:$M$1004)*L821*100,""),"")))</f>
        <v/>
      </c>
      <c r="R821" s="22" t="str">
        <f aca="false">IF(AND(O821&lt;&gt;"",L821&lt;&gt;""),O821*L821*100,"")</f>
        <v/>
      </c>
      <c r="S821" s="23" t="str">
        <f aca="false">IF(AND(P821&lt;&gt;"",L821&lt;&gt;""),P821*L821*100,"")</f>
        <v/>
      </c>
      <c r="T821" s="24" t="str">
        <f aca="false">IF(AND(Q821&lt;&gt;"",R821&lt;&gt;""),R821-Q821,"")</f>
        <v/>
      </c>
      <c r="U821" s="25" t="str">
        <f aca="false">IF(AND(Q821&lt;&gt;"",Q821&lt;&gt;0,T821&lt;&gt;""),T821/Q821,"")</f>
        <v/>
      </c>
      <c r="V821" s="26" t="str">
        <f aca="false">IF(AND(S821&lt;&gt;"",Q821&lt;&gt;""),S821-Q821,"")</f>
        <v/>
      </c>
      <c r="W821" s="27" t="str">
        <f aca="false">IF(AND(Q821&lt;&gt;"",Q821&lt;&gt;0,V821&lt;&gt;""),V821/Q821,"")</f>
        <v/>
      </c>
      <c r="X821" s="28" t="s">
        <v>37</v>
      </c>
      <c r="Y821" s="29" t="str">
        <f aca="false">IF(AND(O821&lt;&gt;"",M821&lt;&gt;"",O821&gt;M821),CONCATENATE("1 : ",TEXT((O821-M821)/M821,"0.00")),IF(AND(O821&lt;&gt;"",M821&lt;&gt;"",O821&lt;M821),CONCATENATE("-1 : ",TEXT((M821-O821)/M821,"0.00")),"—"))</f>
        <v>—</v>
      </c>
      <c r="Z821" s="30" t="str">
        <f aca="false">IF(AND(P821&lt;&gt;"",M821&lt;&gt;"",P821&gt;M821),CONCATENATE("1 : ",TEXT((P821-M821)/M821,"0.00")),"—")</f>
        <v>—</v>
      </c>
      <c r="AA821" s="31" t="str">
        <f aca="false">IF(AND(C821&lt;&gt;"",E821&lt;&gt;""),E821-C821,"")</f>
        <v/>
      </c>
      <c r="AB821" s="17"/>
      <c r="AC821" s="32"/>
      <c r="AD821" s="33"/>
      <c r="AE821" s="34" t="str">
        <f aca="false">IF(G821&lt;&gt;"",HYPERLINK("https://www.tradingview.com/chart/?symbol="&amp;G821&amp;"&amp;interval=60&amp;from="&amp;(AG821-10*3600)&amp;"&amp;to="&amp;(AG821+50*3600),"📈 1H"),"")</f>
        <v/>
      </c>
      <c r="AF821" s="35" t="str">
        <f aca="false">IF(G821&lt;&gt;"",HYPERLINK("https://www.tradingview.com/chart/?symbol="&amp;G821&amp;"&amp;interval=240&amp;from="&amp;(AG821-10*14400)&amp;"&amp;to="&amp;(AG821+50*14400),"📈 4H"),"")</f>
        <v/>
      </c>
      <c r="AG821" s="36" t="str">
        <f aca="false">IF(C821&lt;&gt;"",INT((C821+IF(D821&lt;&gt;"",D821,0)-DATE(1970,1,1))*86400),"")</f>
        <v/>
      </c>
    </row>
    <row r="822" customFormat="false" ht="19.5" hidden="false" customHeight="true" outlineLevel="0" collapsed="false">
      <c r="A822" s="37" t="n">
        <f aca="false">ROW()-4</f>
        <v>818</v>
      </c>
      <c r="B822" s="38"/>
      <c r="C822" s="39"/>
      <c r="D822" s="40"/>
      <c r="E822" s="39"/>
      <c r="F822" s="40"/>
      <c r="G822" s="41"/>
      <c r="H822" s="42"/>
      <c r="I822" s="43"/>
      <c r="J822" s="44"/>
      <c r="K822" s="39"/>
      <c r="L822" s="42"/>
      <c r="M822" s="44"/>
      <c r="N822" s="45"/>
      <c r="O822" s="44"/>
      <c r="P822" s="46"/>
      <c r="Q822" s="47" t="str">
        <f aca="false">IF(L822="","",IF(M822&lt;&gt;"",M822*L822*100,IF(AND(O822&lt;&gt;"",B822&lt;&gt;""),IFERROR(AVERAGEIF($B$5:$B$1004,B822,$M$5:$M$1004)*L822*100,""),"")))</f>
        <v/>
      </c>
      <c r="R822" s="47" t="str">
        <f aca="false">IF(AND(O822&lt;&gt;"",L822&lt;&gt;""),O822*L822*100,"")</f>
        <v/>
      </c>
      <c r="S822" s="48" t="str">
        <f aca="false">IF(AND(P822&lt;&gt;"",L822&lt;&gt;""),P822*L822*100,"")</f>
        <v/>
      </c>
      <c r="T822" s="49" t="str">
        <f aca="false">IF(AND(Q822&lt;&gt;"",R822&lt;&gt;""),R822-Q822,"")</f>
        <v/>
      </c>
      <c r="U822" s="50" t="str">
        <f aca="false">IF(AND(Q822&lt;&gt;"",Q822&lt;&gt;0,T822&lt;&gt;""),T822/Q822,"")</f>
        <v/>
      </c>
      <c r="V822" s="51" t="str">
        <f aca="false">IF(AND(S822&lt;&gt;"",Q822&lt;&gt;""),S822-Q822,"")</f>
        <v/>
      </c>
      <c r="W822" s="52" t="str">
        <f aca="false">IF(AND(Q822&lt;&gt;"",Q822&lt;&gt;0,V822&lt;&gt;""),V822/Q822,"")</f>
        <v/>
      </c>
      <c r="X822" s="53" t="s">
        <v>37</v>
      </c>
      <c r="Y822" s="54" t="str">
        <f aca="false">IF(AND(O822&lt;&gt;"",M822&lt;&gt;"",O822&gt;M822),CONCATENATE("1 : ",TEXT((O822-M822)/M822,"0.00")),IF(AND(O822&lt;&gt;"",M822&lt;&gt;"",O822&lt;M822),CONCATENATE("-1 : ",TEXT((M822-O822)/M822,"0.00")),"—"))</f>
        <v>—</v>
      </c>
      <c r="Z822" s="55" t="str">
        <f aca="false">IF(AND(P822&lt;&gt;"",M822&lt;&gt;"",P822&gt;M822),CONCATENATE("1 : ",TEXT((P822-M822)/M822,"0.00")),"—")</f>
        <v>—</v>
      </c>
      <c r="AA822" s="56" t="str">
        <f aca="false">IF(AND(C822&lt;&gt;"",E822&lt;&gt;""),E822-C822,"")</f>
        <v/>
      </c>
      <c r="AB822" s="42"/>
      <c r="AC822" s="57"/>
      <c r="AD822" s="58"/>
      <c r="AE822" s="59" t="str">
        <f aca="false">IF(G822&lt;&gt;"",HYPERLINK("https://www.tradingview.com/chart/?symbol="&amp;G822&amp;"&amp;interval=60&amp;from="&amp;(AG822-10*3600)&amp;"&amp;to="&amp;(AG822+50*3600),"📈 1H"),"")</f>
        <v/>
      </c>
      <c r="AF822" s="60" t="str">
        <f aca="false">IF(G822&lt;&gt;"",HYPERLINK("https://www.tradingview.com/chart/?symbol="&amp;G822&amp;"&amp;interval=240&amp;from="&amp;(AG822-10*14400)&amp;"&amp;to="&amp;(AG822+50*14400),"📈 4H"),"")</f>
        <v/>
      </c>
      <c r="AG822" s="36" t="str">
        <f aca="false">IF(C822&lt;&gt;"",INT((C822+IF(D822&lt;&gt;"",D822,0)-DATE(1970,1,1))*86400),"")</f>
        <v/>
      </c>
    </row>
    <row r="823" customFormat="false" ht="19.5" hidden="false" customHeight="true" outlineLevel="0" collapsed="false">
      <c r="A823" s="12" t="n">
        <f aca="false">ROW()-4</f>
        <v>819</v>
      </c>
      <c r="B823" s="13"/>
      <c r="C823" s="14"/>
      <c r="D823" s="15"/>
      <c r="E823" s="14"/>
      <c r="F823" s="15"/>
      <c r="G823" s="16"/>
      <c r="H823" s="17"/>
      <c r="I823" s="18"/>
      <c r="J823" s="19"/>
      <c r="K823" s="14"/>
      <c r="L823" s="17"/>
      <c r="M823" s="19"/>
      <c r="N823" s="20"/>
      <c r="O823" s="19"/>
      <c r="P823" s="21"/>
      <c r="Q823" s="22" t="str">
        <f aca="false">IF(L823="","",IF(M823&lt;&gt;"",M823*L823*100,IF(AND(O823&lt;&gt;"",B823&lt;&gt;""),IFERROR(AVERAGEIF($B$5:$B$1004,B823,$M$5:$M$1004)*L823*100,""),"")))</f>
        <v/>
      </c>
      <c r="R823" s="22" t="str">
        <f aca="false">IF(AND(O823&lt;&gt;"",L823&lt;&gt;""),O823*L823*100,"")</f>
        <v/>
      </c>
      <c r="S823" s="23" t="str">
        <f aca="false">IF(AND(P823&lt;&gt;"",L823&lt;&gt;""),P823*L823*100,"")</f>
        <v/>
      </c>
      <c r="T823" s="24" t="str">
        <f aca="false">IF(AND(Q823&lt;&gt;"",R823&lt;&gt;""),R823-Q823,"")</f>
        <v/>
      </c>
      <c r="U823" s="25" t="str">
        <f aca="false">IF(AND(Q823&lt;&gt;"",Q823&lt;&gt;0,T823&lt;&gt;""),T823/Q823,"")</f>
        <v/>
      </c>
      <c r="V823" s="26" t="str">
        <f aca="false">IF(AND(S823&lt;&gt;"",Q823&lt;&gt;""),S823-Q823,"")</f>
        <v/>
      </c>
      <c r="W823" s="27" t="str">
        <f aca="false">IF(AND(Q823&lt;&gt;"",Q823&lt;&gt;0,V823&lt;&gt;""),V823/Q823,"")</f>
        <v/>
      </c>
      <c r="X823" s="28" t="s">
        <v>37</v>
      </c>
      <c r="Y823" s="29" t="str">
        <f aca="false">IF(AND(O823&lt;&gt;"",M823&lt;&gt;"",O823&gt;M823),CONCATENATE("1 : ",TEXT((O823-M823)/M823,"0.00")),IF(AND(O823&lt;&gt;"",M823&lt;&gt;"",O823&lt;M823),CONCATENATE("-1 : ",TEXT((M823-O823)/M823,"0.00")),"—"))</f>
        <v>—</v>
      </c>
      <c r="Z823" s="30" t="str">
        <f aca="false">IF(AND(P823&lt;&gt;"",M823&lt;&gt;"",P823&gt;M823),CONCATENATE("1 : ",TEXT((P823-M823)/M823,"0.00")),"—")</f>
        <v>—</v>
      </c>
      <c r="AA823" s="31" t="str">
        <f aca="false">IF(AND(C823&lt;&gt;"",E823&lt;&gt;""),E823-C823,"")</f>
        <v/>
      </c>
      <c r="AB823" s="17"/>
      <c r="AC823" s="32"/>
      <c r="AD823" s="33"/>
      <c r="AE823" s="34" t="str">
        <f aca="false">IF(G823&lt;&gt;"",HYPERLINK("https://www.tradingview.com/chart/?symbol="&amp;G823&amp;"&amp;interval=60&amp;from="&amp;(AG823-10*3600)&amp;"&amp;to="&amp;(AG823+50*3600),"📈 1H"),"")</f>
        <v/>
      </c>
      <c r="AF823" s="35" t="str">
        <f aca="false">IF(G823&lt;&gt;"",HYPERLINK("https://www.tradingview.com/chart/?symbol="&amp;G823&amp;"&amp;interval=240&amp;from="&amp;(AG823-10*14400)&amp;"&amp;to="&amp;(AG823+50*14400),"📈 4H"),"")</f>
        <v/>
      </c>
      <c r="AG823" s="36" t="str">
        <f aca="false">IF(C823&lt;&gt;"",INT((C823+IF(D823&lt;&gt;"",D823,0)-DATE(1970,1,1))*86400),"")</f>
        <v/>
      </c>
    </row>
    <row r="824" customFormat="false" ht="19.5" hidden="false" customHeight="true" outlineLevel="0" collapsed="false">
      <c r="A824" s="37" t="n">
        <f aca="false">ROW()-4</f>
        <v>820</v>
      </c>
      <c r="B824" s="38"/>
      <c r="C824" s="39"/>
      <c r="D824" s="40"/>
      <c r="E824" s="39"/>
      <c r="F824" s="40"/>
      <c r="G824" s="41"/>
      <c r="H824" s="42"/>
      <c r="I824" s="43"/>
      <c r="J824" s="44"/>
      <c r="K824" s="39"/>
      <c r="L824" s="42"/>
      <c r="M824" s="44"/>
      <c r="N824" s="45"/>
      <c r="O824" s="44"/>
      <c r="P824" s="46"/>
      <c r="Q824" s="47" t="str">
        <f aca="false">IF(L824="","",IF(M824&lt;&gt;"",M824*L824*100,IF(AND(O824&lt;&gt;"",B824&lt;&gt;""),IFERROR(AVERAGEIF($B$5:$B$1004,B824,$M$5:$M$1004)*L824*100,""),"")))</f>
        <v/>
      </c>
      <c r="R824" s="47" t="str">
        <f aca="false">IF(AND(O824&lt;&gt;"",L824&lt;&gt;""),O824*L824*100,"")</f>
        <v/>
      </c>
      <c r="S824" s="48" t="str">
        <f aca="false">IF(AND(P824&lt;&gt;"",L824&lt;&gt;""),P824*L824*100,"")</f>
        <v/>
      </c>
      <c r="T824" s="49" t="str">
        <f aca="false">IF(AND(Q824&lt;&gt;"",R824&lt;&gt;""),R824-Q824,"")</f>
        <v/>
      </c>
      <c r="U824" s="50" t="str">
        <f aca="false">IF(AND(Q824&lt;&gt;"",Q824&lt;&gt;0,T824&lt;&gt;""),T824/Q824,"")</f>
        <v/>
      </c>
      <c r="V824" s="51" t="str">
        <f aca="false">IF(AND(S824&lt;&gt;"",Q824&lt;&gt;""),S824-Q824,"")</f>
        <v/>
      </c>
      <c r="W824" s="52" t="str">
        <f aca="false">IF(AND(Q824&lt;&gt;"",Q824&lt;&gt;0,V824&lt;&gt;""),V824/Q824,"")</f>
        <v/>
      </c>
      <c r="X824" s="53" t="s">
        <v>37</v>
      </c>
      <c r="Y824" s="54" t="str">
        <f aca="false">IF(AND(O824&lt;&gt;"",M824&lt;&gt;"",O824&gt;M824),CONCATENATE("1 : ",TEXT((O824-M824)/M824,"0.00")),IF(AND(O824&lt;&gt;"",M824&lt;&gt;"",O824&lt;M824),CONCATENATE("-1 : ",TEXT((M824-O824)/M824,"0.00")),"—"))</f>
        <v>—</v>
      </c>
      <c r="Z824" s="55" t="str">
        <f aca="false">IF(AND(P824&lt;&gt;"",M824&lt;&gt;"",P824&gt;M824),CONCATENATE("1 : ",TEXT((P824-M824)/M824,"0.00")),"—")</f>
        <v>—</v>
      </c>
      <c r="AA824" s="56" t="str">
        <f aca="false">IF(AND(C824&lt;&gt;"",E824&lt;&gt;""),E824-C824,"")</f>
        <v/>
      </c>
      <c r="AB824" s="42"/>
      <c r="AC824" s="57"/>
      <c r="AD824" s="58"/>
      <c r="AE824" s="59" t="str">
        <f aca="false">IF(G824&lt;&gt;"",HYPERLINK("https://www.tradingview.com/chart/?symbol="&amp;G824&amp;"&amp;interval=60&amp;from="&amp;(AG824-10*3600)&amp;"&amp;to="&amp;(AG824+50*3600),"📈 1H"),"")</f>
        <v/>
      </c>
      <c r="AF824" s="60" t="str">
        <f aca="false">IF(G824&lt;&gt;"",HYPERLINK("https://www.tradingview.com/chart/?symbol="&amp;G824&amp;"&amp;interval=240&amp;from="&amp;(AG824-10*14400)&amp;"&amp;to="&amp;(AG824+50*14400),"📈 4H"),"")</f>
        <v/>
      </c>
      <c r="AG824" s="36" t="str">
        <f aca="false">IF(C824&lt;&gt;"",INT((C824+IF(D824&lt;&gt;"",D824,0)-DATE(1970,1,1))*86400),"")</f>
        <v/>
      </c>
    </row>
    <row r="825" customFormat="false" ht="19.5" hidden="false" customHeight="true" outlineLevel="0" collapsed="false">
      <c r="A825" s="12" t="n">
        <f aca="false">ROW()-4</f>
        <v>821</v>
      </c>
      <c r="B825" s="13"/>
      <c r="C825" s="14"/>
      <c r="D825" s="15"/>
      <c r="E825" s="14"/>
      <c r="F825" s="15"/>
      <c r="G825" s="16"/>
      <c r="H825" s="17"/>
      <c r="I825" s="18"/>
      <c r="J825" s="19"/>
      <c r="K825" s="14"/>
      <c r="L825" s="17"/>
      <c r="M825" s="19"/>
      <c r="N825" s="20"/>
      <c r="O825" s="19"/>
      <c r="P825" s="21"/>
      <c r="Q825" s="22" t="str">
        <f aca="false">IF(L825="","",IF(M825&lt;&gt;"",M825*L825*100,IF(AND(O825&lt;&gt;"",B825&lt;&gt;""),IFERROR(AVERAGEIF($B$5:$B$1004,B825,$M$5:$M$1004)*L825*100,""),"")))</f>
        <v/>
      </c>
      <c r="R825" s="22" t="str">
        <f aca="false">IF(AND(O825&lt;&gt;"",L825&lt;&gt;""),O825*L825*100,"")</f>
        <v/>
      </c>
      <c r="S825" s="23" t="str">
        <f aca="false">IF(AND(P825&lt;&gt;"",L825&lt;&gt;""),P825*L825*100,"")</f>
        <v/>
      </c>
      <c r="T825" s="24" t="str">
        <f aca="false">IF(AND(Q825&lt;&gt;"",R825&lt;&gt;""),R825-Q825,"")</f>
        <v/>
      </c>
      <c r="U825" s="25" t="str">
        <f aca="false">IF(AND(Q825&lt;&gt;"",Q825&lt;&gt;0,T825&lt;&gt;""),T825/Q825,"")</f>
        <v/>
      </c>
      <c r="V825" s="26" t="str">
        <f aca="false">IF(AND(S825&lt;&gt;"",Q825&lt;&gt;""),S825-Q825,"")</f>
        <v/>
      </c>
      <c r="W825" s="27" t="str">
        <f aca="false">IF(AND(Q825&lt;&gt;"",Q825&lt;&gt;0,V825&lt;&gt;""),V825/Q825,"")</f>
        <v/>
      </c>
      <c r="X825" s="28" t="s">
        <v>37</v>
      </c>
      <c r="Y825" s="29" t="str">
        <f aca="false">IF(AND(O825&lt;&gt;"",M825&lt;&gt;"",O825&gt;M825),CONCATENATE("1 : ",TEXT((O825-M825)/M825,"0.00")),IF(AND(O825&lt;&gt;"",M825&lt;&gt;"",O825&lt;M825),CONCATENATE("-1 : ",TEXT((M825-O825)/M825,"0.00")),"—"))</f>
        <v>—</v>
      </c>
      <c r="Z825" s="30" t="str">
        <f aca="false">IF(AND(P825&lt;&gt;"",M825&lt;&gt;"",P825&gt;M825),CONCATENATE("1 : ",TEXT((P825-M825)/M825,"0.00")),"—")</f>
        <v>—</v>
      </c>
      <c r="AA825" s="31" t="str">
        <f aca="false">IF(AND(C825&lt;&gt;"",E825&lt;&gt;""),E825-C825,"")</f>
        <v/>
      </c>
      <c r="AB825" s="17"/>
      <c r="AC825" s="32"/>
      <c r="AD825" s="33"/>
      <c r="AE825" s="34" t="str">
        <f aca="false">IF(G825&lt;&gt;"",HYPERLINK("https://www.tradingview.com/chart/?symbol="&amp;G825&amp;"&amp;interval=60&amp;from="&amp;(AG825-10*3600)&amp;"&amp;to="&amp;(AG825+50*3600),"📈 1H"),"")</f>
        <v/>
      </c>
      <c r="AF825" s="35" t="str">
        <f aca="false">IF(G825&lt;&gt;"",HYPERLINK("https://www.tradingview.com/chart/?symbol="&amp;G825&amp;"&amp;interval=240&amp;from="&amp;(AG825-10*14400)&amp;"&amp;to="&amp;(AG825+50*14400),"📈 4H"),"")</f>
        <v/>
      </c>
      <c r="AG825" s="36" t="str">
        <f aca="false">IF(C825&lt;&gt;"",INT((C825+IF(D825&lt;&gt;"",D825,0)-DATE(1970,1,1))*86400),"")</f>
        <v/>
      </c>
    </row>
    <row r="826" customFormat="false" ht="19.5" hidden="false" customHeight="true" outlineLevel="0" collapsed="false">
      <c r="A826" s="37" t="n">
        <f aca="false">ROW()-4</f>
        <v>822</v>
      </c>
      <c r="B826" s="38"/>
      <c r="C826" s="39"/>
      <c r="D826" s="40"/>
      <c r="E826" s="39"/>
      <c r="F826" s="40"/>
      <c r="G826" s="41"/>
      <c r="H826" s="42"/>
      <c r="I826" s="43"/>
      <c r="J826" s="44"/>
      <c r="K826" s="39"/>
      <c r="L826" s="42"/>
      <c r="M826" s="44"/>
      <c r="N826" s="45"/>
      <c r="O826" s="44"/>
      <c r="P826" s="46"/>
      <c r="Q826" s="47" t="str">
        <f aca="false">IF(L826="","",IF(M826&lt;&gt;"",M826*L826*100,IF(AND(O826&lt;&gt;"",B826&lt;&gt;""),IFERROR(AVERAGEIF($B$5:$B$1004,B826,$M$5:$M$1004)*L826*100,""),"")))</f>
        <v/>
      </c>
      <c r="R826" s="47" t="str">
        <f aca="false">IF(AND(O826&lt;&gt;"",L826&lt;&gt;""),O826*L826*100,"")</f>
        <v/>
      </c>
      <c r="S826" s="48" t="str">
        <f aca="false">IF(AND(P826&lt;&gt;"",L826&lt;&gt;""),P826*L826*100,"")</f>
        <v/>
      </c>
      <c r="T826" s="49" t="str">
        <f aca="false">IF(AND(Q826&lt;&gt;"",R826&lt;&gt;""),R826-Q826,"")</f>
        <v/>
      </c>
      <c r="U826" s="50" t="str">
        <f aca="false">IF(AND(Q826&lt;&gt;"",Q826&lt;&gt;0,T826&lt;&gt;""),T826/Q826,"")</f>
        <v/>
      </c>
      <c r="V826" s="51" t="str">
        <f aca="false">IF(AND(S826&lt;&gt;"",Q826&lt;&gt;""),S826-Q826,"")</f>
        <v/>
      </c>
      <c r="W826" s="52" t="str">
        <f aca="false">IF(AND(Q826&lt;&gt;"",Q826&lt;&gt;0,V826&lt;&gt;""),V826/Q826,"")</f>
        <v/>
      </c>
      <c r="X826" s="53" t="s">
        <v>37</v>
      </c>
      <c r="Y826" s="54" t="str">
        <f aca="false">IF(AND(O826&lt;&gt;"",M826&lt;&gt;"",O826&gt;M826),CONCATENATE("1 : ",TEXT((O826-M826)/M826,"0.00")),IF(AND(O826&lt;&gt;"",M826&lt;&gt;"",O826&lt;M826),CONCATENATE("-1 : ",TEXT((M826-O826)/M826,"0.00")),"—"))</f>
        <v>—</v>
      </c>
      <c r="Z826" s="55" t="str">
        <f aca="false">IF(AND(P826&lt;&gt;"",M826&lt;&gt;"",P826&gt;M826),CONCATENATE("1 : ",TEXT((P826-M826)/M826,"0.00")),"—")</f>
        <v>—</v>
      </c>
      <c r="AA826" s="56" t="str">
        <f aca="false">IF(AND(C826&lt;&gt;"",E826&lt;&gt;""),E826-C826,"")</f>
        <v/>
      </c>
      <c r="AB826" s="42"/>
      <c r="AC826" s="57"/>
      <c r="AD826" s="58"/>
      <c r="AE826" s="59" t="str">
        <f aca="false">IF(G826&lt;&gt;"",HYPERLINK("https://www.tradingview.com/chart/?symbol="&amp;G826&amp;"&amp;interval=60&amp;from="&amp;(AG826-10*3600)&amp;"&amp;to="&amp;(AG826+50*3600),"📈 1H"),"")</f>
        <v/>
      </c>
      <c r="AF826" s="60" t="str">
        <f aca="false">IF(G826&lt;&gt;"",HYPERLINK("https://www.tradingview.com/chart/?symbol="&amp;G826&amp;"&amp;interval=240&amp;from="&amp;(AG826-10*14400)&amp;"&amp;to="&amp;(AG826+50*14400),"📈 4H"),"")</f>
        <v/>
      </c>
      <c r="AG826" s="36" t="str">
        <f aca="false">IF(C826&lt;&gt;"",INT((C826+IF(D826&lt;&gt;"",D826,0)-DATE(1970,1,1))*86400),"")</f>
        <v/>
      </c>
    </row>
    <row r="827" customFormat="false" ht="19.5" hidden="false" customHeight="true" outlineLevel="0" collapsed="false">
      <c r="A827" s="12" t="n">
        <f aca="false">ROW()-4</f>
        <v>823</v>
      </c>
      <c r="B827" s="13"/>
      <c r="C827" s="14"/>
      <c r="D827" s="15"/>
      <c r="E827" s="14"/>
      <c r="F827" s="15"/>
      <c r="G827" s="16"/>
      <c r="H827" s="17"/>
      <c r="I827" s="18"/>
      <c r="J827" s="19"/>
      <c r="K827" s="14"/>
      <c r="L827" s="17"/>
      <c r="M827" s="19"/>
      <c r="N827" s="20"/>
      <c r="O827" s="19"/>
      <c r="P827" s="21"/>
      <c r="Q827" s="22" t="str">
        <f aca="false">IF(L827="","",IF(M827&lt;&gt;"",M827*L827*100,IF(AND(O827&lt;&gt;"",B827&lt;&gt;""),IFERROR(AVERAGEIF($B$5:$B$1004,B827,$M$5:$M$1004)*L827*100,""),"")))</f>
        <v/>
      </c>
      <c r="R827" s="22" t="str">
        <f aca="false">IF(AND(O827&lt;&gt;"",L827&lt;&gt;""),O827*L827*100,"")</f>
        <v/>
      </c>
      <c r="S827" s="23" t="str">
        <f aca="false">IF(AND(P827&lt;&gt;"",L827&lt;&gt;""),P827*L827*100,"")</f>
        <v/>
      </c>
      <c r="T827" s="24" t="str">
        <f aca="false">IF(AND(Q827&lt;&gt;"",R827&lt;&gt;""),R827-Q827,"")</f>
        <v/>
      </c>
      <c r="U827" s="25" t="str">
        <f aca="false">IF(AND(Q827&lt;&gt;"",Q827&lt;&gt;0,T827&lt;&gt;""),T827/Q827,"")</f>
        <v/>
      </c>
      <c r="V827" s="26" t="str">
        <f aca="false">IF(AND(S827&lt;&gt;"",Q827&lt;&gt;""),S827-Q827,"")</f>
        <v/>
      </c>
      <c r="W827" s="27" t="str">
        <f aca="false">IF(AND(Q827&lt;&gt;"",Q827&lt;&gt;0,V827&lt;&gt;""),V827/Q827,"")</f>
        <v/>
      </c>
      <c r="X827" s="28" t="s">
        <v>37</v>
      </c>
      <c r="Y827" s="29" t="str">
        <f aca="false">IF(AND(O827&lt;&gt;"",M827&lt;&gt;"",O827&gt;M827),CONCATENATE("1 : ",TEXT((O827-M827)/M827,"0.00")),IF(AND(O827&lt;&gt;"",M827&lt;&gt;"",O827&lt;M827),CONCATENATE("-1 : ",TEXT((M827-O827)/M827,"0.00")),"—"))</f>
        <v>—</v>
      </c>
      <c r="Z827" s="30" t="str">
        <f aca="false">IF(AND(P827&lt;&gt;"",M827&lt;&gt;"",P827&gt;M827),CONCATENATE("1 : ",TEXT((P827-M827)/M827,"0.00")),"—")</f>
        <v>—</v>
      </c>
      <c r="AA827" s="31" t="str">
        <f aca="false">IF(AND(C827&lt;&gt;"",E827&lt;&gt;""),E827-C827,"")</f>
        <v/>
      </c>
      <c r="AB827" s="17"/>
      <c r="AC827" s="32"/>
      <c r="AD827" s="33"/>
      <c r="AE827" s="34" t="str">
        <f aca="false">IF(G827&lt;&gt;"",HYPERLINK("https://www.tradingview.com/chart/?symbol="&amp;G827&amp;"&amp;interval=60&amp;from="&amp;(AG827-10*3600)&amp;"&amp;to="&amp;(AG827+50*3600),"📈 1H"),"")</f>
        <v/>
      </c>
      <c r="AF827" s="35" t="str">
        <f aca="false">IF(G827&lt;&gt;"",HYPERLINK("https://www.tradingview.com/chart/?symbol="&amp;G827&amp;"&amp;interval=240&amp;from="&amp;(AG827-10*14400)&amp;"&amp;to="&amp;(AG827+50*14400),"📈 4H"),"")</f>
        <v/>
      </c>
      <c r="AG827" s="36" t="str">
        <f aca="false">IF(C827&lt;&gt;"",INT((C827+IF(D827&lt;&gt;"",D827,0)-DATE(1970,1,1))*86400),"")</f>
        <v/>
      </c>
    </row>
    <row r="828" customFormat="false" ht="19.5" hidden="false" customHeight="true" outlineLevel="0" collapsed="false">
      <c r="A828" s="37" t="n">
        <f aca="false">ROW()-4</f>
        <v>824</v>
      </c>
      <c r="B828" s="38"/>
      <c r="C828" s="39"/>
      <c r="D828" s="40"/>
      <c r="E828" s="39"/>
      <c r="F828" s="40"/>
      <c r="G828" s="41"/>
      <c r="H828" s="42"/>
      <c r="I828" s="43"/>
      <c r="J828" s="44"/>
      <c r="K828" s="39"/>
      <c r="L828" s="42"/>
      <c r="M828" s="44"/>
      <c r="N828" s="45"/>
      <c r="O828" s="44"/>
      <c r="P828" s="46"/>
      <c r="Q828" s="47" t="str">
        <f aca="false">IF(L828="","",IF(M828&lt;&gt;"",M828*L828*100,IF(AND(O828&lt;&gt;"",B828&lt;&gt;""),IFERROR(AVERAGEIF($B$5:$B$1004,B828,$M$5:$M$1004)*L828*100,""),"")))</f>
        <v/>
      </c>
      <c r="R828" s="47" t="str">
        <f aca="false">IF(AND(O828&lt;&gt;"",L828&lt;&gt;""),O828*L828*100,"")</f>
        <v/>
      </c>
      <c r="S828" s="48" t="str">
        <f aca="false">IF(AND(P828&lt;&gt;"",L828&lt;&gt;""),P828*L828*100,"")</f>
        <v/>
      </c>
      <c r="T828" s="49" t="str">
        <f aca="false">IF(AND(Q828&lt;&gt;"",R828&lt;&gt;""),R828-Q828,"")</f>
        <v/>
      </c>
      <c r="U828" s="50" t="str">
        <f aca="false">IF(AND(Q828&lt;&gt;"",Q828&lt;&gt;0,T828&lt;&gt;""),T828/Q828,"")</f>
        <v/>
      </c>
      <c r="V828" s="51" t="str">
        <f aca="false">IF(AND(S828&lt;&gt;"",Q828&lt;&gt;""),S828-Q828,"")</f>
        <v/>
      </c>
      <c r="W828" s="52" t="str">
        <f aca="false">IF(AND(Q828&lt;&gt;"",Q828&lt;&gt;0,V828&lt;&gt;""),V828/Q828,"")</f>
        <v/>
      </c>
      <c r="X828" s="53" t="s">
        <v>37</v>
      </c>
      <c r="Y828" s="54" t="str">
        <f aca="false">IF(AND(O828&lt;&gt;"",M828&lt;&gt;"",O828&gt;M828),CONCATENATE("1 : ",TEXT((O828-M828)/M828,"0.00")),IF(AND(O828&lt;&gt;"",M828&lt;&gt;"",O828&lt;M828),CONCATENATE("-1 : ",TEXT((M828-O828)/M828,"0.00")),"—"))</f>
        <v>—</v>
      </c>
      <c r="Z828" s="55" t="str">
        <f aca="false">IF(AND(P828&lt;&gt;"",M828&lt;&gt;"",P828&gt;M828),CONCATENATE("1 : ",TEXT((P828-M828)/M828,"0.00")),"—")</f>
        <v>—</v>
      </c>
      <c r="AA828" s="56" t="str">
        <f aca="false">IF(AND(C828&lt;&gt;"",E828&lt;&gt;""),E828-C828,"")</f>
        <v/>
      </c>
      <c r="AB828" s="42"/>
      <c r="AC828" s="57"/>
      <c r="AD828" s="58"/>
      <c r="AE828" s="59" t="str">
        <f aca="false">IF(G828&lt;&gt;"",HYPERLINK("https://www.tradingview.com/chart/?symbol="&amp;G828&amp;"&amp;interval=60&amp;from="&amp;(AG828-10*3600)&amp;"&amp;to="&amp;(AG828+50*3600),"📈 1H"),"")</f>
        <v/>
      </c>
      <c r="AF828" s="60" t="str">
        <f aca="false">IF(G828&lt;&gt;"",HYPERLINK("https://www.tradingview.com/chart/?symbol="&amp;G828&amp;"&amp;interval=240&amp;from="&amp;(AG828-10*14400)&amp;"&amp;to="&amp;(AG828+50*14400),"📈 4H"),"")</f>
        <v/>
      </c>
      <c r="AG828" s="36" t="str">
        <f aca="false">IF(C828&lt;&gt;"",INT((C828+IF(D828&lt;&gt;"",D828,0)-DATE(1970,1,1))*86400),"")</f>
        <v/>
      </c>
    </row>
    <row r="829" customFormat="false" ht="19.5" hidden="false" customHeight="true" outlineLevel="0" collapsed="false">
      <c r="A829" s="12" t="n">
        <f aca="false">ROW()-4</f>
        <v>825</v>
      </c>
      <c r="B829" s="13"/>
      <c r="C829" s="14"/>
      <c r="D829" s="15"/>
      <c r="E829" s="14"/>
      <c r="F829" s="15"/>
      <c r="G829" s="16"/>
      <c r="H829" s="17"/>
      <c r="I829" s="18"/>
      <c r="J829" s="19"/>
      <c r="K829" s="14"/>
      <c r="L829" s="17"/>
      <c r="M829" s="19"/>
      <c r="N829" s="20"/>
      <c r="O829" s="19"/>
      <c r="P829" s="21"/>
      <c r="Q829" s="22" t="str">
        <f aca="false">IF(L829="","",IF(M829&lt;&gt;"",M829*L829*100,IF(AND(O829&lt;&gt;"",B829&lt;&gt;""),IFERROR(AVERAGEIF($B$5:$B$1004,B829,$M$5:$M$1004)*L829*100,""),"")))</f>
        <v/>
      </c>
      <c r="R829" s="22" t="str">
        <f aca="false">IF(AND(O829&lt;&gt;"",L829&lt;&gt;""),O829*L829*100,"")</f>
        <v/>
      </c>
      <c r="S829" s="23" t="str">
        <f aca="false">IF(AND(P829&lt;&gt;"",L829&lt;&gt;""),P829*L829*100,"")</f>
        <v/>
      </c>
      <c r="T829" s="24" t="str">
        <f aca="false">IF(AND(Q829&lt;&gt;"",R829&lt;&gt;""),R829-Q829,"")</f>
        <v/>
      </c>
      <c r="U829" s="25" t="str">
        <f aca="false">IF(AND(Q829&lt;&gt;"",Q829&lt;&gt;0,T829&lt;&gt;""),T829/Q829,"")</f>
        <v/>
      </c>
      <c r="V829" s="26" t="str">
        <f aca="false">IF(AND(S829&lt;&gt;"",Q829&lt;&gt;""),S829-Q829,"")</f>
        <v/>
      </c>
      <c r="W829" s="27" t="str">
        <f aca="false">IF(AND(Q829&lt;&gt;"",Q829&lt;&gt;0,V829&lt;&gt;""),V829/Q829,"")</f>
        <v/>
      </c>
      <c r="X829" s="28" t="s">
        <v>37</v>
      </c>
      <c r="Y829" s="29" t="str">
        <f aca="false">IF(AND(O829&lt;&gt;"",M829&lt;&gt;"",O829&gt;M829),CONCATENATE("1 : ",TEXT((O829-M829)/M829,"0.00")),IF(AND(O829&lt;&gt;"",M829&lt;&gt;"",O829&lt;M829),CONCATENATE("-1 : ",TEXT((M829-O829)/M829,"0.00")),"—"))</f>
        <v>—</v>
      </c>
      <c r="Z829" s="30" t="str">
        <f aca="false">IF(AND(P829&lt;&gt;"",M829&lt;&gt;"",P829&gt;M829),CONCATENATE("1 : ",TEXT((P829-M829)/M829,"0.00")),"—")</f>
        <v>—</v>
      </c>
      <c r="AA829" s="31" t="str">
        <f aca="false">IF(AND(C829&lt;&gt;"",E829&lt;&gt;""),E829-C829,"")</f>
        <v/>
      </c>
      <c r="AB829" s="17"/>
      <c r="AC829" s="32"/>
      <c r="AD829" s="33"/>
      <c r="AE829" s="34" t="str">
        <f aca="false">IF(G829&lt;&gt;"",HYPERLINK("https://www.tradingview.com/chart/?symbol="&amp;G829&amp;"&amp;interval=60&amp;from="&amp;(AG829-10*3600)&amp;"&amp;to="&amp;(AG829+50*3600),"📈 1H"),"")</f>
        <v/>
      </c>
      <c r="AF829" s="35" t="str">
        <f aca="false">IF(G829&lt;&gt;"",HYPERLINK("https://www.tradingview.com/chart/?symbol="&amp;G829&amp;"&amp;interval=240&amp;from="&amp;(AG829-10*14400)&amp;"&amp;to="&amp;(AG829+50*14400),"📈 4H"),"")</f>
        <v/>
      </c>
      <c r="AG829" s="36" t="str">
        <f aca="false">IF(C829&lt;&gt;"",INT((C829+IF(D829&lt;&gt;"",D829,0)-DATE(1970,1,1))*86400),"")</f>
        <v/>
      </c>
    </row>
    <row r="830" customFormat="false" ht="19.5" hidden="false" customHeight="true" outlineLevel="0" collapsed="false">
      <c r="A830" s="37" t="n">
        <f aca="false">ROW()-4</f>
        <v>826</v>
      </c>
      <c r="B830" s="38"/>
      <c r="C830" s="39"/>
      <c r="D830" s="40"/>
      <c r="E830" s="39"/>
      <c r="F830" s="40"/>
      <c r="G830" s="41"/>
      <c r="H830" s="42"/>
      <c r="I830" s="43"/>
      <c r="J830" s="44"/>
      <c r="K830" s="39"/>
      <c r="L830" s="42"/>
      <c r="M830" s="44"/>
      <c r="N830" s="45"/>
      <c r="O830" s="44"/>
      <c r="P830" s="46"/>
      <c r="Q830" s="47" t="str">
        <f aca="false">IF(L830="","",IF(M830&lt;&gt;"",M830*L830*100,IF(AND(O830&lt;&gt;"",B830&lt;&gt;""),IFERROR(AVERAGEIF($B$5:$B$1004,B830,$M$5:$M$1004)*L830*100,""),"")))</f>
        <v/>
      </c>
      <c r="R830" s="47" t="str">
        <f aca="false">IF(AND(O830&lt;&gt;"",L830&lt;&gt;""),O830*L830*100,"")</f>
        <v/>
      </c>
      <c r="S830" s="48" t="str">
        <f aca="false">IF(AND(P830&lt;&gt;"",L830&lt;&gt;""),P830*L830*100,"")</f>
        <v/>
      </c>
      <c r="T830" s="49" t="str">
        <f aca="false">IF(AND(Q830&lt;&gt;"",R830&lt;&gt;""),R830-Q830,"")</f>
        <v/>
      </c>
      <c r="U830" s="50" t="str">
        <f aca="false">IF(AND(Q830&lt;&gt;"",Q830&lt;&gt;0,T830&lt;&gt;""),T830/Q830,"")</f>
        <v/>
      </c>
      <c r="V830" s="51" t="str">
        <f aca="false">IF(AND(S830&lt;&gt;"",Q830&lt;&gt;""),S830-Q830,"")</f>
        <v/>
      </c>
      <c r="W830" s="52" t="str">
        <f aca="false">IF(AND(Q830&lt;&gt;"",Q830&lt;&gt;0,V830&lt;&gt;""),V830/Q830,"")</f>
        <v/>
      </c>
      <c r="X830" s="53" t="s">
        <v>37</v>
      </c>
      <c r="Y830" s="54" t="str">
        <f aca="false">IF(AND(O830&lt;&gt;"",M830&lt;&gt;"",O830&gt;M830),CONCATENATE("1 : ",TEXT((O830-M830)/M830,"0.00")),IF(AND(O830&lt;&gt;"",M830&lt;&gt;"",O830&lt;M830),CONCATENATE("-1 : ",TEXT((M830-O830)/M830,"0.00")),"—"))</f>
        <v>—</v>
      </c>
      <c r="Z830" s="55" t="str">
        <f aca="false">IF(AND(P830&lt;&gt;"",M830&lt;&gt;"",P830&gt;M830),CONCATENATE("1 : ",TEXT((P830-M830)/M830,"0.00")),"—")</f>
        <v>—</v>
      </c>
      <c r="AA830" s="56" t="str">
        <f aca="false">IF(AND(C830&lt;&gt;"",E830&lt;&gt;""),E830-C830,"")</f>
        <v/>
      </c>
      <c r="AB830" s="42"/>
      <c r="AC830" s="57"/>
      <c r="AD830" s="58"/>
      <c r="AE830" s="59" t="str">
        <f aca="false">IF(G830&lt;&gt;"",HYPERLINK("https://www.tradingview.com/chart/?symbol="&amp;G830&amp;"&amp;interval=60&amp;from="&amp;(AG830-10*3600)&amp;"&amp;to="&amp;(AG830+50*3600),"📈 1H"),"")</f>
        <v/>
      </c>
      <c r="AF830" s="60" t="str">
        <f aca="false">IF(G830&lt;&gt;"",HYPERLINK("https://www.tradingview.com/chart/?symbol="&amp;G830&amp;"&amp;interval=240&amp;from="&amp;(AG830-10*14400)&amp;"&amp;to="&amp;(AG830+50*14400),"📈 4H"),"")</f>
        <v/>
      </c>
      <c r="AG830" s="36" t="str">
        <f aca="false">IF(C830&lt;&gt;"",INT((C830+IF(D830&lt;&gt;"",D830,0)-DATE(1970,1,1))*86400),"")</f>
        <v/>
      </c>
    </row>
    <row r="831" customFormat="false" ht="19.5" hidden="false" customHeight="true" outlineLevel="0" collapsed="false">
      <c r="A831" s="12" t="n">
        <f aca="false">ROW()-4</f>
        <v>827</v>
      </c>
      <c r="B831" s="13"/>
      <c r="C831" s="14"/>
      <c r="D831" s="15"/>
      <c r="E831" s="14"/>
      <c r="F831" s="15"/>
      <c r="G831" s="16"/>
      <c r="H831" s="17"/>
      <c r="I831" s="18"/>
      <c r="J831" s="19"/>
      <c r="K831" s="14"/>
      <c r="L831" s="17"/>
      <c r="M831" s="19"/>
      <c r="N831" s="20"/>
      <c r="O831" s="19"/>
      <c r="P831" s="21"/>
      <c r="Q831" s="22" t="str">
        <f aca="false">IF(L831="","",IF(M831&lt;&gt;"",M831*L831*100,IF(AND(O831&lt;&gt;"",B831&lt;&gt;""),IFERROR(AVERAGEIF($B$5:$B$1004,B831,$M$5:$M$1004)*L831*100,""),"")))</f>
        <v/>
      </c>
      <c r="R831" s="22" t="str">
        <f aca="false">IF(AND(O831&lt;&gt;"",L831&lt;&gt;""),O831*L831*100,"")</f>
        <v/>
      </c>
      <c r="S831" s="23" t="str">
        <f aca="false">IF(AND(P831&lt;&gt;"",L831&lt;&gt;""),P831*L831*100,"")</f>
        <v/>
      </c>
      <c r="T831" s="24" t="str">
        <f aca="false">IF(AND(Q831&lt;&gt;"",R831&lt;&gt;""),R831-Q831,"")</f>
        <v/>
      </c>
      <c r="U831" s="25" t="str">
        <f aca="false">IF(AND(Q831&lt;&gt;"",Q831&lt;&gt;0,T831&lt;&gt;""),T831/Q831,"")</f>
        <v/>
      </c>
      <c r="V831" s="26" t="str">
        <f aca="false">IF(AND(S831&lt;&gt;"",Q831&lt;&gt;""),S831-Q831,"")</f>
        <v/>
      </c>
      <c r="W831" s="27" t="str">
        <f aca="false">IF(AND(Q831&lt;&gt;"",Q831&lt;&gt;0,V831&lt;&gt;""),V831/Q831,"")</f>
        <v/>
      </c>
      <c r="X831" s="28" t="s">
        <v>37</v>
      </c>
      <c r="Y831" s="29" t="str">
        <f aca="false">IF(AND(O831&lt;&gt;"",M831&lt;&gt;"",O831&gt;M831),CONCATENATE("1 : ",TEXT((O831-M831)/M831,"0.00")),IF(AND(O831&lt;&gt;"",M831&lt;&gt;"",O831&lt;M831),CONCATENATE("-1 : ",TEXT((M831-O831)/M831,"0.00")),"—"))</f>
        <v>—</v>
      </c>
      <c r="Z831" s="30" t="str">
        <f aca="false">IF(AND(P831&lt;&gt;"",M831&lt;&gt;"",P831&gt;M831),CONCATENATE("1 : ",TEXT((P831-M831)/M831,"0.00")),"—")</f>
        <v>—</v>
      </c>
      <c r="AA831" s="31" t="str">
        <f aca="false">IF(AND(C831&lt;&gt;"",E831&lt;&gt;""),E831-C831,"")</f>
        <v/>
      </c>
      <c r="AB831" s="17"/>
      <c r="AC831" s="32"/>
      <c r="AD831" s="33"/>
      <c r="AE831" s="34" t="str">
        <f aca="false">IF(G831&lt;&gt;"",HYPERLINK("https://www.tradingview.com/chart/?symbol="&amp;G831&amp;"&amp;interval=60&amp;from="&amp;(AG831-10*3600)&amp;"&amp;to="&amp;(AG831+50*3600),"📈 1H"),"")</f>
        <v/>
      </c>
      <c r="AF831" s="35" t="str">
        <f aca="false">IF(G831&lt;&gt;"",HYPERLINK("https://www.tradingview.com/chart/?symbol="&amp;G831&amp;"&amp;interval=240&amp;from="&amp;(AG831-10*14400)&amp;"&amp;to="&amp;(AG831+50*14400),"📈 4H"),"")</f>
        <v/>
      </c>
      <c r="AG831" s="36" t="str">
        <f aca="false">IF(C831&lt;&gt;"",INT((C831+IF(D831&lt;&gt;"",D831,0)-DATE(1970,1,1))*86400),"")</f>
        <v/>
      </c>
    </row>
    <row r="832" customFormat="false" ht="19.5" hidden="false" customHeight="true" outlineLevel="0" collapsed="false">
      <c r="A832" s="37" t="n">
        <f aca="false">ROW()-4</f>
        <v>828</v>
      </c>
      <c r="B832" s="38"/>
      <c r="C832" s="39"/>
      <c r="D832" s="40"/>
      <c r="E832" s="39"/>
      <c r="F832" s="40"/>
      <c r="G832" s="41"/>
      <c r="H832" s="42"/>
      <c r="I832" s="43"/>
      <c r="J832" s="44"/>
      <c r="K832" s="39"/>
      <c r="L832" s="42"/>
      <c r="M832" s="44"/>
      <c r="N832" s="45"/>
      <c r="O832" s="44"/>
      <c r="P832" s="46"/>
      <c r="Q832" s="47" t="str">
        <f aca="false">IF(L832="","",IF(M832&lt;&gt;"",M832*L832*100,IF(AND(O832&lt;&gt;"",B832&lt;&gt;""),IFERROR(AVERAGEIF($B$5:$B$1004,B832,$M$5:$M$1004)*L832*100,""),"")))</f>
        <v/>
      </c>
      <c r="R832" s="47" t="str">
        <f aca="false">IF(AND(O832&lt;&gt;"",L832&lt;&gt;""),O832*L832*100,"")</f>
        <v/>
      </c>
      <c r="S832" s="48" t="str">
        <f aca="false">IF(AND(P832&lt;&gt;"",L832&lt;&gt;""),P832*L832*100,"")</f>
        <v/>
      </c>
      <c r="T832" s="49" t="str">
        <f aca="false">IF(AND(Q832&lt;&gt;"",R832&lt;&gt;""),R832-Q832,"")</f>
        <v/>
      </c>
      <c r="U832" s="50" t="str">
        <f aca="false">IF(AND(Q832&lt;&gt;"",Q832&lt;&gt;0,T832&lt;&gt;""),T832/Q832,"")</f>
        <v/>
      </c>
      <c r="V832" s="51" t="str">
        <f aca="false">IF(AND(S832&lt;&gt;"",Q832&lt;&gt;""),S832-Q832,"")</f>
        <v/>
      </c>
      <c r="W832" s="52" t="str">
        <f aca="false">IF(AND(Q832&lt;&gt;"",Q832&lt;&gt;0,V832&lt;&gt;""),V832/Q832,"")</f>
        <v/>
      </c>
      <c r="X832" s="53" t="s">
        <v>37</v>
      </c>
      <c r="Y832" s="54" t="str">
        <f aca="false">IF(AND(O832&lt;&gt;"",M832&lt;&gt;"",O832&gt;M832),CONCATENATE("1 : ",TEXT((O832-M832)/M832,"0.00")),IF(AND(O832&lt;&gt;"",M832&lt;&gt;"",O832&lt;M832),CONCATENATE("-1 : ",TEXT((M832-O832)/M832,"0.00")),"—"))</f>
        <v>—</v>
      </c>
      <c r="Z832" s="55" t="str">
        <f aca="false">IF(AND(P832&lt;&gt;"",M832&lt;&gt;"",P832&gt;M832),CONCATENATE("1 : ",TEXT((P832-M832)/M832,"0.00")),"—")</f>
        <v>—</v>
      </c>
      <c r="AA832" s="56" t="str">
        <f aca="false">IF(AND(C832&lt;&gt;"",E832&lt;&gt;""),E832-C832,"")</f>
        <v/>
      </c>
      <c r="AB832" s="42"/>
      <c r="AC832" s="57"/>
      <c r="AD832" s="58"/>
      <c r="AE832" s="59" t="str">
        <f aca="false">IF(G832&lt;&gt;"",HYPERLINK("https://www.tradingview.com/chart/?symbol="&amp;G832&amp;"&amp;interval=60&amp;from="&amp;(AG832-10*3600)&amp;"&amp;to="&amp;(AG832+50*3600),"📈 1H"),"")</f>
        <v/>
      </c>
      <c r="AF832" s="60" t="str">
        <f aca="false">IF(G832&lt;&gt;"",HYPERLINK("https://www.tradingview.com/chart/?symbol="&amp;G832&amp;"&amp;interval=240&amp;from="&amp;(AG832-10*14400)&amp;"&amp;to="&amp;(AG832+50*14400),"📈 4H"),"")</f>
        <v/>
      </c>
      <c r="AG832" s="36" t="str">
        <f aca="false">IF(C832&lt;&gt;"",INT((C832+IF(D832&lt;&gt;"",D832,0)-DATE(1970,1,1))*86400),"")</f>
        <v/>
      </c>
    </row>
    <row r="833" customFormat="false" ht="19.5" hidden="false" customHeight="true" outlineLevel="0" collapsed="false">
      <c r="A833" s="12" t="n">
        <f aca="false">ROW()-4</f>
        <v>829</v>
      </c>
      <c r="B833" s="13"/>
      <c r="C833" s="14"/>
      <c r="D833" s="15"/>
      <c r="E833" s="14"/>
      <c r="F833" s="15"/>
      <c r="G833" s="16"/>
      <c r="H833" s="17"/>
      <c r="I833" s="18"/>
      <c r="J833" s="19"/>
      <c r="K833" s="14"/>
      <c r="L833" s="17"/>
      <c r="M833" s="19"/>
      <c r="N833" s="20"/>
      <c r="O833" s="19"/>
      <c r="P833" s="21"/>
      <c r="Q833" s="22" t="str">
        <f aca="false">IF(L833="","",IF(M833&lt;&gt;"",M833*L833*100,IF(AND(O833&lt;&gt;"",B833&lt;&gt;""),IFERROR(AVERAGEIF($B$5:$B$1004,B833,$M$5:$M$1004)*L833*100,""),"")))</f>
        <v/>
      </c>
      <c r="R833" s="22" t="str">
        <f aca="false">IF(AND(O833&lt;&gt;"",L833&lt;&gt;""),O833*L833*100,"")</f>
        <v/>
      </c>
      <c r="S833" s="23" t="str">
        <f aca="false">IF(AND(P833&lt;&gt;"",L833&lt;&gt;""),P833*L833*100,"")</f>
        <v/>
      </c>
      <c r="T833" s="24" t="str">
        <f aca="false">IF(AND(Q833&lt;&gt;"",R833&lt;&gt;""),R833-Q833,"")</f>
        <v/>
      </c>
      <c r="U833" s="25" t="str">
        <f aca="false">IF(AND(Q833&lt;&gt;"",Q833&lt;&gt;0,T833&lt;&gt;""),T833/Q833,"")</f>
        <v/>
      </c>
      <c r="V833" s="26" t="str">
        <f aca="false">IF(AND(S833&lt;&gt;"",Q833&lt;&gt;""),S833-Q833,"")</f>
        <v/>
      </c>
      <c r="W833" s="27" t="str">
        <f aca="false">IF(AND(Q833&lt;&gt;"",Q833&lt;&gt;0,V833&lt;&gt;""),V833/Q833,"")</f>
        <v/>
      </c>
      <c r="X833" s="28" t="s">
        <v>37</v>
      </c>
      <c r="Y833" s="29" t="str">
        <f aca="false">IF(AND(O833&lt;&gt;"",M833&lt;&gt;"",O833&gt;M833),CONCATENATE("1 : ",TEXT((O833-M833)/M833,"0.00")),IF(AND(O833&lt;&gt;"",M833&lt;&gt;"",O833&lt;M833),CONCATENATE("-1 : ",TEXT((M833-O833)/M833,"0.00")),"—"))</f>
        <v>—</v>
      </c>
      <c r="Z833" s="30" t="str">
        <f aca="false">IF(AND(P833&lt;&gt;"",M833&lt;&gt;"",P833&gt;M833),CONCATENATE("1 : ",TEXT((P833-M833)/M833,"0.00")),"—")</f>
        <v>—</v>
      </c>
      <c r="AA833" s="31" t="str">
        <f aca="false">IF(AND(C833&lt;&gt;"",E833&lt;&gt;""),E833-C833,"")</f>
        <v/>
      </c>
      <c r="AB833" s="17"/>
      <c r="AC833" s="32"/>
      <c r="AD833" s="33"/>
      <c r="AE833" s="34" t="str">
        <f aca="false">IF(G833&lt;&gt;"",HYPERLINK("https://www.tradingview.com/chart/?symbol="&amp;G833&amp;"&amp;interval=60&amp;from="&amp;(AG833-10*3600)&amp;"&amp;to="&amp;(AG833+50*3600),"📈 1H"),"")</f>
        <v/>
      </c>
      <c r="AF833" s="35" t="str">
        <f aca="false">IF(G833&lt;&gt;"",HYPERLINK("https://www.tradingview.com/chart/?symbol="&amp;G833&amp;"&amp;interval=240&amp;from="&amp;(AG833-10*14400)&amp;"&amp;to="&amp;(AG833+50*14400),"📈 4H"),"")</f>
        <v/>
      </c>
      <c r="AG833" s="36" t="str">
        <f aca="false">IF(C833&lt;&gt;"",INT((C833+IF(D833&lt;&gt;"",D833,0)-DATE(1970,1,1))*86400),"")</f>
        <v/>
      </c>
    </row>
    <row r="834" customFormat="false" ht="19.5" hidden="false" customHeight="true" outlineLevel="0" collapsed="false">
      <c r="A834" s="37" t="n">
        <f aca="false">ROW()-4</f>
        <v>830</v>
      </c>
      <c r="B834" s="38"/>
      <c r="C834" s="39"/>
      <c r="D834" s="40"/>
      <c r="E834" s="39"/>
      <c r="F834" s="40"/>
      <c r="G834" s="41"/>
      <c r="H834" s="42"/>
      <c r="I834" s="43"/>
      <c r="J834" s="44"/>
      <c r="K834" s="39"/>
      <c r="L834" s="42"/>
      <c r="M834" s="44"/>
      <c r="N834" s="45"/>
      <c r="O834" s="44"/>
      <c r="P834" s="46"/>
      <c r="Q834" s="47" t="str">
        <f aca="false">IF(L834="","",IF(M834&lt;&gt;"",M834*L834*100,IF(AND(O834&lt;&gt;"",B834&lt;&gt;""),IFERROR(AVERAGEIF($B$5:$B$1004,B834,$M$5:$M$1004)*L834*100,""),"")))</f>
        <v/>
      </c>
      <c r="R834" s="47" t="str">
        <f aca="false">IF(AND(O834&lt;&gt;"",L834&lt;&gt;""),O834*L834*100,"")</f>
        <v/>
      </c>
      <c r="S834" s="48" t="str">
        <f aca="false">IF(AND(P834&lt;&gt;"",L834&lt;&gt;""),P834*L834*100,"")</f>
        <v/>
      </c>
      <c r="T834" s="49" t="str">
        <f aca="false">IF(AND(Q834&lt;&gt;"",R834&lt;&gt;""),R834-Q834,"")</f>
        <v/>
      </c>
      <c r="U834" s="50" t="str">
        <f aca="false">IF(AND(Q834&lt;&gt;"",Q834&lt;&gt;0,T834&lt;&gt;""),T834/Q834,"")</f>
        <v/>
      </c>
      <c r="V834" s="51" t="str">
        <f aca="false">IF(AND(S834&lt;&gt;"",Q834&lt;&gt;""),S834-Q834,"")</f>
        <v/>
      </c>
      <c r="W834" s="52" t="str">
        <f aca="false">IF(AND(Q834&lt;&gt;"",Q834&lt;&gt;0,V834&lt;&gt;""),V834/Q834,"")</f>
        <v/>
      </c>
      <c r="X834" s="53" t="s">
        <v>37</v>
      </c>
      <c r="Y834" s="54" t="str">
        <f aca="false">IF(AND(O834&lt;&gt;"",M834&lt;&gt;"",O834&gt;M834),CONCATENATE("1 : ",TEXT((O834-M834)/M834,"0.00")),IF(AND(O834&lt;&gt;"",M834&lt;&gt;"",O834&lt;M834),CONCATENATE("-1 : ",TEXT((M834-O834)/M834,"0.00")),"—"))</f>
        <v>—</v>
      </c>
      <c r="Z834" s="55" t="str">
        <f aca="false">IF(AND(P834&lt;&gt;"",M834&lt;&gt;"",P834&gt;M834),CONCATENATE("1 : ",TEXT((P834-M834)/M834,"0.00")),"—")</f>
        <v>—</v>
      </c>
      <c r="AA834" s="56" t="str">
        <f aca="false">IF(AND(C834&lt;&gt;"",E834&lt;&gt;""),E834-C834,"")</f>
        <v/>
      </c>
      <c r="AB834" s="42"/>
      <c r="AC834" s="57"/>
      <c r="AD834" s="58"/>
      <c r="AE834" s="59" t="str">
        <f aca="false">IF(G834&lt;&gt;"",HYPERLINK("https://www.tradingview.com/chart/?symbol="&amp;G834&amp;"&amp;interval=60&amp;from="&amp;(AG834-10*3600)&amp;"&amp;to="&amp;(AG834+50*3600),"📈 1H"),"")</f>
        <v/>
      </c>
      <c r="AF834" s="60" t="str">
        <f aca="false">IF(G834&lt;&gt;"",HYPERLINK("https://www.tradingview.com/chart/?symbol="&amp;G834&amp;"&amp;interval=240&amp;from="&amp;(AG834-10*14400)&amp;"&amp;to="&amp;(AG834+50*14400),"📈 4H"),"")</f>
        <v/>
      </c>
      <c r="AG834" s="36" t="str">
        <f aca="false">IF(C834&lt;&gt;"",INT((C834+IF(D834&lt;&gt;"",D834,0)-DATE(1970,1,1))*86400),"")</f>
        <v/>
      </c>
    </row>
    <row r="835" customFormat="false" ht="19.5" hidden="false" customHeight="true" outlineLevel="0" collapsed="false">
      <c r="A835" s="12" t="n">
        <f aca="false">ROW()-4</f>
        <v>831</v>
      </c>
      <c r="B835" s="13"/>
      <c r="C835" s="14"/>
      <c r="D835" s="15"/>
      <c r="E835" s="14"/>
      <c r="F835" s="15"/>
      <c r="G835" s="16"/>
      <c r="H835" s="17"/>
      <c r="I835" s="18"/>
      <c r="J835" s="19"/>
      <c r="K835" s="14"/>
      <c r="L835" s="17"/>
      <c r="M835" s="19"/>
      <c r="N835" s="20"/>
      <c r="O835" s="19"/>
      <c r="P835" s="21"/>
      <c r="Q835" s="22" t="str">
        <f aca="false">IF(L835="","",IF(M835&lt;&gt;"",M835*L835*100,IF(AND(O835&lt;&gt;"",B835&lt;&gt;""),IFERROR(AVERAGEIF($B$5:$B$1004,B835,$M$5:$M$1004)*L835*100,""),"")))</f>
        <v/>
      </c>
      <c r="R835" s="22" t="str">
        <f aca="false">IF(AND(O835&lt;&gt;"",L835&lt;&gt;""),O835*L835*100,"")</f>
        <v/>
      </c>
      <c r="S835" s="23" t="str">
        <f aca="false">IF(AND(P835&lt;&gt;"",L835&lt;&gt;""),P835*L835*100,"")</f>
        <v/>
      </c>
      <c r="T835" s="24" t="str">
        <f aca="false">IF(AND(Q835&lt;&gt;"",R835&lt;&gt;""),R835-Q835,"")</f>
        <v/>
      </c>
      <c r="U835" s="25" t="str">
        <f aca="false">IF(AND(Q835&lt;&gt;"",Q835&lt;&gt;0,T835&lt;&gt;""),T835/Q835,"")</f>
        <v/>
      </c>
      <c r="V835" s="26" t="str">
        <f aca="false">IF(AND(S835&lt;&gt;"",Q835&lt;&gt;""),S835-Q835,"")</f>
        <v/>
      </c>
      <c r="W835" s="27" t="str">
        <f aca="false">IF(AND(Q835&lt;&gt;"",Q835&lt;&gt;0,V835&lt;&gt;""),V835/Q835,"")</f>
        <v/>
      </c>
      <c r="X835" s="28" t="s">
        <v>37</v>
      </c>
      <c r="Y835" s="29" t="str">
        <f aca="false">IF(AND(O835&lt;&gt;"",M835&lt;&gt;"",O835&gt;M835),CONCATENATE("1 : ",TEXT((O835-M835)/M835,"0.00")),IF(AND(O835&lt;&gt;"",M835&lt;&gt;"",O835&lt;M835),CONCATENATE("-1 : ",TEXT((M835-O835)/M835,"0.00")),"—"))</f>
        <v>—</v>
      </c>
      <c r="Z835" s="30" t="str">
        <f aca="false">IF(AND(P835&lt;&gt;"",M835&lt;&gt;"",P835&gt;M835),CONCATENATE("1 : ",TEXT((P835-M835)/M835,"0.00")),"—")</f>
        <v>—</v>
      </c>
      <c r="AA835" s="31" t="str">
        <f aca="false">IF(AND(C835&lt;&gt;"",E835&lt;&gt;""),E835-C835,"")</f>
        <v/>
      </c>
      <c r="AB835" s="17"/>
      <c r="AC835" s="32"/>
      <c r="AD835" s="33"/>
      <c r="AE835" s="34" t="str">
        <f aca="false">IF(G835&lt;&gt;"",HYPERLINK("https://www.tradingview.com/chart/?symbol="&amp;G835&amp;"&amp;interval=60&amp;from="&amp;(AG835-10*3600)&amp;"&amp;to="&amp;(AG835+50*3600),"📈 1H"),"")</f>
        <v/>
      </c>
      <c r="AF835" s="35" t="str">
        <f aca="false">IF(G835&lt;&gt;"",HYPERLINK("https://www.tradingview.com/chart/?symbol="&amp;G835&amp;"&amp;interval=240&amp;from="&amp;(AG835-10*14400)&amp;"&amp;to="&amp;(AG835+50*14400),"📈 4H"),"")</f>
        <v/>
      </c>
      <c r="AG835" s="36" t="str">
        <f aca="false">IF(C835&lt;&gt;"",INT((C835+IF(D835&lt;&gt;"",D835,0)-DATE(1970,1,1))*86400),"")</f>
        <v/>
      </c>
    </row>
    <row r="836" customFormat="false" ht="19.5" hidden="false" customHeight="true" outlineLevel="0" collapsed="false">
      <c r="A836" s="37" t="n">
        <f aca="false">ROW()-4</f>
        <v>832</v>
      </c>
      <c r="B836" s="38"/>
      <c r="C836" s="39"/>
      <c r="D836" s="40"/>
      <c r="E836" s="39"/>
      <c r="F836" s="40"/>
      <c r="G836" s="41"/>
      <c r="H836" s="42"/>
      <c r="I836" s="43"/>
      <c r="J836" s="44"/>
      <c r="K836" s="39"/>
      <c r="L836" s="42"/>
      <c r="M836" s="44"/>
      <c r="N836" s="45"/>
      <c r="O836" s="44"/>
      <c r="P836" s="46"/>
      <c r="Q836" s="47" t="str">
        <f aca="false">IF(L836="","",IF(M836&lt;&gt;"",M836*L836*100,IF(AND(O836&lt;&gt;"",B836&lt;&gt;""),IFERROR(AVERAGEIF($B$5:$B$1004,B836,$M$5:$M$1004)*L836*100,""),"")))</f>
        <v/>
      </c>
      <c r="R836" s="47" t="str">
        <f aca="false">IF(AND(O836&lt;&gt;"",L836&lt;&gt;""),O836*L836*100,"")</f>
        <v/>
      </c>
      <c r="S836" s="48" t="str">
        <f aca="false">IF(AND(P836&lt;&gt;"",L836&lt;&gt;""),P836*L836*100,"")</f>
        <v/>
      </c>
      <c r="T836" s="49" t="str">
        <f aca="false">IF(AND(Q836&lt;&gt;"",R836&lt;&gt;""),R836-Q836,"")</f>
        <v/>
      </c>
      <c r="U836" s="50" t="str">
        <f aca="false">IF(AND(Q836&lt;&gt;"",Q836&lt;&gt;0,T836&lt;&gt;""),T836/Q836,"")</f>
        <v/>
      </c>
      <c r="V836" s="51" t="str">
        <f aca="false">IF(AND(S836&lt;&gt;"",Q836&lt;&gt;""),S836-Q836,"")</f>
        <v/>
      </c>
      <c r="W836" s="52" t="str">
        <f aca="false">IF(AND(Q836&lt;&gt;"",Q836&lt;&gt;0,V836&lt;&gt;""),V836/Q836,"")</f>
        <v/>
      </c>
      <c r="X836" s="53" t="s">
        <v>37</v>
      </c>
      <c r="Y836" s="54" t="str">
        <f aca="false">IF(AND(O836&lt;&gt;"",M836&lt;&gt;"",O836&gt;M836),CONCATENATE("1 : ",TEXT((O836-M836)/M836,"0.00")),IF(AND(O836&lt;&gt;"",M836&lt;&gt;"",O836&lt;M836),CONCATENATE("-1 : ",TEXT((M836-O836)/M836,"0.00")),"—"))</f>
        <v>—</v>
      </c>
      <c r="Z836" s="55" t="str">
        <f aca="false">IF(AND(P836&lt;&gt;"",M836&lt;&gt;"",P836&gt;M836),CONCATENATE("1 : ",TEXT((P836-M836)/M836,"0.00")),"—")</f>
        <v>—</v>
      </c>
      <c r="AA836" s="56" t="str">
        <f aca="false">IF(AND(C836&lt;&gt;"",E836&lt;&gt;""),E836-C836,"")</f>
        <v/>
      </c>
      <c r="AB836" s="42"/>
      <c r="AC836" s="57"/>
      <c r="AD836" s="58"/>
      <c r="AE836" s="59" t="str">
        <f aca="false">IF(G836&lt;&gt;"",HYPERLINK("https://www.tradingview.com/chart/?symbol="&amp;G836&amp;"&amp;interval=60&amp;from="&amp;(AG836-10*3600)&amp;"&amp;to="&amp;(AG836+50*3600),"📈 1H"),"")</f>
        <v/>
      </c>
      <c r="AF836" s="60" t="str">
        <f aca="false">IF(G836&lt;&gt;"",HYPERLINK("https://www.tradingview.com/chart/?symbol="&amp;G836&amp;"&amp;interval=240&amp;from="&amp;(AG836-10*14400)&amp;"&amp;to="&amp;(AG836+50*14400),"📈 4H"),"")</f>
        <v/>
      </c>
      <c r="AG836" s="36" t="str">
        <f aca="false">IF(C836&lt;&gt;"",INT((C836+IF(D836&lt;&gt;"",D836,0)-DATE(1970,1,1))*86400),"")</f>
        <v/>
      </c>
    </row>
    <row r="837" customFormat="false" ht="19.5" hidden="false" customHeight="true" outlineLevel="0" collapsed="false">
      <c r="A837" s="12" t="n">
        <f aca="false">ROW()-4</f>
        <v>833</v>
      </c>
      <c r="B837" s="13"/>
      <c r="C837" s="14"/>
      <c r="D837" s="15"/>
      <c r="E837" s="14"/>
      <c r="F837" s="15"/>
      <c r="G837" s="16"/>
      <c r="H837" s="17"/>
      <c r="I837" s="18"/>
      <c r="J837" s="19"/>
      <c r="K837" s="14"/>
      <c r="L837" s="17"/>
      <c r="M837" s="19"/>
      <c r="N837" s="20"/>
      <c r="O837" s="19"/>
      <c r="P837" s="21"/>
      <c r="Q837" s="22" t="str">
        <f aca="false">IF(L837="","",IF(M837&lt;&gt;"",M837*L837*100,IF(AND(O837&lt;&gt;"",B837&lt;&gt;""),IFERROR(AVERAGEIF($B$5:$B$1004,B837,$M$5:$M$1004)*L837*100,""),"")))</f>
        <v/>
      </c>
      <c r="R837" s="22" t="str">
        <f aca="false">IF(AND(O837&lt;&gt;"",L837&lt;&gt;""),O837*L837*100,"")</f>
        <v/>
      </c>
      <c r="S837" s="23" t="str">
        <f aca="false">IF(AND(P837&lt;&gt;"",L837&lt;&gt;""),P837*L837*100,"")</f>
        <v/>
      </c>
      <c r="T837" s="24" t="str">
        <f aca="false">IF(AND(Q837&lt;&gt;"",R837&lt;&gt;""),R837-Q837,"")</f>
        <v/>
      </c>
      <c r="U837" s="25" t="str">
        <f aca="false">IF(AND(Q837&lt;&gt;"",Q837&lt;&gt;0,T837&lt;&gt;""),T837/Q837,"")</f>
        <v/>
      </c>
      <c r="V837" s="26" t="str">
        <f aca="false">IF(AND(S837&lt;&gt;"",Q837&lt;&gt;""),S837-Q837,"")</f>
        <v/>
      </c>
      <c r="W837" s="27" t="str">
        <f aca="false">IF(AND(Q837&lt;&gt;"",Q837&lt;&gt;0,V837&lt;&gt;""),V837/Q837,"")</f>
        <v/>
      </c>
      <c r="X837" s="28" t="s">
        <v>37</v>
      </c>
      <c r="Y837" s="29" t="str">
        <f aca="false">IF(AND(O837&lt;&gt;"",M837&lt;&gt;"",O837&gt;M837),CONCATENATE("1 : ",TEXT((O837-M837)/M837,"0.00")),IF(AND(O837&lt;&gt;"",M837&lt;&gt;"",O837&lt;M837),CONCATENATE("-1 : ",TEXT((M837-O837)/M837,"0.00")),"—"))</f>
        <v>—</v>
      </c>
      <c r="Z837" s="30" t="str">
        <f aca="false">IF(AND(P837&lt;&gt;"",M837&lt;&gt;"",P837&gt;M837),CONCATENATE("1 : ",TEXT((P837-M837)/M837,"0.00")),"—")</f>
        <v>—</v>
      </c>
      <c r="AA837" s="31" t="str">
        <f aca="false">IF(AND(C837&lt;&gt;"",E837&lt;&gt;""),E837-C837,"")</f>
        <v/>
      </c>
      <c r="AB837" s="17"/>
      <c r="AC837" s="32"/>
      <c r="AD837" s="33"/>
      <c r="AE837" s="34" t="str">
        <f aca="false">IF(G837&lt;&gt;"",HYPERLINK("https://www.tradingview.com/chart/?symbol="&amp;G837&amp;"&amp;interval=60&amp;from="&amp;(AG837-10*3600)&amp;"&amp;to="&amp;(AG837+50*3600),"📈 1H"),"")</f>
        <v/>
      </c>
      <c r="AF837" s="35" t="str">
        <f aca="false">IF(G837&lt;&gt;"",HYPERLINK("https://www.tradingview.com/chart/?symbol="&amp;G837&amp;"&amp;interval=240&amp;from="&amp;(AG837-10*14400)&amp;"&amp;to="&amp;(AG837+50*14400),"📈 4H"),"")</f>
        <v/>
      </c>
      <c r="AG837" s="36" t="str">
        <f aca="false">IF(C837&lt;&gt;"",INT((C837+IF(D837&lt;&gt;"",D837,0)-DATE(1970,1,1))*86400),"")</f>
        <v/>
      </c>
    </row>
    <row r="838" customFormat="false" ht="19.5" hidden="false" customHeight="true" outlineLevel="0" collapsed="false">
      <c r="A838" s="37" t="n">
        <f aca="false">ROW()-4</f>
        <v>834</v>
      </c>
      <c r="B838" s="38"/>
      <c r="C838" s="39"/>
      <c r="D838" s="40"/>
      <c r="E838" s="39"/>
      <c r="F838" s="40"/>
      <c r="G838" s="41"/>
      <c r="H838" s="42"/>
      <c r="I838" s="43"/>
      <c r="J838" s="44"/>
      <c r="K838" s="39"/>
      <c r="L838" s="42"/>
      <c r="M838" s="44"/>
      <c r="N838" s="45"/>
      <c r="O838" s="44"/>
      <c r="P838" s="46"/>
      <c r="Q838" s="47" t="str">
        <f aca="false">IF(L838="","",IF(M838&lt;&gt;"",M838*L838*100,IF(AND(O838&lt;&gt;"",B838&lt;&gt;""),IFERROR(AVERAGEIF($B$5:$B$1004,B838,$M$5:$M$1004)*L838*100,""),"")))</f>
        <v/>
      </c>
      <c r="R838" s="47" t="str">
        <f aca="false">IF(AND(O838&lt;&gt;"",L838&lt;&gt;""),O838*L838*100,"")</f>
        <v/>
      </c>
      <c r="S838" s="48" t="str">
        <f aca="false">IF(AND(P838&lt;&gt;"",L838&lt;&gt;""),P838*L838*100,"")</f>
        <v/>
      </c>
      <c r="T838" s="49" t="str">
        <f aca="false">IF(AND(Q838&lt;&gt;"",R838&lt;&gt;""),R838-Q838,"")</f>
        <v/>
      </c>
      <c r="U838" s="50" t="str">
        <f aca="false">IF(AND(Q838&lt;&gt;"",Q838&lt;&gt;0,T838&lt;&gt;""),T838/Q838,"")</f>
        <v/>
      </c>
      <c r="V838" s="51" t="str">
        <f aca="false">IF(AND(S838&lt;&gt;"",Q838&lt;&gt;""),S838-Q838,"")</f>
        <v/>
      </c>
      <c r="W838" s="52" t="str">
        <f aca="false">IF(AND(Q838&lt;&gt;"",Q838&lt;&gt;0,V838&lt;&gt;""),V838/Q838,"")</f>
        <v/>
      </c>
      <c r="X838" s="53" t="s">
        <v>37</v>
      </c>
      <c r="Y838" s="54" t="str">
        <f aca="false">IF(AND(O838&lt;&gt;"",M838&lt;&gt;"",O838&gt;M838),CONCATENATE("1 : ",TEXT((O838-M838)/M838,"0.00")),IF(AND(O838&lt;&gt;"",M838&lt;&gt;"",O838&lt;M838),CONCATENATE("-1 : ",TEXT((M838-O838)/M838,"0.00")),"—"))</f>
        <v>—</v>
      </c>
      <c r="Z838" s="55" t="str">
        <f aca="false">IF(AND(P838&lt;&gt;"",M838&lt;&gt;"",P838&gt;M838),CONCATENATE("1 : ",TEXT((P838-M838)/M838,"0.00")),"—")</f>
        <v>—</v>
      </c>
      <c r="AA838" s="56" t="str">
        <f aca="false">IF(AND(C838&lt;&gt;"",E838&lt;&gt;""),E838-C838,"")</f>
        <v/>
      </c>
      <c r="AB838" s="42"/>
      <c r="AC838" s="57"/>
      <c r="AD838" s="58"/>
      <c r="AE838" s="59" t="str">
        <f aca="false">IF(G838&lt;&gt;"",HYPERLINK("https://www.tradingview.com/chart/?symbol="&amp;G838&amp;"&amp;interval=60&amp;from="&amp;(AG838-10*3600)&amp;"&amp;to="&amp;(AG838+50*3600),"📈 1H"),"")</f>
        <v/>
      </c>
      <c r="AF838" s="60" t="str">
        <f aca="false">IF(G838&lt;&gt;"",HYPERLINK("https://www.tradingview.com/chart/?symbol="&amp;G838&amp;"&amp;interval=240&amp;from="&amp;(AG838-10*14400)&amp;"&amp;to="&amp;(AG838+50*14400),"📈 4H"),"")</f>
        <v/>
      </c>
      <c r="AG838" s="36" t="str">
        <f aca="false">IF(C838&lt;&gt;"",INT((C838+IF(D838&lt;&gt;"",D838,0)-DATE(1970,1,1))*86400),"")</f>
        <v/>
      </c>
    </row>
    <row r="839" customFormat="false" ht="19.5" hidden="false" customHeight="true" outlineLevel="0" collapsed="false">
      <c r="A839" s="12" t="n">
        <f aca="false">ROW()-4</f>
        <v>835</v>
      </c>
      <c r="B839" s="13"/>
      <c r="C839" s="14"/>
      <c r="D839" s="15"/>
      <c r="E839" s="14"/>
      <c r="F839" s="15"/>
      <c r="G839" s="16"/>
      <c r="H839" s="17"/>
      <c r="I839" s="18"/>
      <c r="J839" s="19"/>
      <c r="K839" s="14"/>
      <c r="L839" s="17"/>
      <c r="M839" s="19"/>
      <c r="N839" s="20"/>
      <c r="O839" s="19"/>
      <c r="P839" s="21"/>
      <c r="Q839" s="22" t="str">
        <f aca="false">IF(L839="","",IF(M839&lt;&gt;"",M839*L839*100,IF(AND(O839&lt;&gt;"",B839&lt;&gt;""),IFERROR(AVERAGEIF($B$5:$B$1004,B839,$M$5:$M$1004)*L839*100,""),"")))</f>
        <v/>
      </c>
      <c r="R839" s="22" t="str">
        <f aca="false">IF(AND(O839&lt;&gt;"",L839&lt;&gt;""),O839*L839*100,"")</f>
        <v/>
      </c>
      <c r="S839" s="23" t="str">
        <f aca="false">IF(AND(P839&lt;&gt;"",L839&lt;&gt;""),P839*L839*100,"")</f>
        <v/>
      </c>
      <c r="T839" s="24" t="str">
        <f aca="false">IF(AND(Q839&lt;&gt;"",R839&lt;&gt;""),R839-Q839,"")</f>
        <v/>
      </c>
      <c r="U839" s="25" t="str">
        <f aca="false">IF(AND(Q839&lt;&gt;"",Q839&lt;&gt;0,T839&lt;&gt;""),T839/Q839,"")</f>
        <v/>
      </c>
      <c r="V839" s="26" t="str">
        <f aca="false">IF(AND(S839&lt;&gt;"",Q839&lt;&gt;""),S839-Q839,"")</f>
        <v/>
      </c>
      <c r="W839" s="27" t="str">
        <f aca="false">IF(AND(Q839&lt;&gt;"",Q839&lt;&gt;0,V839&lt;&gt;""),V839/Q839,"")</f>
        <v/>
      </c>
      <c r="X839" s="28" t="s">
        <v>37</v>
      </c>
      <c r="Y839" s="29" t="str">
        <f aca="false">IF(AND(O839&lt;&gt;"",M839&lt;&gt;"",O839&gt;M839),CONCATENATE("1 : ",TEXT((O839-M839)/M839,"0.00")),IF(AND(O839&lt;&gt;"",M839&lt;&gt;"",O839&lt;M839),CONCATENATE("-1 : ",TEXT((M839-O839)/M839,"0.00")),"—"))</f>
        <v>—</v>
      </c>
      <c r="Z839" s="30" t="str">
        <f aca="false">IF(AND(P839&lt;&gt;"",M839&lt;&gt;"",P839&gt;M839),CONCATENATE("1 : ",TEXT((P839-M839)/M839,"0.00")),"—")</f>
        <v>—</v>
      </c>
      <c r="AA839" s="31" t="str">
        <f aca="false">IF(AND(C839&lt;&gt;"",E839&lt;&gt;""),E839-C839,"")</f>
        <v/>
      </c>
      <c r="AB839" s="17"/>
      <c r="AC839" s="32"/>
      <c r="AD839" s="33"/>
      <c r="AE839" s="34" t="str">
        <f aca="false">IF(G839&lt;&gt;"",HYPERLINK("https://www.tradingview.com/chart/?symbol="&amp;G839&amp;"&amp;interval=60&amp;from="&amp;(AG839-10*3600)&amp;"&amp;to="&amp;(AG839+50*3600),"📈 1H"),"")</f>
        <v/>
      </c>
      <c r="AF839" s="35" t="str">
        <f aca="false">IF(G839&lt;&gt;"",HYPERLINK("https://www.tradingview.com/chart/?symbol="&amp;G839&amp;"&amp;interval=240&amp;from="&amp;(AG839-10*14400)&amp;"&amp;to="&amp;(AG839+50*14400),"📈 4H"),"")</f>
        <v/>
      </c>
      <c r="AG839" s="36" t="str">
        <f aca="false">IF(C839&lt;&gt;"",INT((C839+IF(D839&lt;&gt;"",D839,0)-DATE(1970,1,1))*86400),"")</f>
        <v/>
      </c>
    </row>
    <row r="840" customFormat="false" ht="19.5" hidden="false" customHeight="true" outlineLevel="0" collapsed="false">
      <c r="A840" s="37" t="n">
        <f aca="false">ROW()-4</f>
        <v>836</v>
      </c>
      <c r="B840" s="38"/>
      <c r="C840" s="39"/>
      <c r="D840" s="40"/>
      <c r="E840" s="39"/>
      <c r="F840" s="40"/>
      <c r="G840" s="41"/>
      <c r="H840" s="42"/>
      <c r="I840" s="43"/>
      <c r="J840" s="44"/>
      <c r="K840" s="39"/>
      <c r="L840" s="42"/>
      <c r="M840" s="44"/>
      <c r="N840" s="45"/>
      <c r="O840" s="44"/>
      <c r="P840" s="46"/>
      <c r="Q840" s="47" t="str">
        <f aca="false">IF(L840="","",IF(M840&lt;&gt;"",M840*L840*100,IF(AND(O840&lt;&gt;"",B840&lt;&gt;""),IFERROR(AVERAGEIF($B$5:$B$1004,B840,$M$5:$M$1004)*L840*100,""),"")))</f>
        <v/>
      </c>
      <c r="R840" s="47" t="str">
        <f aca="false">IF(AND(O840&lt;&gt;"",L840&lt;&gt;""),O840*L840*100,"")</f>
        <v/>
      </c>
      <c r="S840" s="48" t="str">
        <f aca="false">IF(AND(P840&lt;&gt;"",L840&lt;&gt;""),P840*L840*100,"")</f>
        <v/>
      </c>
      <c r="T840" s="49" t="str">
        <f aca="false">IF(AND(Q840&lt;&gt;"",R840&lt;&gt;""),R840-Q840,"")</f>
        <v/>
      </c>
      <c r="U840" s="50" t="str">
        <f aca="false">IF(AND(Q840&lt;&gt;"",Q840&lt;&gt;0,T840&lt;&gt;""),T840/Q840,"")</f>
        <v/>
      </c>
      <c r="V840" s="51" t="str">
        <f aca="false">IF(AND(S840&lt;&gt;"",Q840&lt;&gt;""),S840-Q840,"")</f>
        <v/>
      </c>
      <c r="W840" s="52" t="str">
        <f aca="false">IF(AND(Q840&lt;&gt;"",Q840&lt;&gt;0,V840&lt;&gt;""),V840/Q840,"")</f>
        <v/>
      </c>
      <c r="X840" s="53" t="s">
        <v>37</v>
      </c>
      <c r="Y840" s="54" t="str">
        <f aca="false">IF(AND(O840&lt;&gt;"",M840&lt;&gt;"",O840&gt;M840),CONCATENATE("1 : ",TEXT((O840-M840)/M840,"0.00")),IF(AND(O840&lt;&gt;"",M840&lt;&gt;"",O840&lt;M840),CONCATENATE("-1 : ",TEXT((M840-O840)/M840,"0.00")),"—"))</f>
        <v>—</v>
      </c>
      <c r="Z840" s="55" t="str">
        <f aca="false">IF(AND(P840&lt;&gt;"",M840&lt;&gt;"",P840&gt;M840),CONCATENATE("1 : ",TEXT((P840-M840)/M840,"0.00")),"—")</f>
        <v>—</v>
      </c>
      <c r="AA840" s="56" t="str">
        <f aca="false">IF(AND(C840&lt;&gt;"",E840&lt;&gt;""),E840-C840,"")</f>
        <v/>
      </c>
      <c r="AB840" s="42"/>
      <c r="AC840" s="57"/>
      <c r="AD840" s="58"/>
      <c r="AE840" s="59" t="str">
        <f aca="false">IF(G840&lt;&gt;"",HYPERLINK("https://www.tradingview.com/chart/?symbol="&amp;G840&amp;"&amp;interval=60&amp;from="&amp;(AG840-10*3600)&amp;"&amp;to="&amp;(AG840+50*3600),"📈 1H"),"")</f>
        <v/>
      </c>
      <c r="AF840" s="60" t="str">
        <f aca="false">IF(G840&lt;&gt;"",HYPERLINK("https://www.tradingview.com/chart/?symbol="&amp;G840&amp;"&amp;interval=240&amp;from="&amp;(AG840-10*14400)&amp;"&amp;to="&amp;(AG840+50*14400),"📈 4H"),"")</f>
        <v/>
      </c>
      <c r="AG840" s="36" t="str">
        <f aca="false">IF(C840&lt;&gt;"",INT((C840+IF(D840&lt;&gt;"",D840,0)-DATE(1970,1,1))*86400),"")</f>
        <v/>
      </c>
    </row>
    <row r="841" customFormat="false" ht="19.5" hidden="false" customHeight="true" outlineLevel="0" collapsed="false">
      <c r="A841" s="12" t="n">
        <f aca="false">ROW()-4</f>
        <v>837</v>
      </c>
      <c r="B841" s="13"/>
      <c r="C841" s="14"/>
      <c r="D841" s="15"/>
      <c r="E841" s="14"/>
      <c r="F841" s="15"/>
      <c r="G841" s="16"/>
      <c r="H841" s="17"/>
      <c r="I841" s="18"/>
      <c r="J841" s="19"/>
      <c r="K841" s="14"/>
      <c r="L841" s="17"/>
      <c r="M841" s="19"/>
      <c r="N841" s="20"/>
      <c r="O841" s="19"/>
      <c r="P841" s="21"/>
      <c r="Q841" s="22" t="str">
        <f aca="false">IF(L841="","",IF(M841&lt;&gt;"",M841*L841*100,IF(AND(O841&lt;&gt;"",B841&lt;&gt;""),IFERROR(AVERAGEIF($B$5:$B$1004,B841,$M$5:$M$1004)*L841*100,""),"")))</f>
        <v/>
      </c>
      <c r="R841" s="22" t="str">
        <f aca="false">IF(AND(O841&lt;&gt;"",L841&lt;&gt;""),O841*L841*100,"")</f>
        <v/>
      </c>
      <c r="S841" s="23" t="str">
        <f aca="false">IF(AND(P841&lt;&gt;"",L841&lt;&gt;""),P841*L841*100,"")</f>
        <v/>
      </c>
      <c r="T841" s="24" t="str">
        <f aca="false">IF(AND(Q841&lt;&gt;"",R841&lt;&gt;""),R841-Q841,"")</f>
        <v/>
      </c>
      <c r="U841" s="25" t="str">
        <f aca="false">IF(AND(Q841&lt;&gt;"",Q841&lt;&gt;0,T841&lt;&gt;""),T841/Q841,"")</f>
        <v/>
      </c>
      <c r="V841" s="26" t="str">
        <f aca="false">IF(AND(S841&lt;&gt;"",Q841&lt;&gt;""),S841-Q841,"")</f>
        <v/>
      </c>
      <c r="W841" s="27" t="str">
        <f aca="false">IF(AND(Q841&lt;&gt;"",Q841&lt;&gt;0,V841&lt;&gt;""),V841/Q841,"")</f>
        <v/>
      </c>
      <c r="X841" s="28" t="s">
        <v>37</v>
      </c>
      <c r="Y841" s="29" t="str">
        <f aca="false">IF(AND(O841&lt;&gt;"",M841&lt;&gt;"",O841&gt;M841),CONCATENATE("1 : ",TEXT((O841-M841)/M841,"0.00")),IF(AND(O841&lt;&gt;"",M841&lt;&gt;"",O841&lt;M841),CONCATENATE("-1 : ",TEXT((M841-O841)/M841,"0.00")),"—"))</f>
        <v>—</v>
      </c>
      <c r="Z841" s="30" t="str">
        <f aca="false">IF(AND(P841&lt;&gt;"",M841&lt;&gt;"",P841&gt;M841),CONCATENATE("1 : ",TEXT((P841-M841)/M841,"0.00")),"—")</f>
        <v>—</v>
      </c>
      <c r="AA841" s="31" t="str">
        <f aca="false">IF(AND(C841&lt;&gt;"",E841&lt;&gt;""),E841-C841,"")</f>
        <v/>
      </c>
      <c r="AB841" s="17"/>
      <c r="AC841" s="32"/>
      <c r="AD841" s="33"/>
      <c r="AE841" s="34" t="str">
        <f aca="false">IF(G841&lt;&gt;"",HYPERLINK("https://www.tradingview.com/chart/?symbol="&amp;G841&amp;"&amp;interval=60&amp;from="&amp;(AG841-10*3600)&amp;"&amp;to="&amp;(AG841+50*3600),"📈 1H"),"")</f>
        <v/>
      </c>
      <c r="AF841" s="35" t="str">
        <f aca="false">IF(G841&lt;&gt;"",HYPERLINK("https://www.tradingview.com/chart/?symbol="&amp;G841&amp;"&amp;interval=240&amp;from="&amp;(AG841-10*14400)&amp;"&amp;to="&amp;(AG841+50*14400),"📈 4H"),"")</f>
        <v/>
      </c>
      <c r="AG841" s="36" t="str">
        <f aca="false">IF(C841&lt;&gt;"",INT((C841+IF(D841&lt;&gt;"",D841,0)-DATE(1970,1,1))*86400),"")</f>
        <v/>
      </c>
    </row>
    <row r="842" customFormat="false" ht="19.5" hidden="false" customHeight="true" outlineLevel="0" collapsed="false">
      <c r="A842" s="37" t="n">
        <f aca="false">ROW()-4</f>
        <v>838</v>
      </c>
      <c r="B842" s="38"/>
      <c r="C842" s="39"/>
      <c r="D842" s="40"/>
      <c r="E842" s="39"/>
      <c r="F842" s="40"/>
      <c r="G842" s="41"/>
      <c r="H842" s="42"/>
      <c r="I842" s="43"/>
      <c r="J842" s="44"/>
      <c r="K842" s="39"/>
      <c r="L842" s="42"/>
      <c r="M842" s="44"/>
      <c r="N842" s="45"/>
      <c r="O842" s="44"/>
      <c r="P842" s="46"/>
      <c r="Q842" s="47" t="str">
        <f aca="false">IF(L842="","",IF(M842&lt;&gt;"",M842*L842*100,IF(AND(O842&lt;&gt;"",B842&lt;&gt;""),IFERROR(AVERAGEIF($B$5:$B$1004,B842,$M$5:$M$1004)*L842*100,""),"")))</f>
        <v/>
      </c>
      <c r="R842" s="47" t="str">
        <f aca="false">IF(AND(O842&lt;&gt;"",L842&lt;&gt;""),O842*L842*100,"")</f>
        <v/>
      </c>
      <c r="S842" s="48" t="str">
        <f aca="false">IF(AND(P842&lt;&gt;"",L842&lt;&gt;""),P842*L842*100,"")</f>
        <v/>
      </c>
      <c r="T842" s="49" t="str">
        <f aca="false">IF(AND(Q842&lt;&gt;"",R842&lt;&gt;""),R842-Q842,"")</f>
        <v/>
      </c>
      <c r="U842" s="50" t="str">
        <f aca="false">IF(AND(Q842&lt;&gt;"",Q842&lt;&gt;0,T842&lt;&gt;""),T842/Q842,"")</f>
        <v/>
      </c>
      <c r="V842" s="51" t="str">
        <f aca="false">IF(AND(S842&lt;&gt;"",Q842&lt;&gt;""),S842-Q842,"")</f>
        <v/>
      </c>
      <c r="W842" s="52" t="str">
        <f aca="false">IF(AND(Q842&lt;&gt;"",Q842&lt;&gt;0,V842&lt;&gt;""),V842/Q842,"")</f>
        <v/>
      </c>
      <c r="X842" s="53" t="s">
        <v>37</v>
      </c>
      <c r="Y842" s="54" t="str">
        <f aca="false">IF(AND(O842&lt;&gt;"",M842&lt;&gt;"",O842&gt;M842),CONCATENATE("1 : ",TEXT((O842-M842)/M842,"0.00")),IF(AND(O842&lt;&gt;"",M842&lt;&gt;"",O842&lt;M842),CONCATENATE("-1 : ",TEXT((M842-O842)/M842,"0.00")),"—"))</f>
        <v>—</v>
      </c>
      <c r="Z842" s="55" t="str">
        <f aca="false">IF(AND(P842&lt;&gt;"",M842&lt;&gt;"",P842&gt;M842),CONCATENATE("1 : ",TEXT((P842-M842)/M842,"0.00")),"—")</f>
        <v>—</v>
      </c>
      <c r="AA842" s="56" t="str">
        <f aca="false">IF(AND(C842&lt;&gt;"",E842&lt;&gt;""),E842-C842,"")</f>
        <v/>
      </c>
      <c r="AB842" s="42"/>
      <c r="AC842" s="57"/>
      <c r="AD842" s="58"/>
      <c r="AE842" s="59" t="str">
        <f aca="false">IF(G842&lt;&gt;"",HYPERLINK("https://www.tradingview.com/chart/?symbol="&amp;G842&amp;"&amp;interval=60&amp;from="&amp;(AG842-10*3600)&amp;"&amp;to="&amp;(AG842+50*3600),"📈 1H"),"")</f>
        <v/>
      </c>
      <c r="AF842" s="60" t="str">
        <f aca="false">IF(G842&lt;&gt;"",HYPERLINK("https://www.tradingview.com/chart/?symbol="&amp;G842&amp;"&amp;interval=240&amp;from="&amp;(AG842-10*14400)&amp;"&amp;to="&amp;(AG842+50*14400),"📈 4H"),"")</f>
        <v/>
      </c>
      <c r="AG842" s="36" t="str">
        <f aca="false">IF(C842&lt;&gt;"",INT((C842+IF(D842&lt;&gt;"",D842,0)-DATE(1970,1,1))*86400),"")</f>
        <v/>
      </c>
    </row>
    <row r="843" customFormat="false" ht="19.5" hidden="false" customHeight="true" outlineLevel="0" collapsed="false">
      <c r="A843" s="12" t="n">
        <f aca="false">ROW()-4</f>
        <v>839</v>
      </c>
      <c r="B843" s="13"/>
      <c r="C843" s="14"/>
      <c r="D843" s="15"/>
      <c r="E843" s="14"/>
      <c r="F843" s="15"/>
      <c r="G843" s="16"/>
      <c r="H843" s="17"/>
      <c r="I843" s="18"/>
      <c r="J843" s="19"/>
      <c r="K843" s="14"/>
      <c r="L843" s="17"/>
      <c r="M843" s="19"/>
      <c r="N843" s="20"/>
      <c r="O843" s="19"/>
      <c r="P843" s="21"/>
      <c r="Q843" s="22" t="str">
        <f aca="false">IF(L843="","",IF(M843&lt;&gt;"",M843*L843*100,IF(AND(O843&lt;&gt;"",B843&lt;&gt;""),IFERROR(AVERAGEIF($B$5:$B$1004,B843,$M$5:$M$1004)*L843*100,""),"")))</f>
        <v/>
      </c>
      <c r="R843" s="22" t="str">
        <f aca="false">IF(AND(O843&lt;&gt;"",L843&lt;&gt;""),O843*L843*100,"")</f>
        <v/>
      </c>
      <c r="S843" s="23" t="str">
        <f aca="false">IF(AND(P843&lt;&gt;"",L843&lt;&gt;""),P843*L843*100,"")</f>
        <v/>
      </c>
      <c r="T843" s="24" t="str">
        <f aca="false">IF(AND(Q843&lt;&gt;"",R843&lt;&gt;""),R843-Q843,"")</f>
        <v/>
      </c>
      <c r="U843" s="25" t="str">
        <f aca="false">IF(AND(Q843&lt;&gt;"",Q843&lt;&gt;0,T843&lt;&gt;""),T843/Q843,"")</f>
        <v/>
      </c>
      <c r="V843" s="26" t="str">
        <f aca="false">IF(AND(S843&lt;&gt;"",Q843&lt;&gt;""),S843-Q843,"")</f>
        <v/>
      </c>
      <c r="W843" s="27" t="str">
        <f aca="false">IF(AND(Q843&lt;&gt;"",Q843&lt;&gt;0,V843&lt;&gt;""),V843/Q843,"")</f>
        <v/>
      </c>
      <c r="X843" s="28" t="s">
        <v>37</v>
      </c>
      <c r="Y843" s="29" t="str">
        <f aca="false">IF(AND(O843&lt;&gt;"",M843&lt;&gt;"",O843&gt;M843),CONCATENATE("1 : ",TEXT((O843-M843)/M843,"0.00")),IF(AND(O843&lt;&gt;"",M843&lt;&gt;"",O843&lt;M843),CONCATENATE("-1 : ",TEXT((M843-O843)/M843,"0.00")),"—"))</f>
        <v>—</v>
      </c>
      <c r="Z843" s="30" t="str">
        <f aca="false">IF(AND(P843&lt;&gt;"",M843&lt;&gt;"",P843&gt;M843),CONCATENATE("1 : ",TEXT((P843-M843)/M843,"0.00")),"—")</f>
        <v>—</v>
      </c>
      <c r="AA843" s="31" t="str">
        <f aca="false">IF(AND(C843&lt;&gt;"",E843&lt;&gt;""),E843-C843,"")</f>
        <v/>
      </c>
      <c r="AB843" s="17"/>
      <c r="AC843" s="32"/>
      <c r="AD843" s="33"/>
      <c r="AE843" s="34" t="str">
        <f aca="false">IF(G843&lt;&gt;"",HYPERLINK("https://www.tradingview.com/chart/?symbol="&amp;G843&amp;"&amp;interval=60&amp;from="&amp;(AG843-10*3600)&amp;"&amp;to="&amp;(AG843+50*3600),"📈 1H"),"")</f>
        <v/>
      </c>
      <c r="AF843" s="35" t="str">
        <f aca="false">IF(G843&lt;&gt;"",HYPERLINK("https://www.tradingview.com/chart/?symbol="&amp;G843&amp;"&amp;interval=240&amp;from="&amp;(AG843-10*14400)&amp;"&amp;to="&amp;(AG843+50*14400),"📈 4H"),"")</f>
        <v/>
      </c>
      <c r="AG843" s="36" t="str">
        <f aca="false">IF(C843&lt;&gt;"",INT((C843+IF(D843&lt;&gt;"",D843,0)-DATE(1970,1,1))*86400),"")</f>
        <v/>
      </c>
    </row>
    <row r="844" customFormat="false" ht="19.5" hidden="false" customHeight="true" outlineLevel="0" collapsed="false">
      <c r="A844" s="37" t="n">
        <f aca="false">ROW()-4</f>
        <v>840</v>
      </c>
      <c r="B844" s="38"/>
      <c r="C844" s="39"/>
      <c r="D844" s="40"/>
      <c r="E844" s="39"/>
      <c r="F844" s="40"/>
      <c r="G844" s="41"/>
      <c r="H844" s="42"/>
      <c r="I844" s="43"/>
      <c r="J844" s="44"/>
      <c r="K844" s="39"/>
      <c r="L844" s="42"/>
      <c r="M844" s="44"/>
      <c r="N844" s="45"/>
      <c r="O844" s="44"/>
      <c r="P844" s="46"/>
      <c r="Q844" s="47" t="str">
        <f aca="false">IF(L844="","",IF(M844&lt;&gt;"",M844*L844*100,IF(AND(O844&lt;&gt;"",B844&lt;&gt;""),IFERROR(AVERAGEIF($B$5:$B$1004,B844,$M$5:$M$1004)*L844*100,""),"")))</f>
        <v/>
      </c>
      <c r="R844" s="47" t="str">
        <f aca="false">IF(AND(O844&lt;&gt;"",L844&lt;&gt;""),O844*L844*100,"")</f>
        <v/>
      </c>
      <c r="S844" s="48" t="str">
        <f aca="false">IF(AND(P844&lt;&gt;"",L844&lt;&gt;""),P844*L844*100,"")</f>
        <v/>
      </c>
      <c r="T844" s="49" t="str">
        <f aca="false">IF(AND(Q844&lt;&gt;"",R844&lt;&gt;""),R844-Q844,"")</f>
        <v/>
      </c>
      <c r="U844" s="50" t="str">
        <f aca="false">IF(AND(Q844&lt;&gt;"",Q844&lt;&gt;0,T844&lt;&gt;""),T844/Q844,"")</f>
        <v/>
      </c>
      <c r="V844" s="51" t="str">
        <f aca="false">IF(AND(S844&lt;&gt;"",Q844&lt;&gt;""),S844-Q844,"")</f>
        <v/>
      </c>
      <c r="W844" s="52" t="str">
        <f aca="false">IF(AND(Q844&lt;&gt;"",Q844&lt;&gt;0,V844&lt;&gt;""),V844/Q844,"")</f>
        <v/>
      </c>
      <c r="X844" s="53" t="s">
        <v>37</v>
      </c>
      <c r="Y844" s="54" t="str">
        <f aca="false">IF(AND(O844&lt;&gt;"",M844&lt;&gt;"",O844&gt;M844),CONCATENATE("1 : ",TEXT((O844-M844)/M844,"0.00")),IF(AND(O844&lt;&gt;"",M844&lt;&gt;"",O844&lt;M844),CONCATENATE("-1 : ",TEXT((M844-O844)/M844,"0.00")),"—"))</f>
        <v>—</v>
      </c>
      <c r="Z844" s="55" t="str">
        <f aca="false">IF(AND(P844&lt;&gt;"",M844&lt;&gt;"",P844&gt;M844),CONCATENATE("1 : ",TEXT((P844-M844)/M844,"0.00")),"—")</f>
        <v>—</v>
      </c>
      <c r="AA844" s="56" t="str">
        <f aca="false">IF(AND(C844&lt;&gt;"",E844&lt;&gt;""),E844-C844,"")</f>
        <v/>
      </c>
      <c r="AB844" s="42"/>
      <c r="AC844" s="57"/>
      <c r="AD844" s="58"/>
      <c r="AE844" s="59" t="str">
        <f aca="false">IF(G844&lt;&gt;"",HYPERLINK("https://www.tradingview.com/chart/?symbol="&amp;G844&amp;"&amp;interval=60&amp;from="&amp;(AG844-10*3600)&amp;"&amp;to="&amp;(AG844+50*3600),"📈 1H"),"")</f>
        <v/>
      </c>
      <c r="AF844" s="60" t="str">
        <f aca="false">IF(G844&lt;&gt;"",HYPERLINK("https://www.tradingview.com/chart/?symbol="&amp;G844&amp;"&amp;interval=240&amp;from="&amp;(AG844-10*14400)&amp;"&amp;to="&amp;(AG844+50*14400),"📈 4H"),"")</f>
        <v/>
      </c>
      <c r="AG844" s="36" t="str">
        <f aca="false">IF(C844&lt;&gt;"",INT((C844+IF(D844&lt;&gt;"",D844,0)-DATE(1970,1,1))*86400),"")</f>
        <v/>
      </c>
    </row>
    <row r="845" customFormat="false" ht="19.5" hidden="false" customHeight="true" outlineLevel="0" collapsed="false">
      <c r="A845" s="12" t="n">
        <f aca="false">ROW()-4</f>
        <v>841</v>
      </c>
      <c r="B845" s="13"/>
      <c r="C845" s="14"/>
      <c r="D845" s="15"/>
      <c r="E845" s="14"/>
      <c r="F845" s="15"/>
      <c r="G845" s="16"/>
      <c r="H845" s="17"/>
      <c r="I845" s="18"/>
      <c r="J845" s="19"/>
      <c r="K845" s="14"/>
      <c r="L845" s="17"/>
      <c r="M845" s="19"/>
      <c r="N845" s="20"/>
      <c r="O845" s="19"/>
      <c r="P845" s="21"/>
      <c r="Q845" s="22" t="str">
        <f aca="false">IF(L845="","",IF(M845&lt;&gt;"",M845*L845*100,IF(AND(O845&lt;&gt;"",B845&lt;&gt;""),IFERROR(AVERAGEIF($B$5:$B$1004,B845,$M$5:$M$1004)*L845*100,""),"")))</f>
        <v/>
      </c>
      <c r="R845" s="22" t="str">
        <f aca="false">IF(AND(O845&lt;&gt;"",L845&lt;&gt;""),O845*L845*100,"")</f>
        <v/>
      </c>
      <c r="S845" s="23" t="str">
        <f aca="false">IF(AND(P845&lt;&gt;"",L845&lt;&gt;""),P845*L845*100,"")</f>
        <v/>
      </c>
      <c r="T845" s="24" t="str">
        <f aca="false">IF(AND(Q845&lt;&gt;"",R845&lt;&gt;""),R845-Q845,"")</f>
        <v/>
      </c>
      <c r="U845" s="25" t="str">
        <f aca="false">IF(AND(Q845&lt;&gt;"",Q845&lt;&gt;0,T845&lt;&gt;""),T845/Q845,"")</f>
        <v/>
      </c>
      <c r="V845" s="26" t="str">
        <f aca="false">IF(AND(S845&lt;&gt;"",Q845&lt;&gt;""),S845-Q845,"")</f>
        <v/>
      </c>
      <c r="W845" s="27" t="str">
        <f aca="false">IF(AND(Q845&lt;&gt;"",Q845&lt;&gt;0,V845&lt;&gt;""),V845/Q845,"")</f>
        <v/>
      </c>
      <c r="X845" s="28" t="s">
        <v>37</v>
      </c>
      <c r="Y845" s="29" t="str">
        <f aca="false">IF(AND(O845&lt;&gt;"",M845&lt;&gt;"",O845&gt;M845),CONCATENATE("1 : ",TEXT((O845-M845)/M845,"0.00")),IF(AND(O845&lt;&gt;"",M845&lt;&gt;"",O845&lt;M845),CONCATENATE("-1 : ",TEXT((M845-O845)/M845,"0.00")),"—"))</f>
        <v>—</v>
      </c>
      <c r="Z845" s="30" t="str">
        <f aca="false">IF(AND(P845&lt;&gt;"",M845&lt;&gt;"",P845&gt;M845),CONCATENATE("1 : ",TEXT((P845-M845)/M845,"0.00")),"—")</f>
        <v>—</v>
      </c>
      <c r="AA845" s="31" t="str">
        <f aca="false">IF(AND(C845&lt;&gt;"",E845&lt;&gt;""),E845-C845,"")</f>
        <v/>
      </c>
      <c r="AB845" s="17"/>
      <c r="AC845" s="32"/>
      <c r="AD845" s="33"/>
      <c r="AE845" s="34" t="str">
        <f aca="false">IF(G845&lt;&gt;"",HYPERLINK("https://www.tradingview.com/chart/?symbol="&amp;G845&amp;"&amp;interval=60&amp;from="&amp;(AG845-10*3600)&amp;"&amp;to="&amp;(AG845+50*3600),"📈 1H"),"")</f>
        <v/>
      </c>
      <c r="AF845" s="35" t="str">
        <f aca="false">IF(G845&lt;&gt;"",HYPERLINK("https://www.tradingview.com/chart/?symbol="&amp;G845&amp;"&amp;interval=240&amp;from="&amp;(AG845-10*14400)&amp;"&amp;to="&amp;(AG845+50*14400),"📈 4H"),"")</f>
        <v/>
      </c>
      <c r="AG845" s="36" t="str">
        <f aca="false">IF(C845&lt;&gt;"",INT((C845+IF(D845&lt;&gt;"",D845,0)-DATE(1970,1,1))*86400),"")</f>
        <v/>
      </c>
    </row>
    <row r="846" customFormat="false" ht="19.5" hidden="false" customHeight="true" outlineLevel="0" collapsed="false">
      <c r="A846" s="37" t="n">
        <f aca="false">ROW()-4</f>
        <v>842</v>
      </c>
      <c r="B846" s="38"/>
      <c r="C846" s="39"/>
      <c r="D846" s="40"/>
      <c r="E846" s="39"/>
      <c r="F846" s="40"/>
      <c r="G846" s="41"/>
      <c r="H846" s="42"/>
      <c r="I846" s="43"/>
      <c r="J846" s="44"/>
      <c r="K846" s="39"/>
      <c r="L846" s="42"/>
      <c r="M846" s="44"/>
      <c r="N846" s="45"/>
      <c r="O846" s="44"/>
      <c r="P846" s="46"/>
      <c r="Q846" s="47" t="str">
        <f aca="false">IF(L846="","",IF(M846&lt;&gt;"",M846*L846*100,IF(AND(O846&lt;&gt;"",B846&lt;&gt;""),IFERROR(AVERAGEIF($B$5:$B$1004,B846,$M$5:$M$1004)*L846*100,""),"")))</f>
        <v/>
      </c>
      <c r="R846" s="47" t="str">
        <f aca="false">IF(AND(O846&lt;&gt;"",L846&lt;&gt;""),O846*L846*100,"")</f>
        <v/>
      </c>
      <c r="S846" s="48" t="str">
        <f aca="false">IF(AND(P846&lt;&gt;"",L846&lt;&gt;""),P846*L846*100,"")</f>
        <v/>
      </c>
      <c r="T846" s="49" t="str">
        <f aca="false">IF(AND(Q846&lt;&gt;"",R846&lt;&gt;""),R846-Q846,"")</f>
        <v/>
      </c>
      <c r="U846" s="50" t="str">
        <f aca="false">IF(AND(Q846&lt;&gt;"",Q846&lt;&gt;0,T846&lt;&gt;""),T846/Q846,"")</f>
        <v/>
      </c>
      <c r="V846" s="51" t="str">
        <f aca="false">IF(AND(S846&lt;&gt;"",Q846&lt;&gt;""),S846-Q846,"")</f>
        <v/>
      </c>
      <c r="W846" s="52" t="str">
        <f aca="false">IF(AND(Q846&lt;&gt;"",Q846&lt;&gt;0,V846&lt;&gt;""),V846/Q846,"")</f>
        <v/>
      </c>
      <c r="X846" s="53" t="s">
        <v>37</v>
      </c>
      <c r="Y846" s="54" t="str">
        <f aca="false">IF(AND(O846&lt;&gt;"",M846&lt;&gt;"",O846&gt;M846),CONCATENATE("1 : ",TEXT((O846-M846)/M846,"0.00")),IF(AND(O846&lt;&gt;"",M846&lt;&gt;"",O846&lt;M846),CONCATENATE("-1 : ",TEXT((M846-O846)/M846,"0.00")),"—"))</f>
        <v>—</v>
      </c>
      <c r="Z846" s="55" t="str">
        <f aca="false">IF(AND(P846&lt;&gt;"",M846&lt;&gt;"",P846&gt;M846),CONCATENATE("1 : ",TEXT((P846-M846)/M846,"0.00")),"—")</f>
        <v>—</v>
      </c>
      <c r="AA846" s="56" t="str">
        <f aca="false">IF(AND(C846&lt;&gt;"",E846&lt;&gt;""),E846-C846,"")</f>
        <v/>
      </c>
      <c r="AB846" s="42"/>
      <c r="AC846" s="57"/>
      <c r="AD846" s="58"/>
      <c r="AE846" s="59" t="str">
        <f aca="false">IF(G846&lt;&gt;"",HYPERLINK("https://www.tradingview.com/chart/?symbol="&amp;G846&amp;"&amp;interval=60&amp;from="&amp;(AG846-10*3600)&amp;"&amp;to="&amp;(AG846+50*3600),"📈 1H"),"")</f>
        <v/>
      </c>
      <c r="AF846" s="60" t="str">
        <f aca="false">IF(G846&lt;&gt;"",HYPERLINK("https://www.tradingview.com/chart/?symbol="&amp;G846&amp;"&amp;interval=240&amp;from="&amp;(AG846-10*14400)&amp;"&amp;to="&amp;(AG846+50*14400),"📈 4H"),"")</f>
        <v/>
      </c>
      <c r="AG846" s="36" t="str">
        <f aca="false">IF(C846&lt;&gt;"",INT((C846+IF(D846&lt;&gt;"",D846,0)-DATE(1970,1,1))*86400),"")</f>
        <v/>
      </c>
    </row>
    <row r="847" customFormat="false" ht="19.5" hidden="false" customHeight="true" outlineLevel="0" collapsed="false">
      <c r="A847" s="12" t="n">
        <f aca="false">ROW()-4</f>
        <v>843</v>
      </c>
      <c r="B847" s="13"/>
      <c r="C847" s="14"/>
      <c r="D847" s="15"/>
      <c r="E847" s="14"/>
      <c r="F847" s="15"/>
      <c r="G847" s="16"/>
      <c r="H847" s="17"/>
      <c r="I847" s="18"/>
      <c r="J847" s="19"/>
      <c r="K847" s="14"/>
      <c r="L847" s="17"/>
      <c r="M847" s="19"/>
      <c r="N847" s="20"/>
      <c r="O847" s="19"/>
      <c r="P847" s="21"/>
      <c r="Q847" s="22" t="str">
        <f aca="false">IF(L847="","",IF(M847&lt;&gt;"",M847*L847*100,IF(AND(O847&lt;&gt;"",B847&lt;&gt;""),IFERROR(AVERAGEIF($B$5:$B$1004,B847,$M$5:$M$1004)*L847*100,""),"")))</f>
        <v/>
      </c>
      <c r="R847" s="22" t="str">
        <f aca="false">IF(AND(O847&lt;&gt;"",L847&lt;&gt;""),O847*L847*100,"")</f>
        <v/>
      </c>
      <c r="S847" s="23" t="str">
        <f aca="false">IF(AND(P847&lt;&gt;"",L847&lt;&gt;""),P847*L847*100,"")</f>
        <v/>
      </c>
      <c r="T847" s="24" t="str">
        <f aca="false">IF(AND(Q847&lt;&gt;"",R847&lt;&gt;""),R847-Q847,"")</f>
        <v/>
      </c>
      <c r="U847" s="25" t="str">
        <f aca="false">IF(AND(Q847&lt;&gt;"",Q847&lt;&gt;0,T847&lt;&gt;""),T847/Q847,"")</f>
        <v/>
      </c>
      <c r="V847" s="26" t="str">
        <f aca="false">IF(AND(S847&lt;&gt;"",Q847&lt;&gt;""),S847-Q847,"")</f>
        <v/>
      </c>
      <c r="W847" s="27" t="str">
        <f aca="false">IF(AND(Q847&lt;&gt;"",Q847&lt;&gt;0,V847&lt;&gt;""),V847/Q847,"")</f>
        <v/>
      </c>
      <c r="X847" s="28" t="s">
        <v>37</v>
      </c>
      <c r="Y847" s="29" t="str">
        <f aca="false">IF(AND(O847&lt;&gt;"",M847&lt;&gt;"",O847&gt;M847),CONCATENATE("1 : ",TEXT((O847-M847)/M847,"0.00")),IF(AND(O847&lt;&gt;"",M847&lt;&gt;"",O847&lt;M847),CONCATENATE("-1 : ",TEXT((M847-O847)/M847,"0.00")),"—"))</f>
        <v>—</v>
      </c>
      <c r="Z847" s="30" t="str">
        <f aca="false">IF(AND(P847&lt;&gt;"",M847&lt;&gt;"",P847&gt;M847),CONCATENATE("1 : ",TEXT((P847-M847)/M847,"0.00")),"—")</f>
        <v>—</v>
      </c>
      <c r="AA847" s="31" t="str">
        <f aca="false">IF(AND(C847&lt;&gt;"",E847&lt;&gt;""),E847-C847,"")</f>
        <v/>
      </c>
      <c r="AB847" s="17"/>
      <c r="AC847" s="32"/>
      <c r="AD847" s="33"/>
      <c r="AE847" s="34" t="str">
        <f aca="false">IF(G847&lt;&gt;"",HYPERLINK("https://www.tradingview.com/chart/?symbol="&amp;G847&amp;"&amp;interval=60&amp;from="&amp;(AG847-10*3600)&amp;"&amp;to="&amp;(AG847+50*3600),"📈 1H"),"")</f>
        <v/>
      </c>
      <c r="AF847" s="35" t="str">
        <f aca="false">IF(G847&lt;&gt;"",HYPERLINK("https://www.tradingview.com/chart/?symbol="&amp;G847&amp;"&amp;interval=240&amp;from="&amp;(AG847-10*14400)&amp;"&amp;to="&amp;(AG847+50*14400),"📈 4H"),"")</f>
        <v/>
      </c>
      <c r="AG847" s="36" t="str">
        <f aca="false">IF(C847&lt;&gt;"",INT((C847+IF(D847&lt;&gt;"",D847,0)-DATE(1970,1,1))*86400),"")</f>
        <v/>
      </c>
    </row>
    <row r="848" customFormat="false" ht="19.5" hidden="false" customHeight="true" outlineLevel="0" collapsed="false">
      <c r="A848" s="37" t="n">
        <f aca="false">ROW()-4</f>
        <v>844</v>
      </c>
      <c r="B848" s="38"/>
      <c r="C848" s="39"/>
      <c r="D848" s="40"/>
      <c r="E848" s="39"/>
      <c r="F848" s="40"/>
      <c r="G848" s="41"/>
      <c r="H848" s="42"/>
      <c r="I848" s="43"/>
      <c r="J848" s="44"/>
      <c r="K848" s="39"/>
      <c r="L848" s="42"/>
      <c r="M848" s="44"/>
      <c r="N848" s="45"/>
      <c r="O848" s="44"/>
      <c r="P848" s="46"/>
      <c r="Q848" s="47" t="str">
        <f aca="false">IF(L848="","",IF(M848&lt;&gt;"",M848*L848*100,IF(AND(O848&lt;&gt;"",B848&lt;&gt;""),IFERROR(AVERAGEIF($B$5:$B$1004,B848,$M$5:$M$1004)*L848*100,""),"")))</f>
        <v/>
      </c>
      <c r="R848" s="47" t="str">
        <f aca="false">IF(AND(O848&lt;&gt;"",L848&lt;&gt;""),O848*L848*100,"")</f>
        <v/>
      </c>
      <c r="S848" s="48" t="str">
        <f aca="false">IF(AND(P848&lt;&gt;"",L848&lt;&gt;""),P848*L848*100,"")</f>
        <v/>
      </c>
      <c r="T848" s="49" t="str">
        <f aca="false">IF(AND(Q848&lt;&gt;"",R848&lt;&gt;""),R848-Q848,"")</f>
        <v/>
      </c>
      <c r="U848" s="50" t="str">
        <f aca="false">IF(AND(Q848&lt;&gt;"",Q848&lt;&gt;0,T848&lt;&gt;""),T848/Q848,"")</f>
        <v/>
      </c>
      <c r="V848" s="51" t="str">
        <f aca="false">IF(AND(S848&lt;&gt;"",Q848&lt;&gt;""),S848-Q848,"")</f>
        <v/>
      </c>
      <c r="W848" s="52" t="str">
        <f aca="false">IF(AND(Q848&lt;&gt;"",Q848&lt;&gt;0,V848&lt;&gt;""),V848/Q848,"")</f>
        <v/>
      </c>
      <c r="X848" s="53" t="s">
        <v>37</v>
      </c>
      <c r="Y848" s="54" t="str">
        <f aca="false">IF(AND(O848&lt;&gt;"",M848&lt;&gt;"",O848&gt;M848),CONCATENATE("1 : ",TEXT((O848-M848)/M848,"0.00")),IF(AND(O848&lt;&gt;"",M848&lt;&gt;"",O848&lt;M848),CONCATENATE("-1 : ",TEXT((M848-O848)/M848,"0.00")),"—"))</f>
        <v>—</v>
      </c>
      <c r="Z848" s="55" t="str">
        <f aca="false">IF(AND(P848&lt;&gt;"",M848&lt;&gt;"",P848&gt;M848),CONCATENATE("1 : ",TEXT((P848-M848)/M848,"0.00")),"—")</f>
        <v>—</v>
      </c>
      <c r="AA848" s="56" t="str">
        <f aca="false">IF(AND(C848&lt;&gt;"",E848&lt;&gt;""),E848-C848,"")</f>
        <v/>
      </c>
      <c r="AB848" s="42"/>
      <c r="AC848" s="57"/>
      <c r="AD848" s="58"/>
      <c r="AE848" s="59" t="str">
        <f aca="false">IF(G848&lt;&gt;"",HYPERLINK("https://www.tradingview.com/chart/?symbol="&amp;G848&amp;"&amp;interval=60&amp;from="&amp;(AG848-10*3600)&amp;"&amp;to="&amp;(AG848+50*3600),"📈 1H"),"")</f>
        <v/>
      </c>
      <c r="AF848" s="60" t="str">
        <f aca="false">IF(G848&lt;&gt;"",HYPERLINK("https://www.tradingview.com/chart/?symbol="&amp;G848&amp;"&amp;interval=240&amp;from="&amp;(AG848-10*14400)&amp;"&amp;to="&amp;(AG848+50*14400),"📈 4H"),"")</f>
        <v/>
      </c>
      <c r="AG848" s="36" t="str">
        <f aca="false">IF(C848&lt;&gt;"",INT((C848+IF(D848&lt;&gt;"",D848,0)-DATE(1970,1,1))*86400),"")</f>
        <v/>
      </c>
    </row>
    <row r="849" customFormat="false" ht="19.5" hidden="false" customHeight="true" outlineLevel="0" collapsed="false">
      <c r="A849" s="12" t="n">
        <f aca="false">ROW()-4</f>
        <v>845</v>
      </c>
      <c r="B849" s="13"/>
      <c r="C849" s="14"/>
      <c r="D849" s="15"/>
      <c r="E849" s="14"/>
      <c r="F849" s="15"/>
      <c r="G849" s="16"/>
      <c r="H849" s="17"/>
      <c r="I849" s="18"/>
      <c r="J849" s="19"/>
      <c r="K849" s="14"/>
      <c r="L849" s="17"/>
      <c r="M849" s="19"/>
      <c r="N849" s="20"/>
      <c r="O849" s="19"/>
      <c r="P849" s="21"/>
      <c r="Q849" s="22" t="str">
        <f aca="false">IF(L849="","",IF(M849&lt;&gt;"",M849*L849*100,IF(AND(O849&lt;&gt;"",B849&lt;&gt;""),IFERROR(AVERAGEIF($B$5:$B$1004,B849,$M$5:$M$1004)*L849*100,""),"")))</f>
        <v/>
      </c>
      <c r="R849" s="22" t="str">
        <f aca="false">IF(AND(O849&lt;&gt;"",L849&lt;&gt;""),O849*L849*100,"")</f>
        <v/>
      </c>
      <c r="S849" s="23" t="str">
        <f aca="false">IF(AND(P849&lt;&gt;"",L849&lt;&gt;""),P849*L849*100,"")</f>
        <v/>
      </c>
      <c r="T849" s="24" t="str">
        <f aca="false">IF(AND(Q849&lt;&gt;"",R849&lt;&gt;""),R849-Q849,"")</f>
        <v/>
      </c>
      <c r="U849" s="25" t="str">
        <f aca="false">IF(AND(Q849&lt;&gt;"",Q849&lt;&gt;0,T849&lt;&gt;""),T849/Q849,"")</f>
        <v/>
      </c>
      <c r="V849" s="26" t="str">
        <f aca="false">IF(AND(S849&lt;&gt;"",Q849&lt;&gt;""),S849-Q849,"")</f>
        <v/>
      </c>
      <c r="W849" s="27" t="str">
        <f aca="false">IF(AND(Q849&lt;&gt;"",Q849&lt;&gt;0,V849&lt;&gt;""),V849/Q849,"")</f>
        <v/>
      </c>
      <c r="X849" s="28" t="s">
        <v>37</v>
      </c>
      <c r="Y849" s="29" t="str">
        <f aca="false">IF(AND(O849&lt;&gt;"",M849&lt;&gt;"",O849&gt;M849),CONCATENATE("1 : ",TEXT((O849-M849)/M849,"0.00")),IF(AND(O849&lt;&gt;"",M849&lt;&gt;"",O849&lt;M849),CONCATENATE("-1 : ",TEXT((M849-O849)/M849,"0.00")),"—"))</f>
        <v>—</v>
      </c>
      <c r="Z849" s="30" t="str">
        <f aca="false">IF(AND(P849&lt;&gt;"",M849&lt;&gt;"",P849&gt;M849),CONCATENATE("1 : ",TEXT((P849-M849)/M849,"0.00")),"—")</f>
        <v>—</v>
      </c>
      <c r="AA849" s="31" t="str">
        <f aca="false">IF(AND(C849&lt;&gt;"",E849&lt;&gt;""),E849-C849,"")</f>
        <v/>
      </c>
      <c r="AB849" s="17"/>
      <c r="AC849" s="32"/>
      <c r="AD849" s="33"/>
      <c r="AE849" s="34" t="str">
        <f aca="false">IF(G849&lt;&gt;"",HYPERLINK("https://www.tradingview.com/chart/?symbol="&amp;G849&amp;"&amp;interval=60&amp;from="&amp;(AG849-10*3600)&amp;"&amp;to="&amp;(AG849+50*3600),"📈 1H"),"")</f>
        <v/>
      </c>
      <c r="AF849" s="35" t="str">
        <f aca="false">IF(G849&lt;&gt;"",HYPERLINK("https://www.tradingview.com/chart/?symbol="&amp;G849&amp;"&amp;interval=240&amp;from="&amp;(AG849-10*14400)&amp;"&amp;to="&amp;(AG849+50*14400),"📈 4H"),"")</f>
        <v/>
      </c>
      <c r="AG849" s="36" t="str">
        <f aca="false">IF(C849&lt;&gt;"",INT((C849+IF(D849&lt;&gt;"",D849,0)-DATE(1970,1,1))*86400),"")</f>
        <v/>
      </c>
    </row>
    <row r="850" customFormat="false" ht="19.5" hidden="false" customHeight="true" outlineLevel="0" collapsed="false">
      <c r="A850" s="37" t="n">
        <f aca="false">ROW()-4</f>
        <v>846</v>
      </c>
      <c r="B850" s="38"/>
      <c r="C850" s="39"/>
      <c r="D850" s="40"/>
      <c r="E850" s="39"/>
      <c r="F850" s="40"/>
      <c r="G850" s="41"/>
      <c r="H850" s="42"/>
      <c r="I850" s="43"/>
      <c r="J850" s="44"/>
      <c r="K850" s="39"/>
      <c r="L850" s="42"/>
      <c r="M850" s="44"/>
      <c r="N850" s="45"/>
      <c r="O850" s="44"/>
      <c r="P850" s="46"/>
      <c r="Q850" s="47" t="str">
        <f aca="false">IF(L850="","",IF(M850&lt;&gt;"",M850*L850*100,IF(AND(O850&lt;&gt;"",B850&lt;&gt;""),IFERROR(AVERAGEIF($B$5:$B$1004,B850,$M$5:$M$1004)*L850*100,""),"")))</f>
        <v/>
      </c>
      <c r="R850" s="47" t="str">
        <f aca="false">IF(AND(O850&lt;&gt;"",L850&lt;&gt;""),O850*L850*100,"")</f>
        <v/>
      </c>
      <c r="S850" s="48" t="str">
        <f aca="false">IF(AND(P850&lt;&gt;"",L850&lt;&gt;""),P850*L850*100,"")</f>
        <v/>
      </c>
      <c r="T850" s="49" t="str">
        <f aca="false">IF(AND(Q850&lt;&gt;"",R850&lt;&gt;""),R850-Q850,"")</f>
        <v/>
      </c>
      <c r="U850" s="50" t="str">
        <f aca="false">IF(AND(Q850&lt;&gt;"",Q850&lt;&gt;0,T850&lt;&gt;""),T850/Q850,"")</f>
        <v/>
      </c>
      <c r="V850" s="51" t="str">
        <f aca="false">IF(AND(S850&lt;&gt;"",Q850&lt;&gt;""),S850-Q850,"")</f>
        <v/>
      </c>
      <c r="W850" s="52" t="str">
        <f aca="false">IF(AND(Q850&lt;&gt;"",Q850&lt;&gt;0,V850&lt;&gt;""),V850/Q850,"")</f>
        <v/>
      </c>
      <c r="X850" s="53" t="s">
        <v>37</v>
      </c>
      <c r="Y850" s="54" t="str">
        <f aca="false">IF(AND(O850&lt;&gt;"",M850&lt;&gt;"",O850&gt;M850),CONCATENATE("1 : ",TEXT((O850-M850)/M850,"0.00")),IF(AND(O850&lt;&gt;"",M850&lt;&gt;"",O850&lt;M850),CONCATENATE("-1 : ",TEXT((M850-O850)/M850,"0.00")),"—"))</f>
        <v>—</v>
      </c>
      <c r="Z850" s="55" t="str">
        <f aca="false">IF(AND(P850&lt;&gt;"",M850&lt;&gt;"",P850&gt;M850),CONCATENATE("1 : ",TEXT((P850-M850)/M850,"0.00")),"—")</f>
        <v>—</v>
      </c>
      <c r="AA850" s="56" t="str">
        <f aca="false">IF(AND(C850&lt;&gt;"",E850&lt;&gt;""),E850-C850,"")</f>
        <v/>
      </c>
      <c r="AB850" s="42"/>
      <c r="AC850" s="57"/>
      <c r="AD850" s="58"/>
      <c r="AE850" s="59" t="str">
        <f aca="false">IF(G850&lt;&gt;"",HYPERLINK("https://www.tradingview.com/chart/?symbol="&amp;G850&amp;"&amp;interval=60&amp;from="&amp;(AG850-10*3600)&amp;"&amp;to="&amp;(AG850+50*3600),"📈 1H"),"")</f>
        <v/>
      </c>
      <c r="AF850" s="60" t="str">
        <f aca="false">IF(G850&lt;&gt;"",HYPERLINK("https://www.tradingview.com/chart/?symbol="&amp;G850&amp;"&amp;interval=240&amp;from="&amp;(AG850-10*14400)&amp;"&amp;to="&amp;(AG850+50*14400),"📈 4H"),"")</f>
        <v/>
      </c>
      <c r="AG850" s="36" t="str">
        <f aca="false">IF(C850&lt;&gt;"",INT((C850+IF(D850&lt;&gt;"",D850,0)-DATE(1970,1,1))*86400),"")</f>
        <v/>
      </c>
    </row>
    <row r="851" customFormat="false" ht="19.5" hidden="false" customHeight="true" outlineLevel="0" collapsed="false">
      <c r="A851" s="12" t="n">
        <f aca="false">ROW()-4</f>
        <v>847</v>
      </c>
      <c r="B851" s="13"/>
      <c r="C851" s="14"/>
      <c r="D851" s="15"/>
      <c r="E851" s="14"/>
      <c r="F851" s="15"/>
      <c r="G851" s="16"/>
      <c r="H851" s="17"/>
      <c r="I851" s="18"/>
      <c r="J851" s="19"/>
      <c r="K851" s="14"/>
      <c r="L851" s="17"/>
      <c r="M851" s="19"/>
      <c r="N851" s="20"/>
      <c r="O851" s="19"/>
      <c r="P851" s="21"/>
      <c r="Q851" s="22" t="str">
        <f aca="false">IF(L851="","",IF(M851&lt;&gt;"",M851*L851*100,IF(AND(O851&lt;&gt;"",B851&lt;&gt;""),IFERROR(AVERAGEIF($B$5:$B$1004,B851,$M$5:$M$1004)*L851*100,""),"")))</f>
        <v/>
      </c>
      <c r="R851" s="22" t="str">
        <f aca="false">IF(AND(O851&lt;&gt;"",L851&lt;&gt;""),O851*L851*100,"")</f>
        <v/>
      </c>
      <c r="S851" s="23" t="str">
        <f aca="false">IF(AND(P851&lt;&gt;"",L851&lt;&gt;""),P851*L851*100,"")</f>
        <v/>
      </c>
      <c r="T851" s="24" t="str">
        <f aca="false">IF(AND(Q851&lt;&gt;"",R851&lt;&gt;""),R851-Q851,"")</f>
        <v/>
      </c>
      <c r="U851" s="25" t="str">
        <f aca="false">IF(AND(Q851&lt;&gt;"",Q851&lt;&gt;0,T851&lt;&gt;""),T851/Q851,"")</f>
        <v/>
      </c>
      <c r="V851" s="26" t="str">
        <f aca="false">IF(AND(S851&lt;&gt;"",Q851&lt;&gt;""),S851-Q851,"")</f>
        <v/>
      </c>
      <c r="W851" s="27" t="str">
        <f aca="false">IF(AND(Q851&lt;&gt;"",Q851&lt;&gt;0,V851&lt;&gt;""),V851/Q851,"")</f>
        <v/>
      </c>
      <c r="X851" s="28" t="s">
        <v>37</v>
      </c>
      <c r="Y851" s="29" t="str">
        <f aca="false">IF(AND(O851&lt;&gt;"",M851&lt;&gt;"",O851&gt;M851),CONCATENATE("1 : ",TEXT((O851-M851)/M851,"0.00")),IF(AND(O851&lt;&gt;"",M851&lt;&gt;"",O851&lt;M851),CONCATENATE("-1 : ",TEXT((M851-O851)/M851,"0.00")),"—"))</f>
        <v>—</v>
      </c>
      <c r="Z851" s="30" t="str">
        <f aca="false">IF(AND(P851&lt;&gt;"",M851&lt;&gt;"",P851&gt;M851),CONCATENATE("1 : ",TEXT((P851-M851)/M851,"0.00")),"—")</f>
        <v>—</v>
      </c>
      <c r="AA851" s="31" t="str">
        <f aca="false">IF(AND(C851&lt;&gt;"",E851&lt;&gt;""),E851-C851,"")</f>
        <v/>
      </c>
      <c r="AB851" s="17"/>
      <c r="AC851" s="32"/>
      <c r="AD851" s="33"/>
      <c r="AE851" s="34" t="str">
        <f aca="false">IF(G851&lt;&gt;"",HYPERLINK("https://www.tradingview.com/chart/?symbol="&amp;G851&amp;"&amp;interval=60&amp;from="&amp;(AG851-10*3600)&amp;"&amp;to="&amp;(AG851+50*3600),"📈 1H"),"")</f>
        <v/>
      </c>
      <c r="AF851" s="35" t="str">
        <f aca="false">IF(G851&lt;&gt;"",HYPERLINK("https://www.tradingview.com/chart/?symbol="&amp;G851&amp;"&amp;interval=240&amp;from="&amp;(AG851-10*14400)&amp;"&amp;to="&amp;(AG851+50*14400),"📈 4H"),"")</f>
        <v/>
      </c>
      <c r="AG851" s="36" t="str">
        <f aca="false">IF(C851&lt;&gt;"",INT((C851+IF(D851&lt;&gt;"",D851,0)-DATE(1970,1,1))*86400),"")</f>
        <v/>
      </c>
    </row>
    <row r="852" customFormat="false" ht="19.5" hidden="false" customHeight="true" outlineLevel="0" collapsed="false">
      <c r="A852" s="37" t="n">
        <f aca="false">ROW()-4</f>
        <v>848</v>
      </c>
      <c r="B852" s="38"/>
      <c r="C852" s="39"/>
      <c r="D852" s="40"/>
      <c r="E852" s="39"/>
      <c r="F852" s="40"/>
      <c r="G852" s="41"/>
      <c r="H852" s="42"/>
      <c r="I852" s="43"/>
      <c r="J852" s="44"/>
      <c r="K852" s="39"/>
      <c r="L852" s="42"/>
      <c r="M852" s="44"/>
      <c r="N852" s="45"/>
      <c r="O852" s="44"/>
      <c r="P852" s="46"/>
      <c r="Q852" s="47" t="str">
        <f aca="false">IF(L852="","",IF(M852&lt;&gt;"",M852*L852*100,IF(AND(O852&lt;&gt;"",B852&lt;&gt;""),IFERROR(AVERAGEIF($B$5:$B$1004,B852,$M$5:$M$1004)*L852*100,""),"")))</f>
        <v/>
      </c>
      <c r="R852" s="47" t="str">
        <f aca="false">IF(AND(O852&lt;&gt;"",L852&lt;&gt;""),O852*L852*100,"")</f>
        <v/>
      </c>
      <c r="S852" s="48" t="str">
        <f aca="false">IF(AND(P852&lt;&gt;"",L852&lt;&gt;""),P852*L852*100,"")</f>
        <v/>
      </c>
      <c r="T852" s="49" t="str">
        <f aca="false">IF(AND(Q852&lt;&gt;"",R852&lt;&gt;""),R852-Q852,"")</f>
        <v/>
      </c>
      <c r="U852" s="50" t="str">
        <f aca="false">IF(AND(Q852&lt;&gt;"",Q852&lt;&gt;0,T852&lt;&gt;""),T852/Q852,"")</f>
        <v/>
      </c>
      <c r="V852" s="51" t="str">
        <f aca="false">IF(AND(S852&lt;&gt;"",Q852&lt;&gt;""),S852-Q852,"")</f>
        <v/>
      </c>
      <c r="W852" s="52" t="str">
        <f aca="false">IF(AND(Q852&lt;&gt;"",Q852&lt;&gt;0,V852&lt;&gt;""),V852/Q852,"")</f>
        <v/>
      </c>
      <c r="X852" s="53" t="s">
        <v>37</v>
      </c>
      <c r="Y852" s="54" t="str">
        <f aca="false">IF(AND(O852&lt;&gt;"",M852&lt;&gt;"",O852&gt;M852),CONCATENATE("1 : ",TEXT((O852-M852)/M852,"0.00")),IF(AND(O852&lt;&gt;"",M852&lt;&gt;"",O852&lt;M852),CONCATENATE("-1 : ",TEXT((M852-O852)/M852,"0.00")),"—"))</f>
        <v>—</v>
      </c>
      <c r="Z852" s="55" t="str">
        <f aca="false">IF(AND(P852&lt;&gt;"",M852&lt;&gt;"",P852&gt;M852),CONCATENATE("1 : ",TEXT((P852-M852)/M852,"0.00")),"—")</f>
        <v>—</v>
      </c>
      <c r="AA852" s="56" t="str">
        <f aca="false">IF(AND(C852&lt;&gt;"",E852&lt;&gt;""),E852-C852,"")</f>
        <v/>
      </c>
      <c r="AB852" s="42"/>
      <c r="AC852" s="57"/>
      <c r="AD852" s="58"/>
      <c r="AE852" s="59" t="str">
        <f aca="false">IF(G852&lt;&gt;"",HYPERLINK("https://www.tradingview.com/chart/?symbol="&amp;G852&amp;"&amp;interval=60&amp;from="&amp;(AG852-10*3600)&amp;"&amp;to="&amp;(AG852+50*3600),"📈 1H"),"")</f>
        <v/>
      </c>
      <c r="AF852" s="60" t="str">
        <f aca="false">IF(G852&lt;&gt;"",HYPERLINK("https://www.tradingview.com/chart/?symbol="&amp;G852&amp;"&amp;interval=240&amp;from="&amp;(AG852-10*14400)&amp;"&amp;to="&amp;(AG852+50*14400),"📈 4H"),"")</f>
        <v/>
      </c>
      <c r="AG852" s="36" t="str">
        <f aca="false">IF(C852&lt;&gt;"",INT((C852+IF(D852&lt;&gt;"",D852,0)-DATE(1970,1,1))*86400),"")</f>
        <v/>
      </c>
    </row>
    <row r="853" customFormat="false" ht="19.5" hidden="false" customHeight="true" outlineLevel="0" collapsed="false">
      <c r="A853" s="12" t="n">
        <f aca="false">ROW()-4</f>
        <v>849</v>
      </c>
      <c r="B853" s="13"/>
      <c r="C853" s="14"/>
      <c r="D853" s="15"/>
      <c r="E853" s="14"/>
      <c r="F853" s="15"/>
      <c r="G853" s="16"/>
      <c r="H853" s="17"/>
      <c r="I853" s="18"/>
      <c r="J853" s="19"/>
      <c r="K853" s="14"/>
      <c r="L853" s="17"/>
      <c r="M853" s="19"/>
      <c r="N853" s="20"/>
      <c r="O853" s="19"/>
      <c r="P853" s="21"/>
      <c r="Q853" s="22" t="str">
        <f aca="false">IF(L853="","",IF(M853&lt;&gt;"",M853*L853*100,IF(AND(O853&lt;&gt;"",B853&lt;&gt;""),IFERROR(AVERAGEIF($B$5:$B$1004,B853,$M$5:$M$1004)*L853*100,""),"")))</f>
        <v/>
      </c>
      <c r="R853" s="22" t="str">
        <f aca="false">IF(AND(O853&lt;&gt;"",L853&lt;&gt;""),O853*L853*100,"")</f>
        <v/>
      </c>
      <c r="S853" s="23" t="str">
        <f aca="false">IF(AND(P853&lt;&gt;"",L853&lt;&gt;""),P853*L853*100,"")</f>
        <v/>
      </c>
      <c r="T853" s="24" t="str">
        <f aca="false">IF(AND(Q853&lt;&gt;"",R853&lt;&gt;""),R853-Q853,"")</f>
        <v/>
      </c>
      <c r="U853" s="25" t="str">
        <f aca="false">IF(AND(Q853&lt;&gt;"",Q853&lt;&gt;0,T853&lt;&gt;""),T853/Q853,"")</f>
        <v/>
      </c>
      <c r="V853" s="26" t="str">
        <f aca="false">IF(AND(S853&lt;&gt;"",Q853&lt;&gt;""),S853-Q853,"")</f>
        <v/>
      </c>
      <c r="W853" s="27" t="str">
        <f aca="false">IF(AND(Q853&lt;&gt;"",Q853&lt;&gt;0,V853&lt;&gt;""),V853/Q853,"")</f>
        <v/>
      </c>
      <c r="X853" s="28" t="s">
        <v>37</v>
      </c>
      <c r="Y853" s="29" t="str">
        <f aca="false">IF(AND(O853&lt;&gt;"",M853&lt;&gt;"",O853&gt;M853),CONCATENATE("1 : ",TEXT((O853-M853)/M853,"0.00")),IF(AND(O853&lt;&gt;"",M853&lt;&gt;"",O853&lt;M853),CONCATENATE("-1 : ",TEXT((M853-O853)/M853,"0.00")),"—"))</f>
        <v>—</v>
      </c>
      <c r="Z853" s="30" t="str">
        <f aca="false">IF(AND(P853&lt;&gt;"",M853&lt;&gt;"",P853&gt;M853),CONCATENATE("1 : ",TEXT((P853-M853)/M853,"0.00")),"—")</f>
        <v>—</v>
      </c>
      <c r="AA853" s="31" t="str">
        <f aca="false">IF(AND(C853&lt;&gt;"",E853&lt;&gt;""),E853-C853,"")</f>
        <v/>
      </c>
      <c r="AB853" s="17"/>
      <c r="AC853" s="32"/>
      <c r="AD853" s="33"/>
      <c r="AE853" s="34" t="str">
        <f aca="false">IF(G853&lt;&gt;"",HYPERLINK("https://www.tradingview.com/chart/?symbol="&amp;G853&amp;"&amp;interval=60&amp;from="&amp;(AG853-10*3600)&amp;"&amp;to="&amp;(AG853+50*3600),"📈 1H"),"")</f>
        <v/>
      </c>
      <c r="AF853" s="35" t="str">
        <f aca="false">IF(G853&lt;&gt;"",HYPERLINK("https://www.tradingview.com/chart/?symbol="&amp;G853&amp;"&amp;interval=240&amp;from="&amp;(AG853-10*14400)&amp;"&amp;to="&amp;(AG853+50*14400),"📈 4H"),"")</f>
        <v/>
      </c>
      <c r="AG853" s="36" t="str">
        <f aca="false">IF(C853&lt;&gt;"",INT((C853+IF(D853&lt;&gt;"",D853,0)-DATE(1970,1,1))*86400),"")</f>
        <v/>
      </c>
    </row>
    <row r="854" customFormat="false" ht="19.5" hidden="false" customHeight="true" outlineLevel="0" collapsed="false">
      <c r="A854" s="37" t="n">
        <f aca="false">ROW()-4</f>
        <v>850</v>
      </c>
      <c r="B854" s="38"/>
      <c r="C854" s="39"/>
      <c r="D854" s="40"/>
      <c r="E854" s="39"/>
      <c r="F854" s="40"/>
      <c r="G854" s="41"/>
      <c r="H854" s="42"/>
      <c r="I854" s="43"/>
      <c r="J854" s="44"/>
      <c r="K854" s="39"/>
      <c r="L854" s="42"/>
      <c r="M854" s="44"/>
      <c r="N854" s="45"/>
      <c r="O854" s="44"/>
      <c r="P854" s="46"/>
      <c r="Q854" s="47" t="str">
        <f aca="false">IF(L854="","",IF(M854&lt;&gt;"",M854*L854*100,IF(AND(O854&lt;&gt;"",B854&lt;&gt;""),IFERROR(AVERAGEIF($B$5:$B$1004,B854,$M$5:$M$1004)*L854*100,""),"")))</f>
        <v/>
      </c>
      <c r="R854" s="47" t="str">
        <f aca="false">IF(AND(O854&lt;&gt;"",L854&lt;&gt;""),O854*L854*100,"")</f>
        <v/>
      </c>
      <c r="S854" s="48" t="str">
        <f aca="false">IF(AND(P854&lt;&gt;"",L854&lt;&gt;""),P854*L854*100,"")</f>
        <v/>
      </c>
      <c r="T854" s="49" t="str">
        <f aca="false">IF(AND(Q854&lt;&gt;"",R854&lt;&gt;""),R854-Q854,"")</f>
        <v/>
      </c>
      <c r="U854" s="50" t="str">
        <f aca="false">IF(AND(Q854&lt;&gt;"",Q854&lt;&gt;0,T854&lt;&gt;""),T854/Q854,"")</f>
        <v/>
      </c>
      <c r="V854" s="51" t="str">
        <f aca="false">IF(AND(S854&lt;&gt;"",Q854&lt;&gt;""),S854-Q854,"")</f>
        <v/>
      </c>
      <c r="W854" s="52" t="str">
        <f aca="false">IF(AND(Q854&lt;&gt;"",Q854&lt;&gt;0,V854&lt;&gt;""),V854/Q854,"")</f>
        <v/>
      </c>
      <c r="X854" s="53" t="s">
        <v>37</v>
      </c>
      <c r="Y854" s="54" t="str">
        <f aca="false">IF(AND(O854&lt;&gt;"",M854&lt;&gt;"",O854&gt;M854),CONCATENATE("1 : ",TEXT((O854-M854)/M854,"0.00")),IF(AND(O854&lt;&gt;"",M854&lt;&gt;"",O854&lt;M854),CONCATENATE("-1 : ",TEXT((M854-O854)/M854,"0.00")),"—"))</f>
        <v>—</v>
      </c>
      <c r="Z854" s="55" t="str">
        <f aca="false">IF(AND(P854&lt;&gt;"",M854&lt;&gt;"",P854&gt;M854),CONCATENATE("1 : ",TEXT((P854-M854)/M854,"0.00")),"—")</f>
        <v>—</v>
      </c>
      <c r="AA854" s="56" t="str">
        <f aca="false">IF(AND(C854&lt;&gt;"",E854&lt;&gt;""),E854-C854,"")</f>
        <v/>
      </c>
      <c r="AB854" s="42"/>
      <c r="AC854" s="57"/>
      <c r="AD854" s="58"/>
      <c r="AE854" s="59" t="str">
        <f aca="false">IF(G854&lt;&gt;"",HYPERLINK("https://www.tradingview.com/chart/?symbol="&amp;G854&amp;"&amp;interval=60&amp;from="&amp;(AG854-10*3600)&amp;"&amp;to="&amp;(AG854+50*3600),"📈 1H"),"")</f>
        <v/>
      </c>
      <c r="AF854" s="60" t="str">
        <f aca="false">IF(G854&lt;&gt;"",HYPERLINK("https://www.tradingview.com/chart/?symbol="&amp;G854&amp;"&amp;interval=240&amp;from="&amp;(AG854-10*14400)&amp;"&amp;to="&amp;(AG854+50*14400),"📈 4H"),"")</f>
        <v/>
      </c>
      <c r="AG854" s="36" t="str">
        <f aca="false">IF(C854&lt;&gt;"",INT((C854+IF(D854&lt;&gt;"",D854,0)-DATE(1970,1,1))*86400),"")</f>
        <v/>
      </c>
    </row>
    <row r="855" customFormat="false" ht="19.5" hidden="false" customHeight="true" outlineLevel="0" collapsed="false">
      <c r="A855" s="12" t="n">
        <f aca="false">ROW()-4</f>
        <v>851</v>
      </c>
      <c r="B855" s="13"/>
      <c r="C855" s="14"/>
      <c r="D855" s="15"/>
      <c r="E855" s="14"/>
      <c r="F855" s="15"/>
      <c r="G855" s="16"/>
      <c r="H855" s="17"/>
      <c r="I855" s="18"/>
      <c r="J855" s="19"/>
      <c r="K855" s="14"/>
      <c r="L855" s="17"/>
      <c r="M855" s="19"/>
      <c r="N855" s="20"/>
      <c r="O855" s="19"/>
      <c r="P855" s="21"/>
      <c r="Q855" s="22" t="str">
        <f aca="false">IF(L855="","",IF(M855&lt;&gt;"",M855*L855*100,IF(AND(O855&lt;&gt;"",B855&lt;&gt;""),IFERROR(AVERAGEIF($B$5:$B$1004,B855,$M$5:$M$1004)*L855*100,""),"")))</f>
        <v/>
      </c>
      <c r="R855" s="22" t="str">
        <f aca="false">IF(AND(O855&lt;&gt;"",L855&lt;&gt;""),O855*L855*100,"")</f>
        <v/>
      </c>
      <c r="S855" s="23" t="str">
        <f aca="false">IF(AND(P855&lt;&gt;"",L855&lt;&gt;""),P855*L855*100,"")</f>
        <v/>
      </c>
      <c r="T855" s="24" t="str">
        <f aca="false">IF(AND(Q855&lt;&gt;"",R855&lt;&gt;""),R855-Q855,"")</f>
        <v/>
      </c>
      <c r="U855" s="25" t="str">
        <f aca="false">IF(AND(Q855&lt;&gt;"",Q855&lt;&gt;0,T855&lt;&gt;""),T855/Q855,"")</f>
        <v/>
      </c>
      <c r="V855" s="26" t="str">
        <f aca="false">IF(AND(S855&lt;&gt;"",Q855&lt;&gt;""),S855-Q855,"")</f>
        <v/>
      </c>
      <c r="W855" s="27" t="str">
        <f aca="false">IF(AND(Q855&lt;&gt;"",Q855&lt;&gt;0,V855&lt;&gt;""),V855/Q855,"")</f>
        <v/>
      </c>
      <c r="X855" s="28" t="s">
        <v>37</v>
      </c>
      <c r="Y855" s="29" t="str">
        <f aca="false">IF(AND(O855&lt;&gt;"",M855&lt;&gt;"",O855&gt;M855),CONCATENATE("1 : ",TEXT((O855-M855)/M855,"0.00")),IF(AND(O855&lt;&gt;"",M855&lt;&gt;"",O855&lt;M855),CONCATENATE("-1 : ",TEXT((M855-O855)/M855,"0.00")),"—"))</f>
        <v>—</v>
      </c>
      <c r="Z855" s="30" t="str">
        <f aca="false">IF(AND(P855&lt;&gt;"",M855&lt;&gt;"",P855&gt;M855),CONCATENATE("1 : ",TEXT((P855-M855)/M855,"0.00")),"—")</f>
        <v>—</v>
      </c>
      <c r="AA855" s="31" t="str">
        <f aca="false">IF(AND(C855&lt;&gt;"",E855&lt;&gt;""),E855-C855,"")</f>
        <v/>
      </c>
      <c r="AB855" s="17"/>
      <c r="AC855" s="32"/>
      <c r="AD855" s="33"/>
      <c r="AE855" s="34" t="str">
        <f aca="false">IF(G855&lt;&gt;"",HYPERLINK("https://www.tradingview.com/chart/?symbol="&amp;G855&amp;"&amp;interval=60&amp;from="&amp;(AG855-10*3600)&amp;"&amp;to="&amp;(AG855+50*3600),"📈 1H"),"")</f>
        <v/>
      </c>
      <c r="AF855" s="35" t="str">
        <f aca="false">IF(G855&lt;&gt;"",HYPERLINK("https://www.tradingview.com/chart/?symbol="&amp;G855&amp;"&amp;interval=240&amp;from="&amp;(AG855-10*14400)&amp;"&amp;to="&amp;(AG855+50*14400),"📈 4H"),"")</f>
        <v/>
      </c>
      <c r="AG855" s="36" t="str">
        <f aca="false">IF(C855&lt;&gt;"",INT((C855+IF(D855&lt;&gt;"",D855,0)-DATE(1970,1,1))*86400),"")</f>
        <v/>
      </c>
    </row>
    <row r="856" customFormat="false" ht="19.5" hidden="false" customHeight="true" outlineLevel="0" collapsed="false">
      <c r="A856" s="37" t="n">
        <f aca="false">ROW()-4</f>
        <v>852</v>
      </c>
      <c r="B856" s="38"/>
      <c r="C856" s="39"/>
      <c r="D856" s="40"/>
      <c r="E856" s="39"/>
      <c r="F856" s="40"/>
      <c r="G856" s="41"/>
      <c r="H856" s="42"/>
      <c r="I856" s="43"/>
      <c r="J856" s="44"/>
      <c r="K856" s="39"/>
      <c r="L856" s="42"/>
      <c r="M856" s="44"/>
      <c r="N856" s="45"/>
      <c r="O856" s="44"/>
      <c r="P856" s="46"/>
      <c r="Q856" s="47" t="str">
        <f aca="false">IF(L856="","",IF(M856&lt;&gt;"",M856*L856*100,IF(AND(O856&lt;&gt;"",B856&lt;&gt;""),IFERROR(AVERAGEIF($B$5:$B$1004,B856,$M$5:$M$1004)*L856*100,""),"")))</f>
        <v/>
      </c>
      <c r="R856" s="47" t="str">
        <f aca="false">IF(AND(O856&lt;&gt;"",L856&lt;&gt;""),O856*L856*100,"")</f>
        <v/>
      </c>
      <c r="S856" s="48" t="str">
        <f aca="false">IF(AND(P856&lt;&gt;"",L856&lt;&gt;""),P856*L856*100,"")</f>
        <v/>
      </c>
      <c r="T856" s="49" t="str">
        <f aca="false">IF(AND(Q856&lt;&gt;"",R856&lt;&gt;""),R856-Q856,"")</f>
        <v/>
      </c>
      <c r="U856" s="50" t="str">
        <f aca="false">IF(AND(Q856&lt;&gt;"",Q856&lt;&gt;0,T856&lt;&gt;""),T856/Q856,"")</f>
        <v/>
      </c>
      <c r="V856" s="51" t="str">
        <f aca="false">IF(AND(S856&lt;&gt;"",Q856&lt;&gt;""),S856-Q856,"")</f>
        <v/>
      </c>
      <c r="W856" s="52" t="str">
        <f aca="false">IF(AND(Q856&lt;&gt;"",Q856&lt;&gt;0,V856&lt;&gt;""),V856/Q856,"")</f>
        <v/>
      </c>
      <c r="X856" s="53" t="s">
        <v>37</v>
      </c>
      <c r="Y856" s="54" t="str">
        <f aca="false">IF(AND(O856&lt;&gt;"",M856&lt;&gt;"",O856&gt;M856),CONCATENATE("1 : ",TEXT((O856-M856)/M856,"0.00")),IF(AND(O856&lt;&gt;"",M856&lt;&gt;"",O856&lt;M856),CONCATENATE("-1 : ",TEXT((M856-O856)/M856,"0.00")),"—"))</f>
        <v>—</v>
      </c>
      <c r="Z856" s="55" t="str">
        <f aca="false">IF(AND(P856&lt;&gt;"",M856&lt;&gt;"",P856&gt;M856),CONCATENATE("1 : ",TEXT((P856-M856)/M856,"0.00")),"—")</f>
        <v>—</v>
      </c>
      <c r="AA856" s="56" t="str">
        <f aca="false">IF(AND(C856&lt;&gt;"",E856&lt;&gt;""),E856-C856,"")</f>
        <v/>
      </c>
      <c r="AB856" s="42"/>
      <c r="AC856" s="57"/>
      <c r="AD856" s="58"/>
      <c r="AE856" s="59" t="str">
        <f aca="false">IF(G856&lt;&gt;"",HYPERLINK("https://www.tradingview.com/chart/?symbol="&amp;G856&amp;"&amp;interval=60&amp;from="&amp;(AG856-10*3600)&amp;"&amp;to="&amp;(AG856+50*3600),"📈 1H"),"")</f>
        <v/>
      </c>
      <c r="AF856" s="60" t="str">
        <f aca="false">IF(G856&lt;&gt;"",HYPERLINK("https://www.tradingview.com/chart/?symbol="&amp;G856&amp;"&amp;interval=240&amp;from="&amp;(AG856-10*14400)&amp;"&amp;to="&amp;(AG856+50*14400),"📈 4H"),"")</f>
        <v/>
      </c>
      <c r="AG856" s="36" t="str">
        <f aca="false">IF(C856&lt;&gt;"",INT((C856+IF(D856&lt;&gt;"",D856,0)-DATE(1970,1,1))*86400),"")</f>
        <v/>
      </c>
    </row>
    <row r="857" customFormat="false" ht="19.5" hidden="false" customHeight="true" outlineLevel="0" collapsed="false">
      <c r="A857" s="12" t="n">
        <f aca="false">ROW()-4</f>
        <v>853</v>
      </c>
      <c r="B857" s="13"/>
      <c r="C857" s="14"/>
      <c r="D857" s="15"/>
      <c r="E857" s="14"/>
      <c r="F857" s="15"/>
      <c r="G857" s="16"/>
      <c r="H857" s="17"/>
      <c r="I857" s="18"/>
      <c r="J857" s="19"/>
      <c r="K857" s="14"/>
      <c r="L857" s="17"/>
      <c r="M857" s="19"/>
      <c r="N857" s="20"/>
      <c r="O857" s="19"/>
      <c r="P857" s="21"/>
      <c r="Q857" s="22" t="str">
        <f aca="false">IF(L857="","",IF(M857&lt;&gt;"",M857*L857*100,IF(AND(O857&lt;&gt;"",B857&lt;&gt;""),IFERROR(AVERAGEIF($B$5:$B$1004,B857,$M$5:$M$1004)*L857*100,""),"")))</f>
        <v/>
      </c>
      <c r="R857" s="22" t="str">
        <f aca="false">IF(AND(O857&lt;&gt;"",L857&lt;&gt;""),O857*L857*100,"")</f>
        <v/>
      </c>
      <c r="S857" s="23" t="str">
        <f aca="false">IF(AND(P857&lt;&gt;"",L857&lt;&gt;""),P857*L857*100,"")</f>
        <v/>
      </c>
      <c r="T857" s="24" t="str">
        <f aca="false">IF(AND(Q857&lt;&gt;"",R857&lt;&gt;""),R857-Q857,"")</f>
        <v/>
      </c>
      <c r="U857" s="25" t="str">
        <f aca="false">IF(AND(Q857&lt;&gt;"",Q857&lt;&gt;0,T857&lt;&gt;""),T857/Q857,"")</f>
        <v/>
      </c>
      <c r="V857" s="26" t="str">
        <f aca="false">IF(AND(S857&lt;&gt;"",Q857&lt;&gt;""),S857-Q857,"")</f>
        <v/>
      </c>
      <c r="W857" s="27" t="str">
        <f aca="false">IF(AND(Q857&lt;&gt;"",Q857&lt;&gt;0,V857&lt;&gt;""),V857/Q857,"")</f>
        <v/>
      </c>
      <c r="X857" s="28" t="s">
        <v>37</v>
      </c>
      <c r="Y857" s="29" t="str">
        <f aca="false">IF(AND(O857&lt;&gt;"",M857&lt;&gt;"",O857&gt;M857),CONCATENATE("1 : ",TEXT((O857-M857)/M857,"0.00")),IF(AND(O857&lt;&gt;"",M857&lt;&gt;"",O857&lt;M857),CONCATENATE("-1 : ",TEXT((M857-O857)/M857,"0.00")),"—"))</f>
        <v>—</v>
      </c>
      <c r="Z857" s="30" t="str">
        <f aca="false">IF(AND(P857&lt;&gt;"",M857&lt;&gt;"",P857&gt;M857),CONCATENATE("1 : ",TEXT((P857-M857)/M857,"0.00")),"—")</f>
        <v>—</v>
      </c>
      <c r="AA857" s="31" t="str">
        <f aca="false">IF(AND(C857&lt;&gt;"",E857&lt;&gt;""),E857-C857,"")</f>
        <v/>
      </c>
      <c r="AB857" s="17"/>
      <c r="AC857" s="32"/>
      <c r="AD857" s="33"/>
      <c r="AE857" s="34" t="str">
        <f aca="false">IF(G857&lt;&gt;"",HYPERLINK("https://www.tradingview.com/chart/?symbol="&amp;G857&amp;"&amp;interval=60&amp;from="&amp;(AG857-10*3600)&amp;"&amp;to="&amp;(AG857+50*3600),"📈 1H"),"")</f>
        <v/>
      </c>
      <c r="AF857" s="35" t="str">
        <f aca="false">IF(G857&lt;&gt;"",HYPERLINK("https://www.tradingview.com/chart/?symbol="&amp;G857&amp;"&amp;interval=240&amp;from="&amp;(AG857-10*14400)&amp;"&amp;to="&amp;(AG857+50*14400),"📈 4H"),"")</f>
        <v/>
      </c>
      <c r="AG857" s="36" t="str">
        <f aca="false">IF(C857&lt;&gt;"",INT((C857+IF(D857&lt;&gt;"",D857,0)-DATE(1970,1,1))*86400),"")</f>
        <v/>
      </c>
    </row>
    <row r="858" customFormat="false" ht="19.5" hidden="false" customHeight="true" outlineLevel="0" collapsed="false">
      <c r="A858" s="37" t="n">
        <f aca="false">ROW()-4</f>
        <v>854</v>
      </c>
      <c r="B858" s="38"/>
      <c r="C858" s="39"/>
      <c r="D858" s="40"/>
      <c r="E858" s="39"/>
      <c r="F858" s="40"/>
      <c r="G858" s="41"/>
      <c r="H858" s="42"/>
      <c r="I858" s="43"/>
      <c r="J858" s="44"/>
      <c r="K858" s="39"/>
      <c r="L858" s="42"/>
      <c r="M858" s="44"/>
      <c r="N858" s="45"/>
      <c r="O858" s="44"/>
      <c r="P858" s="46"/>
      <c r="Q858" s="47" t="str">
        <f aca="false">IF(L858="","",IF(M858&lt;&gt;"",M858*L858*100,IF(AND(O858&lt;&gt;"",B858&lt;&gt;""),IFERROR(AVERAGEIF($B$5:$B$1004,B858,$M$5:$M$1004)*L858*100,""),"")))</f>
        <v/>
      </c>
      <c r="R858" s="47" t="str">
        <f aca="false">IF(AND(O858&lt;&gt;"",L858&lt;&gt;""),O858*L858*100,"")</f>
        <v/>
      </c>
      <c r="S858" s="48" t="str">
        <f aca="false">IF(AND(P858&lt;&gt;"",L858&lt;&gt;""),P858*L858*100,"")</f>
        <v/>
      </c>
      <c r="T858" s="49" t="str">
        <f aca="false">IF(AND(Q858&lt;&gt;"",R858&lt;&gt;""),R858-Q858,"")</f>
        <v/>
      </c>
      <c r="U858" s="50" t="str">
        <f aca="false">IF(AND(Q858&lt;&gt;"",Q858&lt;&gt;0,T858&lt;&gt;""),T858/Q858,"")</f>
        <v/>
      </c>
      <c r="V858" s="51" t="str">
        <f aca="false">IF(AND(S858&lt;&gt;"",Q858&lt;&gt;""),S858-Q858,"")</f>
        <v/>
      </c>
      <c r="W858" s="52" t="str">
        <f aca="false">IF(AND(Q858&lt;&gt;"",Q858&lt;&gt;0,V858&lt;&gt;""),V858/Q858,"")</f>
        <v/>
      </c>
      <c r="X858" s="53" t="s">
        <v>37</v>
      </c>
      <c r="Y858" s="54" t="str">
        <f aca="false">IF(AND(O858&lt;&gt;"",M858&lt;&gt;"",O858&gt;M858),CONCATENATE("1 : ",TEXT((O858-M858)/M858,"0.00")),IF(AND(O858&lt;&gt;"",M858&lt;&gt;"",O858&lt;M858),CONCATENATE("-1 : ",TEXT((M858-O858)/M858,"0.00")),"—"))</f>
        <v>—</v>
      </c>
      <c r="Z858" s="55" t="str">
        <f aca="false">IF(AND(P858&lt;&gt;"",M858&lt;&gt;"",P858&gt;M858),CONCATENATE("1 : ",TEXT((P858-M858)/M858,"0.00")),"—")</f>
        <v>—</v>
      </c>
      <c r="AA858" s="56" t="str">
        <f aca="false">IF(AND(C858&lt;&gt;"",E858&lt;&gt;""),E858-C858,"")</f>
        <v/>
      </c>
      <c r="AB858" s="42"/>
      <c r="AC858" s="57"/>
      <c r="AD858" s="58"/>
      <c r="AE858" s="59" t="str">
        <f aca="false">IF(G858&lt;&gt;"",HYPERLINK("https://www.tradingview.com/chart/?symbol="&amp;G858&amp;"&amp;interval=60&amp;from="&amp;(AG858-10*3600)&amp;"&amp;to="&amp;(AG858+50*3600),"📈 1H"),"")</f>
        <v/>
      </c>
      <c r="AF858" s="60" t="str">
        <f aca="false">IF(G858&lt;&gt;"",HYPERLINK("https://www.tradingview.com/chart/?symbol="&amp;G858&amp;"&amp;interval=240&amp;from="&amp;(AG858-10*14400)&amp;"&amp;to="&amp;(AG858+50*14400),"📈 4H"),"")</f>
        <v/>
      </c>
      <c r="AG858" s="36" t="str">
        <f aca="false">IF(C858&lt;&gt;"",INT((C858+IF(D858&lt;&gt;"",D858,0)-DATE(1970,1,1))*86400),"")</f>
        <v/>
      </c>
    </row>
    <row r="859" customFormat="false" ht="19.5" hidden="false" customHeight="true" outlineLevel="0" collapsed="false">
      <c r="A859" s="12" t="n">
        <f aca="false">ROW()-4</f>
        <v>855</v>
      </c>
      <c r="B859" s="13"/>
      <c r="C859" s="14"/>
      <c r="D859" s="15"/>
      <c r="E859" s="14"/>
      <c r="F859" s="15"/>
      <c r="G859" s="16"/>
      <c r="H859" s="17"/>
      <c r="I859" s="18"/>
      <c r="J859" s="19"/>
      <c r="K859" s="14"/>
      <c r="L859" s="17"/>
      <c r="M859" s="19"/>
      <c r="N859" s="20"/>
      <c r="O859" s="19"/>
      <c r="P859" s="21"/>
      <c r="Q859" s="22" t="str">
        <f aca="false">IF(L859="","",IF(M859&lt;&gt;"",M859*L859*100,IF(AND(O859&lt;&gt;"",B859&lt;&gt;""),IFERROR(AVERAGEIF($B$5:$B$1004,B859,$M$5:$M$1004)*L859*100,""),"")))</f>
        <v/>
      </c>
      <c r="R859" s="22" t="str">
        <f aca="false">IF(AND(O859&lt;&gt;"",L859&lt;&gt;""),O859*L859*100,"")</f>
        <v/>
      </c>
      <c r="S859" s="23" t="str">
        <f aca="false">IF(AND(P859&lt;&gt;"",L859&lt;&gt;""),P859*L859*100,"")</f>
        <v/>
      </c>
      <c r="T859" s="24" t="str">
        <f aca="false">IF(AND(Q859&lt;&gt;"",R859&lt;&gt;""),R859-Q859,"")</f>
        <v/>
      </c>
      <c r="U859" s="25" t="str">
        <f aca="false">IF(AND(Q859&lt;&gt;"",Q859&lt;&gt;0,T859&lt;&gt;""),T859/Q859,"")</f>
        <v/>
      </c>
      <c r="V859" s="26" t="str">
        <f aca="false">IF(AND(S859&lt;&gt;"",Q859&lt;&gt;""),S859-Q859,"")</f>
        <v/>
      </c>
      <c r="W859" s="27" t="str">
        <f aca="false">IF(AND(Q859&lt;&gt;"",Q859&lt;&gt;0,V859&lt;&gt;""),V859/Q859,"")</f>
        <v/>
      </c>
      <c r="X859" s="28" t="s">
        <v>37</v>
      </c>
      <c r="Y859" s="29" t="str">
        <f aca="false">IF(AND(O859&lt;&gt;"",M859&lt;&gt;"",O859&gt;M859),CONCATENATE("1 : ",TEXT((O859-M859)/M859,"0.00")),IF(AND(O859&lt;&gt;"",M859&lt;&gt;"",O859&lt;M859),CONCATENATE("-1 : ",TEXT((M859-O859)/M859,"0.00")),"—"))</f>
        <v>—</v>
      </c>
      <c r="Z859" s="30" t="str">
        <f aca="false">IF(AND(P859&lt;&gt;"",M859&lt;&gt;"",P859&gt;M859),CONCATENATE("1 : ",TEXT((P859-M859)/M859,"0.00")),"—")</f>
        <v>—</v>
      </c>
      <c r="AA859" s="31" t="str">
        <f aca="false">IF(AND(C859&lt;&gt;"",E859&lt;&gt;""),E859-C859,"")</f>
        <v/>
      </c>
      <c r="AB859" s="17"/>
      <c r="AC859" s="32"/>
      <c r="AD859" s="33"/>
      <c r="AE859" s="34" t="str">
        <f aca="false">IF(G859&lt;&gt;"",HYPERLINK("https://www.tradingview.com/chart/?symbol="&amp;G859&amp;"&amp;interval=60&amp;from="&amp;(AG859-10*3600)&amp;"&amp;to="&amp;(AG859+50*3600),"📈 1H"),"")</f>
        <v/>
      </c>
      <c r="AF859" s="35" t="str">
        <f aca="false">IF(G859&lt;&gt;"",HYPERLINK("https://www.tradingview.com/chart/?symbol="&amp;G859&amp;"&amp;interval=240&amp;from="&amp;(AG859-10*14400)&amp;"&amp;to="&amp;(AG859+50*14400),"📈 4H"),"")</f>
        <v/>
      </c>
      <c r="AG859" s="36" t="str">
        <f aca="false">IF(C859&lt;&gt;"",INT((C859+IF(D859&lt;&gt;"",D859,0)-DATE(1970,1,1))*86400),"")</f>
        <v/>
      </c>
    </row>
    <row r="860" customFormat="false" ht="19.5" hidden="false" customHeight="true" outlineLevel="0" collapsed="false">
      <c r="A860" s="37" t="n">
        <f aca="false">ROW()-4</f>
        <v>856</v>
      </c>
      <c r="B860" s="38"/>
      <c r="C860" s="39"/>
      <c r="D860" s="40"/>
      <c r="E860" s="39"/>
      <c r="F860" s="40"/>
      <c r="G860" s="41"/>
      <c r="H860" s="42"/>
      <c r="I860" s="43"/>
      <c r="J860" s="44"/>
      <c r="K860" s="39"/>
      <c r="L860" s="42"/>
      <c r="M860" s="44"/>
      <c r="N860" s="45"/>
      <c r="O860" s="44"/>
      <c r="P860" s="46"/>
      <c r="Q860" s="47" t="str">
        <f aca="false">IF(L860="","",IF(M860&lt;&gt;"",M860*L860*100,IF(AND(O860&lt;&gt;"",B860&lt;&gt;""),IFERROR(AVERAGEIF($B$5:$B$1004,B860,$M$5:$M$1004)*L860*100,""),"")))</f>
        <v/>
      </c>
      <c r="R860" s="47" t="str">
        <f aca="false">IF(AND(O860&lt;&gt;"",L860&lt;&gt;""),O860*L860*100,"")</f>
        <v/>
      </c>
      <c r="S860" s="48" t="str">
        <f aca="false">IF(AND(P860&lt;&gt;"",L860&lt;&gt;""),P860*L860*100,"")</f>
        <v/>
      </c>
      <c r="T860" s="49" t="str">
        <f aca="false">IF(AND(Q860&lt;&gt;"",R860&lt;&gt;""),R860-Q860,"")</f>
        <v/>
      </c>
      <c r="U860" s="50" t="str">
        <f aca="false">IF(AND(Q860&lt;&gt;"",Q860&lt;&gt;0,T860&lt;&gt;""),T860/Q860,"")</f>
        <v/>
      </c>
      <c r="V860" s="51" t="str">
        <f aca="false">IF(AND(S860&lt;&gt;"",Q860&lt;&gt;""),S860-Q860,"")</f>
        <v/>
      </c>
      <c r="W860" s="52" t="str">
        <f aca="false">IF(AND(Q860&lt;&gt;"",Q860&lt;&gt;0,V860&lt;&gt;""),V860/Q860,"")</f>
        <v/>
      </c>
      <c r="X860" s="53" t="s">
        <v>37</v>
      </c>
      <c r="Y860" s="54" t="str">
        <f aca="false">IF(AND(O860&lt;&gt;"",M860&lt;&gt;"",O860&gt;M860),CONCATENATE("1 : ",TEXT((O860-M860)/M860,"0.00")),IF(AND(O860&lt;&gt;"",M860&lt;&gt;"",O860&lt;M860),CONCATENATE("-1 : ",TEXT((M860-O860)/M860,"0.00")),"—"))</f>
        <v>—</v>
      </c>
      <c r="Z860" s="55" t="str">
        <f aca="false">IF(AND(P860&lt;&gt;"",M860&lt;&gt;"",P860&gt;M860),CONCATENATE("1 : ",TEXT((P860-M860)/M860,"0.00")),"—")</f>
        <v>—</v>
      </c>
      <c r="AA860" s="56" t="str">
        <f aca="false">IF(AND(C860&lt;&gt;"",E860&lt;&gt;""),E860-C860,"")</f>
        <v/>
      </c>
      <c r="AB860" s="42"/>
      <c r="AC860" s="57"/>
      <c r="AD860" s="58"/>
      <c r="AE860" s="59" t="str">
        <f aca="false">IF(G860&lt;&gt;"",HYPERLINK("https://www.tradingview.com/chart/?symbol="&amp;G860&amp;"&amp;interval=60&amp;from="&amp;(AG860-10*3600)&amp;"&amp;to="&amp;(AG860+50*3600),"📈 1H"),"")</f>
        <v/>
      </c>
      <c r="AF860" s="60" t="str">
        <f aca="false">IF(G860&lt;&gt;"",HYPERLINK("https://www.tradingview.com/chart/?symbol="&amp;G860&amp;"&amp;interval=240&amp;from="&amp;(AG860-10*14400)&amp;"&amp;to="&amp;(AG860+50*14400),"📈 4H"),"")</f>
        <v/>
      </c>
      <c r="AG860" s="36" t="str">
        <f aca="false">IF(C860&lt;&gt;"",INT((C860+IF(D860&lt;&gt;"",D860,0)-DATE(1970,1,1))*86400),"")</f>
        <v/>
      </c>
    </row>
    <row r="861" customFormat="false" ht="19.5" hidden="false" customHeight="true" outlineLevel="0" collapsed="false">
      <c r="A861" s="12" t="n">
        <f aca="false">ROW()-4</f>
        <v>857</v>
      </c>
      <c r="B861" s="13"/>
      <c r="C861" s="14"/>
      <c r="D861" s="15"/>
      <c r="E861" s="14"/>
      <c r="F861" s="15"/>
      <c r="G861" s="16"/>
      <c r="H861" s="17"/>
      <c r="I861" s="18"/>
      <c r="J861" s="19"/>
      <c r="K861" s="14"/>
      <c r="L861" s="17"/>
      <c r="M861" s="19"/>
      <c r="N861" s="20"/>
      <c r="O861" s="19"/>
      <c r="P861" s="21"/>
      <c r="Q861" s="22" t="str">
        <f aca="false">IF(L861="","",IF(M861&lt;&gt;"",M861*L861*100,IF(AND(O861&lt;&gt;"",B861&lt;&gt;""),IFERROR(AVERAGEIF($B$5:$B$1004,B861,$M$5:$M$1004)*L861*100,""),"")))</f>
        <v/>
      </c>
      <c r="R861" s="22" t="str">
        <f aca="false">IF(AND(O861&lt;&gt;"",L861&lt;&gt;""),O861*L861*100,"")</f>
        <v/>
      </c>
      <c r="S861" s="23" t="str">
        <f aca="false">IF(AND(P861&lt;&gt;"",L861&lt;&gt;""),P861*L861*100,"")</f>
        <v/>
      </c>
      <c r="T861" s="24" t="str">
        <f aca="false">IF(AND(Q861&lt;&gt;"",R861&lt;&gt;""),R861-Q861,"")</f>
        <v/>
      </c>
      <c r="U861" s="25" t="str">
        <f aca="false">IF(AND(Q861&lt;&gt;"",Q861&lt;&gt;0,T861&lt;&gt;""),T861/Q861,"")</f>
        <v/>
      </c>
      <c r="V861" s="26" t="str">
        <f aca="false">IF(AND(S861&lt;&gt;"",Q861&lt;&gt;""),S861-Q861,"")</f>
        <v/>
      </c>
      <c r="W861" s="27" t="str">
        <f aca="false">IF(AND(Q861&lt;&gt;"",Q861&lt;&gt;0,V861&lt;&gt;""),V861/Q861,"")</f>
        <v/>
      </c>
      <c r="X861" s="28" t="s">
        <v>37</v>
      </c>
      <c r="Y861" s="29" t="str">
        <f aca="false">IF(AND(O861&lt;&gt;"",M861&lt;&gt;"",O861&gt;M861),CONCATENATE("1 : ",TEXT((O861-M861)/M861,"0.00")),IF(AND(O861&lt;&gt;"",M861&lt;&gt;"",O861&lt;M861),CONCATENATE("-1 : ",TEXT((M861-O861)/M861,"0.00")),"—"))</f>
        <v>—</v>
      </c>
      <c r="Z861" s="30" t="str">
        <f aca="false">IF(AND(P861&lt;&gt;"",M861&lt;&gt;"",P861&gt;M861),CONCATENATE("1 : ",TEXT((P861-M861)/M861,"0.00")),"—")</f>
        <v>—</v>
      </c>
      <c r="AA861" s="31" t="str">
        <f aca="false">IF(AND(C861&lt;&gt;"",E861&lt;&gt;""),E861-C861,"")</f>
        <v/>
      </c>
      <c r="AB861" s="17"/>
      <c r="AC861" s="32"/>
      <c r="AD861" s="33"/>
      <c r="AE861" s="34" t="str">
        <f aca="false">IF(G861&lt;&gt;"",HYPERLINK("https://www.tradingview.com/chart/?symbol="&amp;G861&amp;"&amp;interval=60&amp;from="&amp;(AG861-10*3600)&amp;"&amp;to="&amp;(AG861+50*3600),"📈 1H"),"")</f>
        <v/>
      </c>
      <c r="AF861" s="35" t="str">
        <f aca="false">IF(G861&lt;&gt;"",HYPERLINK("https://www.tradingview.com/chart/?symbol="&amp;G861&amp;"&amp;interval=240&amp;from="&amp;(AG861-10*14400)&amp;"&amp;to="&amp;(AG861+50*14400),"📈 4H"),"")</f>
        <v/>
      </c>
      <c r="AG861" s="36" t="str">
        <f aca="false">IF(C861&lt;&gt;"",INT((C861+IF(D861&lt;&gt;"",D861,0)-DATE(1970,1,1))*86400),"")</f>
        <v/>
      </c>
    </row>
    <row r="862" customFormat="false" ht="19.5" hidden="false" customHeight="true" outlineLevel="0" collapsed="false">
      <c r="A862" s="37" t="n">
        <f aca="false">ROW()-4</f>
        <v>858</v>
      </c>
      <c r="B862" s="38"/>
      <c r="C862" s="39"/>
      <c r="D862" s="40"/>
      <c r="E862" s="39"/>
      <c r="F862" s="40"/>
      <c r="G862" s="41"/>
      <c r="H862" s="42"/>
      <c r="I862" s="43"/>
      <c r="J862" s="44"/>
      <c r="K862" s="39"/>
      <c r="L862" s="42"/>
      <c r="M862" s="44"/>
      <c r="N862" s="45"/>
      <c r="O862" s="44"/>
      <c r="P862" s="46"/>
      <c r="Q862" s="47" t="str">
        <f aca="false">IF(L862="","",IF(M862&lt;&gt;"",M862*L862*100,IF(AND(O862&lt;&gt;"",B862&lt;&gt;""),IFERROR(AVERAGEIF($B$5:$B$1004,B862,$M$5:$M$1004)*L862*100,""),"")))</f>
        <v/>
      </c>
      <c r="R862" s="47" t="str">
        <f aca="false">IF(AND(O862&lt;&gt;"",L862&lt;&gt;""),O862*L862*100,"")</f>
        <v/>
      </c>
      <c r="S862" s="48" t="str">
        <f aca="false">IF(AND(P862&lt;&gt;"",L862&lt;&gt;""),P862*L862*100,"")</f>
        <v/>
      </c>
      <c r="T862" s="49" t="str">
        <f aca="false">IF(AND(Q862&lt;&gt;"",R862&lt;&gt;""),R862-Q862,"")</f>
        <v/>
      </c>
      <c r="U862" s="50" t="str">
        <f aca="false">IF(AND(Q862&lt;&gt;"",Q862&lt;&gt;0,T862&lt;&gt;""),T862/Q862,"")</f>
        <v/>
      </c>
      <c r="V862" s="51" t="str">
        <f aca="false">IF(AND(S862&lt;&gt;"",Q862&lt;&gt;""),S862-Q862,"")</f>
        <v/>
      </c>
      <c r="W862" s="52" t="str">
        <f aca="false">IF(AND(Q862&lt;&gt;"",Q862&lt;&gt;0,V862&lt;&gt;""),V862/Q862,"")</f>
        <v/>
      </c>
      <c r="X862" s="53" t="s">
        <v>37</v>
      </c>
      <c r="Y862" s="54" t="str">
        <f aca="false">IF(AND(O862&lt;&gt;"",M862&lt;&gt;"",O862&gt;M862),CONCATENATE("1 : ",TEXT((O862-M862)/M862,"0.00")),IF(AND(O862&lt;&gt;"",M862&lt;&gt;"",O862&lt;M862),CONCATENATE("-1 : ",TEXT((M862-O862)/M862,"0.00")),"—"))</f>
        <v>—</v>
      </c>
      <c r="Z862" s="55" t="str">
        <f aca="false">IF(AND(P862&lt;&gt;"",M862&lt;&gt;"",P862&gt;M862),CONCATENATE("1 : ",TEXT((P862-M862)/M862,"0.00")),"—")</f>
        <v>—</v>
      </c>
      <c r="AA862" s="56" t="str">
        <f aca="false">IF(AND(C862&lt;&gt;"",E862&lt;&gt;""),E862-C862,"")</f>
        <v/>
      </c>
      <c r="AB862" s="42"/>
      <c r="AC862" s="57"/>
      <c r="AD862" s="58"/>
      <c r="AE862" s="59" t="str">
        <f aca="false">IF(G862&lt;&gt;"",HYPERLINK("https://www.tradingview.com/chart/?symbol="&amp;G862&amp;"&amp;interval=60&amp;from="&amp;(AG862-10*3600)&amp;"&amp;to="&amp;(AG862+50*3600),"📈 1H"),"")</f>
        <v/>
      </c>
      <c r="AF862" s="60" t="str">
        <f aca="false">IF(G862&lt;&gt;"",HYPERLINK("https://www.tradingview.com/chart/?symbol="&amp;G862&amp;"&amp;interval=240&amp;from="&amp;(AG862-10*14400)&amp;"&amp;to="&amp;(AG862+50*14400),"📈 4H"),"")</f>
        <v/>
      </c>
      <c r="AG862" s="36" t="str">
        <f aca="false">IF(C862&lt;&gt;"",INT((C862+IF(D862&lt;&gt;"",D862,0)-DATE(1970,1,1))*86400),"")</f>
        <v/>
      </c>
    </row>
    <row r="863" customFormat="false" ht="19.5" hidden="false" customHeight="true" outlineLevel="0" collapsed="false">
      <c r="A863" s="12" t="n">
        <f aca="false">ROW()-4</f>
        <v>859</v>
      </c>
      <c r="B863" s="13"/>
      <c r="C863" s="14"/>
      <c r="D863" s="15"/>
      <c r="E863" s="14"/>
      <c r="F863" s="15"/>
      <c r="G863" s="16"/>
      <c r="H863" s="17"/>
      <c r="I863" s="18"/>
      <c r="J863" s="19"/>
      <c r="K863" s="14"/>
      <c r="L863" s="17"/>
      <c r="M863" s="19"/>
      <c r="N863" s="20"/>
      <c r="O863" s="19"/>
      <c r="P863" s="21"/>
      <c r="Q863" s="22" t="str">
        <f aca="false">IF(L863="","",IF(M863&lt;&gt;"",M863*L863*100,IF(AND(O863&lt;&gt;"",B863&lt;&gt;""),IFERROR(AVERAGEIF($B$5:$B$1004,B863,$M$5:$M$1004)*L863*100,""),"")))</f>
        <v/>
      </c>
      <c r="R863" s="22" t="str">
        <f aca="false">IF(AND(O863&lt;&gt;"",L863&lt;&gt;""),O863*L863*100,"")</f>
        <v/>
      </c>
      <c r="S863" s="23" t="str">
        <f aca="false">IF(AND(P863&lt;&gt;"",L863&lt;&gt;""),P863*L863*100,"")</f>
        <v/>
      </c>
      <c r="T863" s="24" t="str">
        <f aca="false">IF(AND(Q863&lt;&gt;"",R863&lt;&gt;""),R863-Q863,"")</f>
        <v/>
      </c>
      <c r="U863" s="25" t="str">
        <f aca="false">IF(AND(Q863&lt;&gt;"",Q863&lt;&gt;0,T863&lt;&gt;""),T863/Q863,"")</f>
        <v/>
      </c>
      <c r="V863" s="26" t="str">
        <f aca="false">IF(AND(S863&lt;&gt;"",Q863&lt;&gt;""),S863-Q863,"")</f>
        <v/>
      </c>
      <c r="W863" s="27" t="str">
        <f aca="false">IF(AND(Q863&lt;&gt;"",Q863&lt;&gt;0,V863&lt;&gt;""),V863/Q863,"")</f>
        <v/>
      </c>
      <c r="X863" s="28" t="s">
        <v>37</v>
      </c>
      <c r="Y863" s="29" t="str">
        <f aca="false">IF(AND(O863&lt;&gt;"",M863&lt;&gt;"",O863&gt;M863),CONCATENATE("1 : ",TEXT((O863-M863)/M863,"0.00")),IF(AND(O863&lt;&gt;"",M863&lt;&gt;"",O863&lt;M863),CONCATENATE("-1 : ",TEXT((M863-O863)/M863,"0.00")),"—"))</f>
        <v>—</v>
      </c>
      <c r="Z863" s="30" t="str">
        <f aca="false">IF(AND(P863&lt;&gt;"",M863&lt;&gt;"",P863&gt;M863),CONCATENATE("1 : ",TEXT((P863-M863)/M863,"0.00")),"—")</f>
        <v>—</v>
      </c>
      <c r="AA863" s="31" t="str">
        <f aca="false">IF(AND(C863&lt;&gt;"",E863&lt;&gt;""),E863-C863,"")</f>
        <v/>
      </c>
      <c r="AB863" s="17"/>
      <c r="AC863" s="32"/>
      <c r="AD863" s="33"/>
      <c r="AE863" s="34" t="str">
        <f aca="false">IF(G863&lt;&gt;"",HYPERLINK("https://www.tradingview.com/chart/?symbol="&amp;G863&amp;"&amp;interval=60&amp;from="&amp;(AG863-10*3600)&amp;"&amp;to="&amp;(AG863+50*3600),"📈 1H"),"")</f>
        <v/>
      </c>
      <c r="AF863" s="35" t="str">
        <f aca="false">IF(G863&lt;&gt;"",HYPERLINK("https://www.tradingview.com/chart/?symbol="&amp;G863&amp;"&amp;interval=240&amp;from="&amp;(AG863-10*14400)&amp;"&amp;to="&amp;(AG863+50*14400),"📈 4H"),"")</f>
        <v/>
      </c>
      <c r="AG863" s="36" t="str">
        <f aca="false">IF(C863&lt;&gt;"",INT((C863+IF(D863&lt;&gt;"",D863,0)-DATE(1970,1,1))*86400),"")</f>
        <v/>
      </c>
    </row>
    <row r="864" customFormat="false" ht="19.5" hidden="false" customHeight="true" outlineLevel="0" collapsed="false">
      <c r="A864" s="37" t="n">
        <f aca="false">ROW()-4</f>
        <v>860</v>
      </c>
      <c r="B864" s="38"/>
      <c r="C864" s="39"/>
      <c r="D864" s="40"/>
      <c r="E864" s="39"/>
      <c r="F864" s="40"/>
      <c r="G864" s="41"/>
      <c r="H864" s="42"/>
      <c r="I864" s="43"/>
      <c r="J864" s="44"/>
      <c r="K864" s="39"/>
      <c r="L864" s="42"/>
      <c r="M864" s="44"/>
      <c r="N864" s="45"/>
      <c r="O864" s="44"/>
      <c r="P864" s="46"/>
      <c r="Q864" s="47" t="str">
        <f aca="false">IF(L864="","",IF(M864&lt;&gt;"",M864*L864*100,IF(AND(O864&lt;&gt;"",B864&lt;&gt;""),IFERROR(AVERAGEIF($B$5:$B$1004,B864,$M$5:$M$1004)*L864*100,""),"")))</f>
        <v/>
      </c>
      <c r="R864" s="47" t="str">
        <f aca="false">IF(AND(O864&lt;&gt;"",L864&lt;&gt;""),O864*L864*100,"")</f>
        <v/>
      </c>
      <c r="S864" s="48" t="str">
        <f aca="false">IF(AND(P864&lt;&gt;"",L864&lt;&gt;""),P864*L864*100,"")</f>
        <v/>
      </c>
      <c r="T864" s="49" t="str">
        <f aca="false">IF(AND(Q864&lt;&gt;"",R864&lt;&gt;""),R864-Q864,"")</f>
        <v/>
      </c>
      <c r="U864" s="50" t="str">
        <f aca="false">IF(AND(Q864&lt;&gt;"",Q864&lt;&gt;0,T864&lt;&gt;""),T864/Q864,"")</f>
        <v/>
      </c>
      <c r="V864" s="51" t="str">
        <f aca="false">IF(AND(S864&lt;&gt;"",Q864&lt;&gt;""),S864-Q864,"")</f>
        <v/>
      </c>
      <c r="W864" s="52" t="str">
        <f aca="false">IF(AND(Q864&lt;&gt;"",Q864&lt;&gt;0,V864&lt;&gt;""),V864/Q864,"")</f>
        <v/>
      </c>
      <c r="X864" s="53" t="s">
        <v>37</v>
      </c>
      <c r="Y864" s="54" t="str">
        <f aca="false">IF(AND(O864&lt;&gt;"",M864&lt;&gt;"",O864&gt;M864),CONCATENATE("1 : ",TEXT((O864-M864)/M864,"0.00")),IF(AND(O864&lt;&gt;"",M864&lt;&gt;"",O864&lt;M864),CONCATENATE("-1 : ",TEXT((M864-O864)/M864,"0.00")),"—"))</f>
        <v>—</v>
      </c>
      <c r="Z864" s="55" t="str">
        <f aca="false">IF(AND(P864&lt;&gt;"",M864&lt;&gt;"",P864&gt;M864),CONCATENATE("1 : ",TEXT((P864-M864)/M864,"0.00")),"—")</f>
        <v>—</v>
      </c>
      <c r="AA864" s="56" t="str">
        <f aca="false">IF(AND(C864&lt;&gt;"",E864&lt;&gt;""),E864-C864,"")</f>
        <v/>
      </c>
      <c r="AB864" s="42"/>
      <c r="AC864" s="57"/>
      <c r="AD864" s="58"/>
      <c r="AE864" s="59" t="str">
        <f aca="false">IF(G864&lt;&gt;"",HYPERLINK("https://www.tradingview.com/chart/?symbol="&amp;G864&amp;"&amp;interval=60&amp;from="&amp;(AG864-10*3600)&amp;"&amp;to="&amp;(AG864+50*3600),"📈 1H"),"")</f>
        <v/>
      </c>
      <c r="AF864" s="60" t="str">
        <f aca="false">IF(G864&lt;&gt;"",HYPERLINK("https://www.tradingview.com/chart/?symbol="&amp;G864&amp;"&amp;interval=240&amp;from="&amp;(AG864-10*14400)&amp;"&amp;to="&amp;(AG864+50*14400),"📈 4H"),"")</f>
        <v/>
      </c>
      <c r="AG864" s="36" t="str">
        <f aca="false">IF(C864&lt;&gt;"",INT((C864+IF(D864&lt;&gt;"",D864,0)-DATE(1970,1,1))*86400),"")</f>
        <v/>
      </c>
    </row>
    <row r="865" customFormat="false" ht="19.5" hidden="false" customHeight="true" outlineLevel="0" collapsed="false">
      <c r="A865" s="12" t="n">
        <f aca="false">ROW()-4</f>
        <v>861</v>
      </c>
      <c r="B865" s="13"/>
      <c r="C865" s="14"/>
      <c r="D865" s="15"/>
      <c r="E865" s="14"/>
      <c r="F865" s="15"/>
      <c r="G865" s="16"/>
      <c r="H865" s="17"/>
      <c r="I865" s="18"/>
      <c r="J865" s="19"/>
      <c r="K865" s="14"/>
      <c r="L865" s="17"/>
      <c r="M865" s="19"/>
      <c r="N865" s="20"/>
      <c r="O865" s="19"/>
      <c r="P865" s="21"/>
      <c r="Q865" s="22" t="str">
        <f aca="false">IF(L865="","",IF(M865&lt;&gt;"",M865*L865*100,IF(AND(O865&lt;&gt;"",B865&lt;&gt;""),IFERROR(AVERAGEIF($B$5:$B$1004,B865,$M$5:$M$1004)*L865*100,""),"")))</f>
        <v/>
      </c>
      <c r="R865" s="22" t="str">
        <f aca="false">IF(AND(O865&lt;&gt;"",L865&lt;&gt;""),O865*L865*100,"")</f>
        <v/>
      </c>
      <c r="S865" s="23" t="str">
        <f aca="false">IF(AND(P865&lt;&gt;"",L865&lt;&gt;""),P865*L865*100,"")</f>
        <v/>
      </c>
      <c r="T865" s="24" t="str">
        <f aca="false">IF(AND(Q865&lt;&gt;"",R865&lt;&gt;""),R865-Q865,"")</f>
        <v/>
      </c>
      <c r="U865" s="25" t="str">
        <f aca="false">IF(AND(Q865&lt;&gt;"",Q865&lt;&gt;0,T865&lt;&gt;""),T865/Q865,"")</f>
        <v/>
      </c>
      <c r="V865" s="26" t="str">
        <f aca="false">IF(AND(S865&lt;&gt;"",Q865&lt;&gt;""),S865-Q865,"")</f>
        <v/>
      </c>
      <c r="W865" s="27" t="str">
        <f aca="false">IF(AND(Q865&lt;&gt;"",Q865&lt;&gt;0,V865&lt;&gt;""),V865/Q865,"")</f>
        <v/>
      </c>
      <c r="X865" s="28" t="s">
        <v>37</v>
      </c>
      <c r="Y865" s="29" t="str">
        <f aca="false">IF(AND(O865&lt;&gt;"",M865&lt;&gt;"",O865&gt;M865),CONCATENATE("1 : ",TEXT((O865-M865)/M865,"0.00")),IF(AND(O865&lt;&gt;"",M865&lt;&gt;"",O865&lt;M865),CONCATENATE("-1 : ",TEXT((M865-O865)/M865,"0.00")),"—"))</f>
        <v>—</v>
      </c>
      <c r="Z865" s="30" t="str">
        <f aca="false">IF(AND(P865&lt;&gt;"",M865&lt;&gt;"",P865&gt;M865),CONCATENATE("1 : ",TEXT((P865-M865)/M865,"0.00")),"—")</f>
        <v>—</v>
      </c>
      <c r="AA865" s="31" t="str">
        <f aca="false">IF(AND(C865&lt;&gt;"",E865&lt;&gt;""),E865-C865,"")</f>
        <v/>
      </c>
      <c r="AB865" s="17"/>
      <c r="AC865" s="32"/>
      <c r="AD865" s="33"/>
      <c r="AE865" s="34" t="str">
        <f aca="false">IF(G865&lt;&gt;"",HYPERLINK("https://www.tradingview.com/chart/?symbol="&amp;G865&amp;"&amp;interval=60&amp;from="&amp;(AG865-10*3600)&amp;"&amp;to="&amp;(AG865+50*3600),"📈 1H"),"")</f>
        <v/>
      </c>
      <c r="AF865" s="35" t="str">
        <f aca="false">IF(G865&lt;&gt;"",HYPERLINK("https://www.tradingview.com/chart/?symbol="&amp;G865&amp;"&amp;interval=240&amp;from="&amp;(AG865-10*14400)&amp;"&amp;to="&amp;(AG865+50*14400),"📈 4H"),"")</f>
        <v/>
      </c>
      <c r="AG865" s="36" t="str">
        <f aca="false">IF(C865&lt;&gt;"",INT((C865+IF(D865&lt;&gt;"",D865,0)-DATE(1970,1,1))*86400),"")</f>
        <v/>
      </c>
    </row>
    <row r="866" customFormat="false" ht="19.5" hidden="false" customHeight="true" outlineLevel="0" collapsed="false">
      <c r="A866" s="37" t="n">
        <f aca="false">ROW()-4</f>
        <v>862</v>
      </c>
      <c r="B866" s="38"/>
      <c r="C866" s="39"/>
      <c r="D866" s="40"/>
      <c r="E866" s="39"/>
      <c r="F866" s="40"/>
      <c r="G866" s="41"/>
      <c r="H866" s="42"/>
      <c r="I866" s="43"/>
      <c r="J866" s="44"/>
      <c r="K866" s="39"/>
      <c r="L866" s="42"/>
      <c r="M866" s="44"/>
      <c r="N866" s="45"/>
      <c r="O866" s="44"/>
      <c r="P866" s="46"/>
      <c r="Q866" s="47" t="str">
        <f aca="false">IF(L866="","",IF(M866&lt;&gt;"",M866*L866*100,IF(AND(O866&lt;&gt;"",B866&lt;&gt;""),IFERROR(AVERAGEIF($B$5:$B$1004,B866,$M$5:$M$1004)*L866*100,""),"")))</f>
        <v/>
      </c>
      <c r="R866" s="47" t="str">
        <f aca="false">IF(AND(O866&lt;&gt;"",L866&lt;&gt;""),O866*L866*100,"")</f>
        <v/>
      </c>
      <c r="S866" s="48" t="str">
        <f aca="false">IF(AND(P866&lt;&gt;"",L866&lt;&gt;""),P866*L866*100,"")</f>
        <v/>
      </c>
      <c r="T866" s="49" t="str">
        <f aca="false">IF(AND(Q866&lt;&gt;"",R866&lt;&gt;""),R866-Q866,"")</f>
        <v/>
      </c>
      <c r="U866" s="50" t="str">
        <f aca="false">IF(AND(Q866&lt;&gt;"",Q866&lt;&gt;0,T866&lt;&gt;""),T866/Q866,"")</f>
        <v/>
      </c>
      <c r="V866" s="51" t="str">
        <f aca="false">IF(AND(S866&lt;&gt;"",Q866&lt;&gt;""),S866-Q866,"")</f>
        <v/>
      </c>
      <c r="W866" s="52" t="str">
        <f aca="false">IF(AND(Q866&lt;&gt;"",Q866&lt;&gt;0,V866&lt;&gt;""),V866/Q866,"")</f>
        <v/>
      </c>
      <c r="X866" s="53" t="s">
        <v>37</v>
      </c>
      <c r="Y866" s="54" t="str">
        <f aca="false">IF(AND(O866&lt;&gt;"",M866&lt;&gt;"",O866&gt;M866),CONCATENATE("1 : ",TEXT((O866-M866)/M866,"0.00")),IF(AND(O866&lt;&gt;"",M866&lt;&gt;"",O866&lt;M866),CONCATENATE("-1 : ",TEXT((M866-O866)/M866,"0.00")),"—"))</f>
        <v>—</v>
      </c>
      <c r="Z866" s="55" t="str">
        <f aca="false">IF(AND(P866&lt;&gt;"",M866&lt;&gt;"",P866&gt;M866),CONCATENATE("1 : ",TEXT((P866-M866)/M866,"0.00")),"—")</f>
        <v>—</v>
      </c>
      <c r="AA866" s="56" t="str">
        <f aca="false">IF(AND(C866&lt;&gt;"",E866&lt;&gt;""),E866-C866,"")</f>
        <v/>
      </c>
      <c r="AB866" s="42"/>
      <c r="AC866" s="57"/>
      <c r="AD866" s="58"/>
      <c r="AE866" s="59" t="str">
        <f aca="false">IF(G866&lt;&gt;"",HYPERLINK("https://www.tradingview.com/chart/?symbol="&amp;G866&amp;"&amp;interval=60&amp;from="&amp;(AG866-10*3600)&amp;"&amp;to="&amp;(AG866+50*3600),"📈 1H"),"")</f>
        <v/>
      </c>
      <c r="AF866" s="60" t="str">
        <f aca="false">IF(G866&lt;&gt;"",HYPERLINK("https://www.tradingview.com/chart/?symbol="&amp;G866&amp;"&amp;interval=240&amp;from="&amp;(AG866-10*14400)&amp;"&amp;to="&amp;(AG866+50*14400),"📈 4H"),"")</f>
        <v/>
      </c>
      <c r="AG866" s="36" t="str">
        <f aca="false">IF(C866&lt;&gt;"",INT((C866+IF(D866&lt;&gt;"",D866,0)-DATE(1970,1,1))*86400),"")</f>
        <v/>
      </c>
    </row>
    <row r="867" customFormat="false" ht="19.5" hidden="false" customHeight="true" outlineLevel="0" collapsed="false">
      <c r="A867" s="12" t="n">
        <f aca="false">ROW()-4</f>
        <v>863</v>
      </c>
      <c r="B867" s="13"/>
      <c r="C867" s="14"/>
      <c r="D867" s="15"/>
      <c r="E867" s="14"/>
      <c r="F867" s="15"/>
      <c r="G867" s="16"/>
      <c r="H867" s="17"/>
      <c r="I867" s="18"/>
      <c r="J867" s="19"/>
      <c r="K867" s="14"/>
      <c r="L867" s="17"/>
      <c r="M867" s="19"/>
      <c r="N867" s="20"/>
      <c r="O867" s="19"/>
      <c r="P867" s="21"/>
      <c r="Q867" s="22" t="str">
        <f aca="false">IF(L867="","",IF(M867&lt;&gt;"",M867*L867*100,IF(AND(O867&lt;&gt;"",B867&lt;&gt;""),IFERROR(AVERAGEIF($B$5:$B$1004,B867,$M$5:$M$1004)*L867*100,""),"")))</f>
        <v/>
      </c>
      <c r="R867" s="22" t="str">
        <f aca="false">IF(AND(O867&lt;&gt;"",L867&lt;&gt;""),O867*L867*100,"")</f>
        <v/>
      </c>
      <c r="S867" s="23" t="str">
        <f aca="false">IF(AND(P867&lt;&gt;"",L867&lt;&gt;""),P867*L867*100,"")</f>
        <v/>
      </c>
      <c r="T867" s="24" t="str">
        <f aca="false">IF(AND(Q867&lt;&gt;"",R867&lt;&gt;""),R867-Q867,"")</f>
        <v/>
      </c>
      <c r="U867" s="25" t="str">
        <f aca="false">IF(AND(Q867&lt;&gt;"",Q867&lt;&gt;0,T867&lt;&gt;""),T867/Q867,"")</f>
        <v/>
      </c>
      <c r="V867" s="26" t="str">
        <f aca="false">IF(AND(S867&lt;&gt;"",Q867&lt;&gt;""),S867-Q867,"")</f>
        <v/>
      </c>
      <c r="W867" s="27" t="str">
        <f aca="false">IF(AND(Q867&lt;&gt;"",Q867&lt;&gt;0,V867&lt;&gt;""),V867/Q867,"")</f>
        <v/>
      </c>
      <c r="X867" s="28" t="s">
        <v>37</v>
      </c>
      <c r="Y867" s="29" t="str">
        <f aca="false">IF(AND(O867&lt;&gt;"",M867&lt;&gt;"",O867&gt;M867),CONCATENATE("1 : ",TEXT((O867-M867)/M867,"0.00")),IF(AND(O867&lt;&gt;"",M867&lt;&gt;"",O867&lt;M867),CONCATENATE("-1 : ",TEXT((M867-O867)/M867,"0.00")),"—"))</f>
        <v>—</v>
      </c>
      <c r="Z867" s="30" t="str">
        <f aca="false">IF(AND(P867&lt;&gt;"",M867&lt;&gt;"",P867&gt;M867),CONCATENATE("1 : ",TEXT((P867-M867)/M867,"0.00")),"—")</f>
        <v>—</v>
      </c>
      <c r="AA867" s="31" t="str">
        <f aca="false">IF(AND(C867&lt;&gt;"",E867&lt;&gt;""),E867-C867,"")</f>
        <v/>
      </c>
      <c r="AB867" s="17"/>
      <c r="AC867" s="32"/>
      <c r="AD867" s="33"/>
      <c r="AE867" s="34" t="str">
        <f aca="false">IF(G867&lt;&gt;"",HYPERLINK("https://www.tradingview.com/chart/?symbol="&amp;G867&amp;"&amp;interval=60&amp;from="&amp;(AG867-10*3600)&amp;"&amp;to="&amp;(AG867+50*3600),"📈 1H"),"")</f>
        <v/>
      </c>
      <c r="AF867" s="35" t="str">
        <f aca="false">IF(G867&lt;&gt;"",HYPERLINK("https://www.tradingview.com/chart/?symbol="&amp;G867&amp;"&amp;interval=240&amp;from="&amp;(AG867-10*14400)&amp;"&amp;to="&amp;(AG867+50*14400),"📈 4H"),"")</f>
        <v/>
      </c>
      <c r="AG867" s="36" t="str">
        <f aca="false">IF(C867&lt;&gt;"",INT((C867+IF(D867&lt;&gt;"",D867,0)-DATE(1970,1,1))*86400),"")</f>
        <v/>
      </c>
    </row>
    <row r="868" customFormat="false" ht="19.5" hidden="false" customHeight="true" outlineLevel="0" collapsed="false">
      <c r="A868" s="37" t="n">
        <f aca="false">ROW()-4</f>
        <v>864</v>
      </c>
      <c r="B868" s="38"/>
      <c r="C868" s="39"/>
      <c r="D868" s="40"/>
      <c r="E868" s="39"/>
      <c r="F868" s="40"/>
      <c r="G868" s="41"/>
      <c r="H868" s="42"/>
      <c r="I868" s="43"/>
      <c r="J868" s="44"/>
      <c r="K868" s="39"/>
      <c r="L868" s="42"/>
      <c r="M868" s="44"/>
      <c r="N868" s="45"/>
      <c r="O868" s="44"/>
      <c r="P868" s="46"/>
      <c r="Q868" s="47" t="str">
        <f aca="false">IF(L868="","",IF(M868&lt;&gt;"",M868*L868*100,IF(AND(O868&lt;&gt;"",B868&lt;&gt;""),IFERROR(AVERAGEIF($B$5:$B$1004,B868,$M$5:$M$1004)*L868*100,""),"")))</f>
        <v/>
      </c>
      <c r="R868" s="47" t="str">
        <f aca="false">IF(AND(O868&lt;&gt;"",L868&lt;&gt;""),O868*L868*100,"")</f>
        <v/>
      </c>
      <c r="S868" s="48" t="str">
        <f aca="false">IF(AND(P868&lt;&gt;"",L868&lt;&gt;""),P868*L868*100,"")</f>
        <v/>
      </c>
      <c r="T868" s="49" t="str">
        <f aca="false">IF(AND(Q868&lt;&gt;"",R868&lt;&gt;""),R868-Q868,"")</f>
        <v/>
      </c>
      <c r="U868" s="50" t="str">
        <f aca="false">IF(AND(Q868&lt;&gt;"",Q868&lt;&gt;0,T868&lt;&gt;""),T868/Q868,"")</f>
        <v/>
      </c>
      <c r="V868" s="51" t="str">
        <f aca="false">IF(AND(S868&lt;&gt;"",Q868&lt;&gt;""),S868-Q868,"")</f>
        <v/>
      </c>
      <c r="W868" s="52" t="str">
        <f aca="false">IF(AND(Q868&lt;&gt;"",Q868&lt;&gt;0,V868&lt;&gt;""),V868/Q868,"")</f>
        <v/>
      </c>
      <c r="X868" s="53" t="s">
        <v>37</v>
      </c>
      <c r="Y868" s="54" t="str">
        <f aca="false">IF(AND(O868&lt;&gt;"",M868&lt;&gt;"",O868&gt;M868),CONCATENATE("1 : ",TEXT((O868-M868)/M868,"0.00")),IF(AND(O868&lt;&gt;"",M868&lt;&gt;"",O868&lt;M868),CONCATENATE("-1 : ",TEXT((M868-O868)/M868,"0.00")),"—"))</f>
        <v>—</v>
      </c>
      <c r="Z868" s="55" t="str">
        <f aca="false">IF(AND(P868&lt;&gt;"",M868&lt;&gt;"",P868&gt;M868),CONCATENATE("1 : ",TEXT((P868-M868)/M868,"0.00")),"—")</f>
        <v>—</v>
      </c>
      <c r="AA868" s="56" t="str">
        <f aca="false">IF(AND(C868&lt;&gt;"",E868&lt;&gt;""),E868-C868,"")</f>
        <v/>
      </c>
      <c r="AB868" s="42"/>
      <c r="AC868" s="57"/>
      <c r="AD868" s="58"/>
      <c r="AE868" s="59" t="str">
        <f aca="false">IF(G868&lt;&gt;"",HYPERLINK("https://www.tradingview.com/chart/?symbol="&amp;G868&amp;"&amp;interval=60&amp;from="&amp;(AG868-10*3600)&amp;"&amp;to="&amp;(AG868+50*3600),"📈 1H"),"")</f>
        <v/>
      </c>
      <c r="AF868" s="60" t="str">
        <f aca="false">IF(G868&lt;&gt;"",HYPERLINK("https://www.tradingview.com/chart/?symbol="&amp;G868&amp;"&amp;interval=240&amp;from="&amp;(AG868-10*14400)&amp;"&amp;to="&amp;(AG868+50*14400),"📈 4H"),"")</f>
        <v/>
      </c>
      <c r="AG868" s="36" t="str">
        <f aca="false">IF(C868&lt;&gt;"",INT((C868+IF(D868&lt;&gt;"",D868,0)-DATE(1970,1,1))*86400),"")</f>
        <v/>
      </c>
    </row>
    <row r="869" customFormat="false" ht="19.5" hidden="false" customHeight="true" outlineLevel="0" collapsed="false">
      <c r="A869" s="12" t="n">
        <f aca="false">ROW()-4</f>
        <v>865</v>
      </c>
      <c r="B869" s="13"/>
      <c r="C869" s="14"/>
      <c r="D869" s="15"/>
      <c r="E869" s="14"/>
      <c r="F869" s="15"/>
      <c r="G869" s="16"/>
      <c r="H869" s="17"/>
      <c r="I869" s="18"/>
      <c r="J869" s="19"/>
      <c r="K869" s="14"/>
      <c r="L869" s="17"/>
      <c r="M869" s="19"/>
      <c r="N869" s="20"/>
      <c r="O869" s="19"/>
      <c r="P869" s="21"/>
      <c r="Q869" s="22" t="str">
        <f aca="false">IF(L869="","",IF(M869&lt;&gt;"",M869*L869*100,IF(AND(O869&lt;&gt;"",B869&lt;&gt;""),IFERROR(AVERAGEIF($B$5:$B$1004,B869,$M$5:$M$1004)*L869*100,""),"")))</f>
        <v/>
      </c>
      <c r="R869" s="22" t="str">
        <f aca="false">IF(AND(O869&lt;&gt;"",L869&lt;&gt;""),O869*L869*100,"")</f>
        <v/>
      </c>
      <c r="S869" s="23" t="str">
        <f aca="false">IF(AND(P869&lt;&gt;"",L869&lt;&gt;""),P869*L869*100,"")</f>
        <v/>
      </c>
      <c r="T869" s="24" t="str">
        <f aca="false">IF(AND(Q869&lt;&gt;"",R869&lt;&gt;""),R869-Q869,"")</f>
        <v/>
      </c>
      <c r="U869" s="25" t="str">
        <f aca="false">IF(AND(Q869&lt;&gt;"",Q869&lt;&gt;0,T869&lt;&gt;""),T869/Q869,"")</f>
        <v/>
      </c>
      <c r="V869" s="26" t="str">
        <f aca="false">IF(AND(S869&lt;&gt;"",Q869&lt;&gt;""),S869-Q869,"")</f>
        <v/>
      </c>
      <c r="W869" s="27" t="str">
        <f aca="false">IF(AND(Q869&lt;&gt;"",Q869&lt;&gt;0,V869&lt;&gt;""),V869/Q869,"")</f>
        <v/>
      </c>
      <c r="X869" s="28" t="s">
        <v>37</v>
      </c>
      <c r="Y869" s="29" t="str">
        <f aca="false">IF(AND(O869&lt;&gt;"",M869&lt;&gt;"",O869&gt;M869),CONCATENATE("1 : ",TEXT((O869-M869)/M869,"0.00")),IF(AND(O869&lt;&gt;"",M869&lt;&gt;"",O869&lt;M869),CONCATENATE("-1 : ",TEXT((M869-O869)/M869,"0.00")),"—"))</f>
        <v>—</v>
      </c>
      <c r="Z869" s="30" t="str">
        <f aca="false">IF(AND(P869&lt;&gt;"",M869&lt;&gt;"",P869&gt;M869),CONCATENATE("1 : ",TEXT((P869-M869)/M869,"0.00")),"—")</f>
        <v>—</v>
      </c>
      <c r="AA869" s="31" t="str">
        <f aca="false">IF(AND(C869&lt;&gt;"",E869&lt;&gt;""),E869-C869,"")</f>
        <v/>
      </c>
      <c r="AB869" s="17"/>
      <c r="AC869" s="32"/>
      <c r="AD869" s="33"/>
      <c r="AE869" s="34" t="str">
        <f aca="false">IF(G869&lt;&gt;"",HYPERLINK("https://www.tradingview.com/chart/?symbol="&amp;G869&amp;"&amp;interval=60&amp;from="&amp;(AG869-10*3600)&amp;"&amp;to="&amp;(AG869+50*3600),"📈 1H"),"")</f>
        <v/>
      </c>
      <c r="AF869" s="35" t="str">
        <f aca="false">IF(G869&lt;&gt;"",HYPERLINK("https://www.tradingview.com/chart/?symbol="&amp;G869&amp;"&amp;interval=240&amp;from="&amp;(AG869-10*14400)&amp;"&amp;to="&amp;(AG869+50*14400),"📈 4H"),"")</f>
        <v/>
      </c>
      <c r="AG869" s="36" t="str">
        <f aca="false">IF(C869&lt;&gt;"",INT((C869+IF(D869&lt;&gt;"",D869,0)-DATE(1970,1,1))*86400),"")</f>
        <v/>
      </c>
    </row>
    <row r="870" customFormat="false" ht="19.5" hidden="false" customHeight="true" outlineLevel="0" collapsed="false">
      <c r="A870" s="37" t="n">
        <f aca="false">ROW()-4</f>
        <v>866</v>
      </c>
      <c r="B870" s="38"/>
      <c r="C870" s="39"/>
      <c r="D870" s="40"/>
      <c r="E870" s="39"/>
      <c r="F870" s="40"/>
      <c r="G870" s="41"/>
      <c r="H870" s="42"/>
      <c r="I870" s="43"/>
      <c r="J870" s="44"/>
      <c r="K870" s="39"/>
      <c r="L870" s="42"/>
      <c r="M870" s="44"/>
      <c r="N870" s="45"/>
      <c r="O870" s="44"/>
      <c r="P870" s="46"/>
      <c r="Q870" s="47" t="str">
        <f aca="false">IF(L870="","",IF(M870&lt;&gt;"",M870*L870*100,IF(AND(O870&lt;&gt;"",B870&lt;&gt;""),IFERROR(AVERAGEIF($B$5:$B$1004,B870,$M$5:$M$1004)*L870*100,""),"")))</f>
        <v/>
      </c>
      <c r="R870" s="47" t="str">
        <f aca="false">IF(AND(O870&lt;&gt;"",L870&lt;&gt;""),O870*L870*100,"")</f>
        <v/>
      </c>
      <c r="S870" s="48" t="str">
        <f aca="false">IF(AND(P870&lt;&gt;"",L870&lt;&gt;""),P870*L870*100,"")</f>
        <v/>
      </c>
      <c r="T870" s="49" t="str">
        <f aca="false">IF(AND(Q870&lt;&gt;"",R870&lt;&gt;""),R870-Q870,"")</f>
        <v/>
      </c>
      <c r="U870" s="50" t="str">
        <f aca="false">IF(AND(Q870&lt;&gt;"",Q870&lt;&gt;0,T870&lt;&gt;""),T870/Q870,"")</f>
        <v/>
      </c>
      <c r="V870" s="51" t="str">
        <f aca="false">IF(AND(S870&lt;&gt;"",Q870&lt;&gt;""),S870-Q870,"")</f>
        <v/>
      </c>
      <c r="W870" s="52" t="str">
        <f aca="false">IF(AND(Q870&lt;&gt;"",Q870&lt;&gt;0,V870&lt;&gt;""),V870/Q870,"")</f>
        <v/>
      </c>
      <c r="X870" s="53" t="s">
        <v>37</v>
      </c>
      <c r="Y870" s="54" t="str">
        <f aca="false">IF(AND(O870&lt;&gt;"",M870&lt;&gt;"",O870&gt;M870),CONCATENATE("1 : ",TEXT((O870-M870)/M870,"0.00")),IF(AND(O870&lt;&gt;"",M870&lt;&gt;"",O870&lt;M870),CONCATENATE("-1 : ",TEXT((M870-O870)/M870,"0.00")),"—"))</f>
        <v>—</v>
      </c>
      <c r="Z870" s="55" t="str">
        <f aca="false">IF(AND(P870&lt;&gt;"",M870&lt;&gt;"",P870&gt;M870),CONCATENATE("1 : ",TEXT((P870-M870)/M870,"0.00")),"—")</f>
        <v>—</v>
      </c>
      <c r="AA870" s="56" t="str">
        <f aca="false">IF(AND(C870&lt;&gt;"",E870&lt;&gt;""),E870-C870,"")</f>
        <v/>
      </c>
      <c r="AB870" s="42"/>
      <c r="AC870" s="57"/>
      <c r="AD870" s="58"/>
      <c r="AE870" s="59" t="str">
        <f aca="false">IF(G870&lt;&gt;"",HYPERLINK("https://www.tradingview.com/chart/?symbol="&amp;G870&amp;"&amp;interval=60&amp;from="&amp;(AG870-10*3600)&amp;"&amp;to="&amp;(AG870+50*3600),"📈 1H"),"")</f>
        <v/>
      </c>
      <c r="AF870" s="60" t="str">
        <f aca="false">IF(G870&lt;&gt;"",HYPERLINK("https://www.tradingview.com/chart/?symbol="&amp;G870&amp;"&amp;interval=240&amp;from="&amp;(AG870-10*14400)&amp;"&amp;to="&amp;(AG870+50*14400),"📈 4H"),"")</f>
        <v/>
      </c>
      <c r="AG870" s="36" t="str">
        <f aca="false">IF(C870&lt;&gt;"",INT((C870+IF(D870&lt;&gt;"",D870,0)-DATE(1970,1,1))*86400),"")</f>
        <v/>
      </c>
    </row>
    <row r="871" customFormat="false" ht="19.5" hidden="false" customHeight="true" outlineLevel="0" collapsed="false">
      <c r="A871" s="12" t="n">
        <f aca="false">ROW()-4</f>
        <v>867</v>
      </c>
      <c r="B871" s="13"/>
      <c r="C871" s="14"/>
      <c r="D871" s="15"/>
      <c r="E871" s="14"/>
      <c r="F871" s="15"/>
      <c r="G871" s="16"/>
      <c r="H871" s="17"/>
      <c r="I871" s="18"/>
      <c r="J871" s="19"/>
      <c r="K871" s="14"/>
      <c r="L871" s="17"/>
      <c r="M871" s="19"/>
      <c r="N871" s="20"/>
      <c r="O871" s="19"/>
      <c r="P871" s="21"/>
      <c r="Q871" s="22" t="str">
        <f aca="false">IF(L871="","",IF(M871&lt;&gt;"",M871*L871*100,IF(AND(O871&lt;&gt;"",B871&lt;&gt;""),IFERROR(AVERAGEIF($B$5:$B$1004,B871,$M$5:$M$1004)*L871*100,""),"")))</f>
        <v/>
      </c>
      <c r="R871" s="22" t="str">
        <f aca="false">IF(AND(O871&lt;&gt;"",L871&lt;&gt;""),O871*L871*100,"")</f>
        <v/>
      </c>
      <c r="S871" s="23" t="str">
        <f aca="false">IF(AND(P871&lt;&gt;"",L871&lt;&gt;""),P871*L871*100,"")</f>
        <v/>
      </c>
      <c r="T871" s="24" t="str">
        <f aca="false">IF(AND(Q871&lt;&gt;"",R871&lt;&gt;""),R871-Q871,"")</f>
        <v/>
      </c>
      <c r="U871" s="25" t="str">
        <f aca="false">IF(AND(Q871&lt;&gt;"",Q871&lt;&gt;0,T871&lt;&gt;""),T871/Q871,"")</f>
        <v/>
      </c>
      <c r="V871" s="26" t="str">
        <f aca="false">IF(AND(S871&lt;&gt;"",Q871&lt;&gt;""),S871-Q871,"")</f>
        <v/>
      </c>
      <c r="W871" s="27" t="str">
        <f aca="false">IF(AND(Q871&lt;&gt;"",Q871&lt;&gt;0,V871&lt;&gt;""),V871/Q871,"")</f>
        <v/>
      </c>
      <c r="X871" s="28" t="s">
        <v>37</v>
      </c>
      <c r="Y871" s="29" t="str">
        <f aca="false">IF(AND(O871&lt;&gt;"",M871&lt;&gt;"",O871&gt;M871),CONCATENATE("1 : ",TEXT((O871-M871)/M871,"0.00")),IF(AND(O871&lt;&gt;"",M871&lt;&gt;"",O871&lt;M871),CONCATENATE("-1 : ",TEXT((M871-O871)/M871,"0.00")),"—"))</f>
        <v>—</v>
      </c>
      <c r="Z871" s="30" t="str">
        <f aca="false">IF(AND(P871&lt;&gt;"",M871&lt;&gt;"",P871&gt;M871),CONCATENATE("1 : ",TEXT((P871-M871)/M871,"0.00")),"—")</f>
        <v>—</v>
      </c>
      <c r="AA871" s="31" t="str">
        <f aca="false">IF(AND(C871&lt;&gt;"",E871&lt;&gt;""),E871-C871,"")</f>
        <v/>
      </c>
      <c r="AB871" s="17"/>
      <c r="AC871" s="32"/>
      <c r="AD871" s="33"/>
      <c r="AE871" s="34" t="str">
        <f aca="false">IF(G871&lt;&gt;"",HYPERLINK("https://www.tradingview.com/chart/?symbol="&amp;G871&amp;"&amp;interval=60&amp;from="&amp;(AG871-10*3600)&amp;"&amp;to="&amp;(AG871+50*3600),"📈 1H"),"")</f>
        <v/>
      </c>
      <c r="AF871" s="35" t="str">
        <f aca="false">IF(G871&lt;&gt;"",HYPERLINK("https://www.tradingview.com/chart/?symbol="&amp;G871&amp;"&amp;interval=240&amp;from="&amp;(AG871-10*14400)&amp;"&amp;to="&amp;(AG871+50*14400),"📈 4H"),"")</f>
        <v/>
      </c>
      <c r="AG871" s="36" t="str">
        <f aca="false">IF(C871&lt;&gt;"",INT((C871+IF(D871&lt;&gt;"",D871,0)-DATE(1970,1,1))*86400),"")</f>
        <v/>
      </c>
    </row>
    <row r="872" customFormat="false" ht="19.5" hidden="false" customHeight="true" outlineLevel="0" collapsed="false">
      <c r="A872" s="37" t="n">
        <f aca="false">ROW()-4</f>
        <v>868</v>
      </c>
      <c r="B872" s="38"/>
      <c r="C872" s="39"/>
      <c r="D872" s="40"/>
      <c r="E872" s="39"/>
      <c r="F872" s="40"/>
      <c r="G872" s="41"/>
      <c r="H872" s="42"/>
      <c r="I872" s="43"/>
      <c r="J872" s="44"/>
      <c r="K872" s="39"/>
      <c r="L872" s="42"/>
      <c r="M872" s="44"/>
      <c r="N872" s="45"/>
      <c r="O872" s="44"/>
      <c r="P872" s="46"/>
      <c r="Q872" s="47" t="str">
        <f aca="false">IF(L872="","",IF(M872&lt;&gt;"",M872*L872*100,IF(AND(O872&lt;&gt;"",B872&lt;&gt;""),IFERROR(AVERAGEIF($B$5:$B$1004,B872,$M$5:$M$1004)*L872*100,""),"")))</f>
        <v/>
      </c>
      <c r="R872" s="47" t="str">
        <f aca="false">IF(AND(O872&lt;&gt;"",L872&lt;&gt;""),O872*L872*100,"")</f>
        <v/>
      </c>
      <c r="S872" s="48" t="str">
        <f aca="false">IF(AND(P872&lt;&gt;"",L872&lt;&gt;""),P872*L872*100,"")</f>
        <v/>
      </c>
      <c r="T872" s="49" t="str">
        <f aca="false">IF(AND(Q872&lt;&gt;"",R872&lt;&gt;""),R872-Q872,"")</f>
        <v/>
      </c>
      <c r="U872" s="50" t="str">
        <f aca="false">IF(AND(Q872&lt;&gt;"",Q872&lt;&gt;0,T872&lt;&gt;""),T872/Q872,"")</f>
        <v/>
      </c>
      <c r="V872" s="51" t="str">
        <f aca="false">IF(AND(S872&lt;&gt;"",Q872&lt;&gt;""),S872-Q872,"")</f>
        <v/>
      </c>
      <c r="W872" s="52" t="str">
        <f aca="false">IF(AND(Q872&lt;&gt;"",Q872&lt;&gt;0,V872&lt;&gt;""),V872/Q872,"")</f>
        <v/>
      </c>
      <c r="X872" s="53" t="s">
        <v>37</v>
      </c>
      <c r="Y872" s="54" t="str">
        <f aca="false">IF(AND(O872&lt;&gt;"",M872&lt;&gt;"",O872&gt;M872),CONCATENATE("1 : ",TEXT((O872-M872)/M872,"0.00")),IF(AND(O872&lt;&gt;"",M872&lt;&gt;"",O872&lt;M872),CONCATENATE("-1 : ",TEXT((M872-O872)/M872,"0.00")),"—"))</f>
        <v>—</v>
      </c>
      <c r="Z872" s="55" t="str">
        <f aca="false">IF(AND(P872&lt;&gt;"",M872&lt;&gt;"",P872&gt;M872),CONCATENATE("1 : ",TEXT((P872-M872)/M872,"0.00")),"—")</f>
        <v>—</v>
      </c>
      <c r="AA872" s="56" t="str">
        <f aca="false">IF(AND(C872&lt;&gt;"",E872&lt;&gt;""),E872-C872,"")</f>
        <v/>
      </c>
      <c r="AB872" s="42"/>
      <c r="AC872" s="57"/>
      <c r="AD872" s="58"/>
      <c r="AE872" s="59" t="str">
        <f aca="false">IF(G872&lt;&gt;"",HYPERLINK("https://www.tradingview.com/chart/?symbol="&amp;G872&amp;"&amp;interval=60&amp;from="&amp;(AG872-10*3600)&amp;"&amp;to="&amp;(AG872+50*3600),"📈 1H"),"")</f>
        <v/>
      </c>
      <c r="AF872" s="60" t="str">
        <f aca="false">IF(G872&lt;&gt;"",HYPERLINK("https://www.tradingview.com/chart/?symbol="&amp;G872&amp;"&amp;interval=240&amp;from="&amp;(AG872-10*14400)&amp;"&amp;to="&amp;(AG872+50*14400),"📈 4H"),"")</f>
        <v/>
      </c>
      <c r="AG872" s="36" t="str">
        <f aca="false">IF(C872&lt;&gt;"",INT((C872+IF(D872&lt;&gt;"",D872,0)-DATE(1970,1,1))*86400),"")</f>
        <v/>
      </c>
    </row>
    <row r="873" customFormat="false" ht="19.5" hidden="false" customHeight="true" outlineLevel="0" collapsed="false">
      <c r="A873" s="12" t="n">
        <f aca="false">ROW()-4</f>
        <v>869</v>
      </c>
      <c r="B873" s="13"/>
      <c r="C873" s="14"/>
      <c r="D873" s="15"/>
      <c r="E873" s="14"/>
      <c r="F873" s="15"/>
      <c r="G873" s="16"/>
      <c r="H873" s="17"/>
      <c r="I873" s="18"/>
      <c r="J873" s="19"/>
      <c r="K873" s="14"/>
      <c r="L873" s="17"/>
      <c r="M873" s="19"/>
      <c r="N873" s="20"/>
      <c r="O873" s="19"/>
      <c r="P873" s="21"/>
      <c r="Q873" s="22" t="str">
        <f aca="false">IF(L873="","",IF(M873&lt;&gt;"",M873*L873*100,IF(AND(O873&lt;&gt;"",B873&lt;&gt;""),IFERROR(AVERAGEIF($B$5:$B$1004,B873,$M$5:$M$1004)*L873*100,""),"")))</f>
        <v/>
      </c>
      <c r="R873" s="22" t="str">
        <f aca="false">IF(AND(O873&lt;&gt;"",L873&lt;&gt;""),O873*L873*100,"")</f>
        <v/>
      </c>
      <c r="S873" s="23" t="str">
        <f aca="false">IF(AND(P873&lt;&gt;"",L873&lt;&gt;""),P873*L873*100,"")</f>
        <v/>
      </c>
      <c r="T873" s="24" t="str">
        <f aca="false">IF(AND(Q873&lt;&gt;"",R873&lt;&gt;""),R873-Q873,"")</f>
        <v/>
      </c>
      <c r="U873" s="25" t="str">
        <f aca="false">IF(AND(Q873&lt;&gt;"",Q873&lt;&gt;0,T873&lt;&gt;""),T873/Q873,"")</f>
        <v/>
      </c>
      <c r="V873" s="26" t="str">
        <f aca="false">IF(AND(S873&lt;&gt;"",Q873&lt;&gt;""),S873-Q873,"")</f>
        <v/>
      </c>
      <c r="W873" s="27" t="str">
        <f aca="false">IF(AND(Q873&lt;&gt;"",Q873&lt;&gt;0,V873&lt;&gt;""),V873/Q873,"")</f>
        <v/>
      </c>
      <c r="X873" s="28" t="s">
        <v>37</v>
      </c>
      <c r="Y873" s="29" t="str">
        <f aca="false">IF(AND(O873&lt;&gt;"",M873&lt;&gt;"",O873&gt;M873),CONCATENATE("1 : ",TEXT((O873-M873)/M873,"0.00")),IF(AND(O873&lt;&gt;"",M873&lt;&gt;"",O873&lt;M873),CONCATENATE("-1 : ",TEXT((M873-O873)/M873,"0.00")),"—"))</f>
        <v>—</v>
      </c>
      <c r="Z873" s="30" t="str">
        <f aca="false">IF(AND(P873&lt;&gt;"",M873&lt;&gt;"",P873&gt;M873),CONCATENATE("1 : ",TEXT((P873-M873)/M873,"0.00")),"—")</f>
        <v>—</v>
      </c>
      <c r="AA873" s="31" t="str">
        <f aca="false">IF(AND(C873&lt;&gt;"",E873&lt;&gt;""),E873-C873,"")</f>
        <v/>
      </c>
      <c r="AB873" s="17"/>
      <c r="AC873" s="32"/>
      <c r="AD873" s="33"/>
      <c r="AE873" s="34" t="str">
        <f aca="false">IF(G873&lt;&gt;"",HYPERLINK("https://www.tradingview.com/chart/?symbol="&amp;G873&amp;"&amp;interval=60&amp;from="&amp;(AG873-10*3600)&amp;"&amp;to="&amp;(AG873+50*3600),"📈 1H"),"")</f>
        <v/>
      </c>
      <c r="AF873" s="35" t="str">
        <f aca="false">IF(G873&lt;&gt;"",HYPERLINK("https://www.tradingview.com/chart/?symbol="&amp;G873&amp;"&amp;interval=240&amp;from="&amp;(AG873-10*14400)&amp;"&amp;to="&amp;(AG873+50*14400),"📈 4H"),"")</f>
        <v/>
      </c>
      <c r="AG873" s="36" t="str">
        <f aca="false">IF(C873&lt;&gt;"",INT((C873+IF(D873&lt;&gt;"",D873,0)-DATE(1970,1,1))*86400),"")</f>
        <v/>
      </c>
    </row>
    <row r="874" customFormat="false" ht="19.5" hidden="false" customHeight="true" outlineLevel="0" collapsed="false">
      <c r="A874" s="37" t="n">
        <f aca="false">ROW()-4</f>
        <v>870</v>
      </c>
      <c r="B874" s="38"/>
      <c r="C874" s="39"/>
      <c r="D874" s="40"/>
      <c r="E874" s="39"/>
      <c r="F874" s="40"/>
      <c r="G874" s="41"/>
      <c r="H874" s="42"/>
      <c r="I874" s="43"/>
      <c r="J874" s="44"/>
      <c r="K874" s="39"/>
      <c r="L874" s="42"/>
      <c r="M874" s="44"/>
      <c r="N874" s="45"/>
      <c r="O874" s="44"/>
      <c r="P874" s="46"/>
      <c r="Q874" s="47" t="str">
        <f aca="false">IF(L874="","",IF(M874&lt;&gt;"",M874*L874*100,IF(AND(O874&lt;&gt;"",B874&lt;&gt;""),IFERROR(AVERAGEIF($B$5:$B$1004,B874,$M$5:$M$1004)*L874*100,""),"")))</f>
        <v/>
      </c>
      <c r="R874" s="47" t="str">
        <f aca="false">IF(AND(O874&lt;&gt;"",L874&lt;&gt;""),O874*L874*100,"")</f>
        <v/>
      </c>
      <c r="S874" s="48" t="str">
        <f aca="false">IF(AND(P874&lt;&gt;"",L874&lt;&gt;""),P874*L874*100,"")</f>
        <v/>
      </c>
      <c r="T874" s="49" t="str">
        <f aca="false">IF(AND(Q874&lt;&gt;"",R874&lt;&gt;""),R874-Q874,"")</f>
        <v/>
      </c>
      <c r="U874" s="50" t="str">
        <f aca="false">IF(AND(Q874&lt;&gt;"",Q874&lt;&gt;0,T874&lt;&gt;""),T874/Q874,"")</f>
        <v/>
      </c>
      <c r="V874" s="51" t="str">
        <f aca="false">IF(AND(S874&lt;&gt;"",Q874&lt;&gt;""),S874-Q874,"")</f>
        <v/>
      </c>
      <c r="W874" s="52" t="str">
        <f aca="false">IF(AND(Q874&lt;&gt;"",Q874&lt;&gt;0,V874&lt;&gt;""),V874/Q874,"")</f>
        <v/>
      </c>
      <c r="X874" s="53" t="s">
        <v>37</v>
      </c>
      <c r="Y874" s="54" t="str">
        <f aca="false">IF(AND(O874&lt;&gt;"",M874&lt;&gt;"",O874&gt;M874),CONCATENATE("1 : ",TEXT((O874-M874)/M874,"0.00")),IF(AND(O874&lt;&gt;"",M874&lt;&gt;"",O874&lt;M874),CONCATENATE("-1 : ",TEXT((M874-O874)/M874,"0.00")),"—"))</f>
        <v>—</v>
      </c>
      <c r="Z874" s="55" t="str">
        <f aca="false">IF(AND(P874&lt;&gt;"",M874&lt;&gt;"",P874&gt;M874),CONCATENATE("1 : ",TEXT((P874-M874)/M874,"0.00")),"—")</f>
        <v>—</v>
      </c>
      <c r="AA874" s="56" t="str">
        <f aca="false">IF(AND(C874&lt;&gt;"",E874&lt;&gt;""),E874-C874,"")</f>
        <v/>
      </c>
      <c r="AB874" s="42"/>
      <c r="AC874" s="57"/>
      <c r="AD874" s="58"/>
      <c r="AE874" s="59" t="str">
        <f aca="false">IF(G874&lt;&gt;"",HYPERLINK("https://www.tradingview.com/chart/?symbol="&amp;G874&amp;"&amp;interval=60&amp;from="&amp;(AG874-10*3600)&amp;"&amp;to="&amp;(AG874+50*3600),"📈 1H"),"")</f>
        <v/>
      </c>
      <c r="AF874" s="60" t="str">
        <f aca="false">IF(G874&lt;&gt;"",HYPERLINK("https://www.tradingview.com/chart/?symbol="&amp;G874&amp;"&amp;interval=240&amp;from="&amp;(AG874-10*14400)&amp;"&amp;to="&amp;(AG874+50*14400),"📈 4H"),"")</f>
        <v/>
      </c>
      <c r="AG874" s="36" t="str">
        <f aca="false">IF(C874&lt;&gt;"",INT((C874+IF(D874&lt;&gt;"",D874,0)-DATE(1970,1,1))*86400),"")</f>
        <v/>
      </c>
    </row>
    <row r="875" customFormat="false" ht="19.5" hidden="false" customHeight="true" outlineLevel="0" collapsed="false">
      <c r="A875" s="12" t="n">
        <f aca="false">ROW()-4</f>
        <v>871</v>
      </c>
      <c r="B875" s="13"/>
      <c r="C875" s="14"/>
      <c r="D875" s="15"/>
      <c r="E875" s="14"/>
      <c r="F875" s="15"/>
      <c r="G875" s="16"/>
      <c r="H875" s="17"/>
      <c r="I875" s="18"/>
      <c r="J875" s="19"/>
      <c r="K875" s="14"/>
      <c r="L875" s="17"/>
      <c r="M875" s="19"/>
      <c r="N875" s="20"/>
      <c r="O875" s="19"/>
      <c r="P875" s="21"/>
      <c r="Q875" s="22" t="str">
        <f aca="false">IF(L875="","",IF(M875&lt;&gt;"",M875*L875*100,IF(AND(O875&lt;&gt;"",B875&lt;&gt;""),IFERROR(AVERAGEIF($B$5:$B$1004,B875,$M$5:$M$1004)*L875*100,""),"")))</f>
        <v/>
      </c>
      <c r="R875" s="22" t="str">
        <f aca="false">IF(AND(O875&lt;&gt;"",L875&lt;&gt;""),O875*L875*100,"")</f>
        <v/>
      </c>
      <c r="S875" s="23" t="str">
        <f aca="false">IF(AND(P875&lt;&gt;"",L875&lt;&gt;""),P875*L875*100,"")</f>
        <v/>
      </c>
      <c r="T875" s="24" t="str">
        <f aca="false">IF(AND(Q875&lt;&gt;"",R875&lt;&gt;""),R875-Q875,"")</f>
        <v/>
      </c>
      <c r="U875" s="25" t="str">
        <f aca="false">IF(AND(Q875&lt;&gt;"",Q875&lt;&gt;0,T875&lt;&gt;""),T875/Q875,"")</f>
        <v/>
      </c>
      <c r="V875" s="26" t="str">
        <f aca="false">IF(AND(S875&lt;&gt;"",Q875&lt;&gt;""),S875-Q875,"")</f>
        <v/>
      </c>
      <c r="W875" s="27" t="str">
        <f aca="false">IF(AND(Q875&lt;&gt;"",Q875&lt;&gt;0,V875&lt;&gt;""),V875/Q875,"")</f>
        <v/>
      </c>
      <c r="X875" s="28" t="s">
        <v>37</v>
      </c>
      <c r="Y875" s="29" t="str">
        <f aca="false">IF(AND(O875&lt;&gt;"",M875&lt;&gt;"",O875&gt;M875),CONCATENATE("1 : ",TEXT((O875-M875)/M875,"0.00")),IF(AND(O875&lt;&gt;"",M875&lt;&gt;"",O875&lt;M875),CONCATENATE("-1 : ",TEXT((M875-O875)/M875,"0.00")),"—"))</f>
        <v>—</v>
      </c>
      <c r="Z875" s="30" t="str">
        <f aca="false">IF(AND(P875&lt;&gt;"",M875&lt;&gt;"",P875&gt;M875),CONCATENATE("1 : ",TEXT((P875-M875)/M875,"0.00")),"—")</f>
        <v>—</v>
      </c>
      <c r="AA875" s="31" t="str">
        <f aca="false">IF(AND(C875&lt;&gt;"",E875&lt;&gt;""),E875-C875,"")</f>
        <v/>
      </c>
      <c r="AB875" s="17"/>
      <c r="AC875" s="32"/>
      <c r="AD875" s="33"/>
      <c r="AE875" s="34" t="str">
        <f aca="false">IF(G875&lt;&gt;"",HYPERLINK("https://www.tradingview.com/chart/?symbol="&amp;G875&amp;"&amp;interval=60&amp;from="&amp;(AG875-10*3600)&amp;"&amp;to="&amp;(AG875+50*3600),"📈 1H"),"")</f>
        <v/>
      </c>
      <c r="AF875" s="35" t="str">
        <f aca="false">IF(G875&lt;&gt;"",HYPERLINK("https://www.tradingview.com/chart/?symbol="&amp;G875&amp;"&amp;interval=240&amp;from="&amp;(AG875-10*14400)&amp;"&amp;to="&amp;(AG875+50*14400),"📈 4H"),"")</f>
        <v/>
      </c>
      <c r="AG875" s="36" t="str">
        <f aca="false">IF(C875&lt;&gt;"",INT((C875+IF(D875&lt;&gt;"",D875,0)-DATE(1970,1,1))*86400),"")</f>
        <v/>
      </c>
    </row>
    <row r="876" customFormat="false" ht="19.5" hidden="false" customHeight="true" outlineLevel="0" collapsed="false">
      <c r="A876" s="37" t="n">
        <f aca="false">ROW()-4</f>
        <v>872</v>
      </c>
      <c r="B876" s="38"/>
      <c r="C876" s="39"/>
      <c r="D876" s="40"/>
      <c r="E876" s="39"/>
      <c r="F876" s="40"/>
      <c r="G876" s="41"/>
      <c r="H876" s="42"/>
      <c r="I876" s="43"/>
      <c r="J876" s="44"/>
      <c r="K876" s="39"/>
      <c r="L876" s="42"/>
      <c r="M876" s="44"/>
      <c r="N876" s="45"/>
      <c r="O876" s="44"/>
      <c r="P876" s="46"/>
      <c r="Q876" s="47" t="str">
        <f aca="false">IF(L876="","",IF(M876&lt;&gt;"",M876*L876*100,IF(AND(O876&lt;&gt;"",B876&lt;&gt;""),IFERROR(AVERAGEIF($B$5:$B$1004,B876,$M$5:$M$1004)*L876*100,""),"")))</f>
        <v/>
      </c>
      <c r="R876" s="47" t="str">
        <f aca="false">IF(AND(O876&lt;&gt;"",L876&lt;&gt;""),O876*L876*100,"")</f>
        <v/>
      </c>
      <c r="S876" s="48" t="str">
        <f aca="false">IF(AND(P876&lt;&gt;"",L876&lt;&gt;""),P876*L876*100,"")</f>
        <v/>
      </c>
      <c r="T876" s="49" t="str">
        <f aca="false">IF(AND(Q876&lt;&gt;"",R876&lt;&gt;""),R876-Q876,"")</f>
        <v/>
      </c>
      <c r="U876" s="50" t="str">
        <f aca="false">IF(AND(Q876&lt;&gt;"",Q876&lt;&gt;0,T876&lt;&gt;""),T876/Q876,"")</f>
        <v/>
      </c>
      <c r="V876" s="51" t="str">
        <f aca="false">IF(AND(S876&lt;&gt;"",Q876&lt;&gt;""),S876-Q876,"")</f>
        <v/>
      </c>
      <c r="W876" s="52" t="str">
        <f aca="false">IF(AND(Q876&lt;&gt;"",Q876&lt;&gt;0,V876&lt;&gt;""),V876/Q876,"")</f>
        <v/>
      </c>
      <c r="X876" s="53" t="s">
        <v>37</v>
      </c>
      <c r="Y876" s="54" t="str">
        <f aca="false">IF(AND(O876&lt;&gt;"",M876&lt;&gt;"",O876&gt;M876),CONCATENATE("1 : ",TEXT((O876-M876)/M876,"0.00")),IF(AND(O876&lt;&gt;"",M876&lt;&gt;"",O876&lt;M876),CONCATENATE("-1 : ",TEXT((M876-O876)/M876,"0.00")),"—"))</f>
        <v>—</v>
      </c>
      <c r="Z876" s="55" t="str">
        <f aca="false">IF(AND(P876&lt;&gt;"",M876&lt;&gt;"",P876&gt;M876),CONCATENATE("1 : ",TEXT((P876-M876)/M876,"0.00")),"—")</f>
        <v>—</v>
      </c>
      <c r="AA876" s="56" t="str">
        <f aca="false">IF(AND(C876&lt;&gt;"",E876&lt;&gt;""),E876-C876,"")</f>
        <v/>
      </c>
      <c r="AB876" s="42"/>
      <c r="AC876" s="57"/>
      <c r="AD876" s="58"/>
      <c r="AE876" s="59" t="str">
        <f aca="false">IF(G876&lt;&gt;"",HYPERLINK("https://www.tradingview.com/chart/?symbol="&amp;G876&amp;"&amp;interval=60&amp;from="&amp;(AG876-10*3600)&amp;"&amp;to="&amp;(AG876+50*3600),"📈 1H"),"")</f>
        <v/>
      </c>
      <c r="AF876" s="60" t="str">
        <f aca="false">IF(G876&lt;&gt;"",HYPERLINK("https://www.tradingview.com/chart/?symbol="&amp;G876&amp;"&amp;interval=240&amp;from="&amp;(AG876-10*14400)&amp;"&amp;to="&amp;(AG876+50*14400),"📈 4H"),"")</f>
        <v/>
      </c>
      <c r="AG876" s="36" t="str">
        <f aca="false">IF(C876&lt;&gt;"",INT((C876+IF(D876&lt;&gt;"",D876,0)-DATE(1970,1,1))*86400),"")</f>
        <v/>
      </c>
    </row>
    <row r="877" customFormat="false" ht="19.5" hidden="false" customHeight="true" outlineLevel="0" collapsed="false">
      <c r="A877" s="12" t="n">
        <f aca="false">ROW()-4</f>
        <v>873</v>
      </c>
      <c r="B877" s="13"/>
      <c r="C877" s="14"/>
      <c r="D877" s="15"/>
      <c r="E877" s="14"/>
      <c r="F877" s="15"/>
      <c r="G877" s="16"/>
      <c r="H877" s="17"/>
      <c r="I877" s="18"/>
      <c r="J877" s="19"/>
      <c r="K877" s="14"/>
      <c r="L877" s="17"/>
      <c r="M877" s="19"/>
      <c r="N877" s="20"/>
      <c r="O877" s="19"/>
      <c r="P877" s="21"/>
      <c r="Q877" s="22" t="str">
        <f aca="false">IF(L877="","",IF(M877&lt;&gt;"",M877*L877*100,IF(AND(O877&lt;&gt;"",B877&lt;&gt;""),IFERROR(AVERAGEIF($B$5:$B$1004,B877,$M$5:$M$1004)*L877*100,""),"")))</f>
        <v/>
      </c>
      <c r="R877" s="22" t="str">
        <f aca="false">IF(AND(O877&lt;&gt;"",L877&lt;&gt;""),O877*L877*100,"")</f>
        <v/>
      </c>
      <c r="S877" s="23" t="str">
        <f aca="false">IF(AND(P877&lt;&gt;"",L877&lt;&gt;""),P877*L877*100,"")</f>
        <v/>
      </c>
      <c r="T877" s="24" t="str">
        <f aca="false">IF(AND(Q877&lt;&gt;"",R877&lt;&gt;""),R877-Q877,"")</f>
        <v/>
      </c>
      <c r="U877" s="25" t="str">
        <f aca="false">IF(AND(Q877&lt;&gt;"",Q877&lt;&gt;0,T877&lt;&gt;""),T877/Q877,"")</f>
        <v/>
      </c>
      <c r="V877" s="26" t="str">
        <f aca="false">IF(AND(S877&lt;&gt;"",Q877&lt;&gt;""),S877-Q877,"")</f>
        <v/>
      </c>
      <c r="W877" s="27" t="str">
        <f aca="false">IF(AND(Q877&lt;&gt;"",Q877&lt;&gt;0,V877&lt;&gt;""),V877/Q877,"")</f>
        <v/>
      </c>
      <c r="X877" s="28" t="s">
        <v>37</v>
      </c>
      <c r="Y877" s="29" t="str">
        <f aca="false">IF(AND(O877&lt;&gt;"",M877&lt;&gt;"",O877&gt;M877),CONCATENATE("1 : ",TEXT((O877-M877)/M877,"0.00")),IF(AND(O877&lt;&gt;"",M877&lt;&gt;"",O877&lt;M877),CONCATENATE("-1 : ",TEXT((M877-O877)/M877,"0.00")),"—"))</f>
        <v>—</v>
      </c>
      <c r="Z877" s="30" t="str">
        <f aca="false">IF(AND(P877&lt;&gt;"",M877&lt;&gt;"",P877&gt;M877),CONCATENATE("1 : ",TEXT((P877-M877)/M877,"0.00")),"—")</f>
        <v>—</v>
      </c>
      <c r="AA877" s="31" t="str">
        <f aca="false">IF(AND(C877&lt;&gt;"",E877&lt;&gt;""),E877-C877,"")</f>
        <v/>
      </c>
      <c r="AB877" s="17"/>
      <c r="AC877" s="32"/>
      <c r="AD877" s="33"/>
      <c r="AE877" s="34" t="str">
        <f aca="false">IF(G877&lt;&gt;"",HYPERLINK("https://www.tradingview.com/chart/?symbol="&amp;G877&amp;"&amp;interval=60&amp;from="&amp;(AG877-10*3600)&amp;"&amp;to="&amp;(AG877+50*3600),"📈 1H"),"")</f>
        <v/>
      </c>
      <c r="AF877" s="35" t="str">
        <f aca="false">IF(G877&lt;&gt;"",HYPERLINK("https://www.tradingview.com/chart/?symbol="&amp;G877&amp;"&amp;interval=240&amp;from="&amp;(AG877-10*14400)&amp;"&amp;to="&amp;(AG877+50*14400),"📈 4H"),"")</f>
        <v/>
      </c>
      <c r="AG877" s="36" t="str">
        <f aca="false">IF(C877&lt;&gt;"",INT((C877+IF(D877&lt;&gt;"",D877,0)-DATE(1970,1,1))*86400),"")</f>
        <v/>
      </c>
    </row>
    <row r="878" customFormat="false" ht="19.5" hidden="false" customHeight="true" outlineLevel="0" collapsed="false">
      <c r="A878" s="37" t="n">
        <f aca="false">ROW()-4</f>
        <v>874</v>
      </c>
      <c r="B878" s="38"/>
      <c r="C878" s="39"/>
      <c r="D878" s="40"/>
      <c r="E878" s="39"/>
      <c r="F878" s="40"/>
      <c r="G878" s="41"/>
      <c r="H878" s="42"/>
      <c r="I878" s="43"/>
      <c r="J878" s="44"/>
      <c r="K878" s="39"/>
      <c r="L878" s="42"/>
      <c r="M878" s="44"/>
      <c r="N878" s="45"/>
      <c r="O878" s="44"/>
      <c r="P878" s="46"/>
      <c r="Q878" s="47" t="str">
        <f aca="false">IF(L878="","",IF(M878&lt;&gt;"",M878*L878*100,IF(AND(O878&lt;&gt;"",B878&lt;&gt;""),IFERROR(AVERAGEIF($B$5:$B$1004,B878,$M$5:$M$1004)*L878*100,""),"")))</f>
        <v/>
      </c>
      <c r="R878" s="47" t="str">
        <f aca="false">IF(AND(O878&lt;&gt;"",L878&lt;&gt;""),O878*L878*100,"")</f>
        <v/>
      </c>
      <c r="S878" s="48" t="str">
        <f aca="false">IF(AND(P878&lt;&gt;"",L878&lt;&gt;""),P878*L878*100,"")</f>
        <v/>
      </c>
      <c r="T878" s="49" t="str">
        <f aca="false">IF(AND(Q878&lt;&gt;"",R878&lt;&gt;""),R878-Q878,"")</f>
        <v/>
      </c>
      <c r="U878" s="50" t="str">
        <f aca="false">IF(AND(Q878&lt;&gt;"",Q878&lt;&gt;0,T878&lt;&gt;""),T878/Q878,"")</f>
        <v/>
      </c>
      <c r="V878" s="51" t="str">
        <f aca="false">IF(AND(S878&lt;&gt;"",Q878&lt;&gt;""),S878-Q878,"")</f>
        <v/>
      </c>
      <c r="W878" s="52" t="str">
        <f aca="false">IF(AND(Q878&lt;&gt;"",Q878&lt;&gt;0,V878&lt;&gt;""),V878/Q878,"")</f>
        <v/>
      </c>
      <c r="X878" s="53" t="s">
        <v>37</v>
      </c>
      <c r="Y878" s="54" t="str">
        <f aca="false">IF(AND(O878&lt;&gt;"",M878&lt;&gt;"",O878&gt;M878),CONCATENATE("1 : ",TEXT((O878-M878)/M878,"0.00")),IF(AND(O878&lt;&gt;"",M878&lt;&gt;"",O878&lt;M878),CONCATENATE("-1 : ",TEXT((M878-O878)/M878,"0.00")),"—"))</f>
        <v>—</v>
      </c>
      <c r="Z878" s="55" t="str">
        <f aca="false">IF(AND(P878&lt;&gt;"",M878&lt;&gt;"",P878&gt;M878),CONCATENATE("1 : ",TEXT((P878-M878)/M878,"0.00")),"—")</f>
        <v>—</v>
      </c>
      <c r="AA878" s="56" t="str">
        <f aca="false">IF(AND(C878&lt;&gt;"",E878&lt;&gt;""),E878-C878,"")</f>
        <v/>
      </c>
      <c r="AB878" s="42"/>
      <c r="AC878" s="57"/>
      <c r="AD878" s="58"/>
      <c r="AE878" s="59" t="str">
        <f aca="false">IF(G878&lt;&gt;"",HYPERLINK("https://www.tradingview.com/chart/?symbol="&amp;G878&amp;"&amp;interval=60&amp;from="&amp;(AG878-10*3600)&amp;"&amp;to="&amp;(AG878+50*3600),"📈 1H"),"")</f>
        <v/>
      </c>
      <c r="AF878" s="60" t="str">
        <f aca="false">IF(G878&lt;&gt;"",HYPERLINK("https://www.tradingview.com/chart/?symbol="&amp;G878&amp;"&amp;interval=240&amp;from="&amp;(AG878-10*14400)&amp;"&amp;to="&amp;(AG878+50*14400),"📈 4H"),"")</f>
        <v/>
      </c>
      <c r="AG878" s="36" t="str">
        <f aca="false">IF(C878&lt;&gt;"",INT((C878+IF(D878&lt;&gt;"",D878,0)-DATE(1970,1,1))*86400),"")</f>
        <v/>
      </c>
    </row>
    <row r="879" customFormat="false" ht="19.5" hidden="false" customHeight="true" outlineLevel="0" collapsed="false">
      <c r="A879" s="12" t="n">
        <f aca="false">ROW()-4</f>
        <v>875</v>
      </c>
      <c r="B879" s="13"/>
      <c r="C879" s="14"/>
      <c r="D879" s="15"/>
      <c r="E879" s="14"/>
      <c r="F879" s="15"/>
      <c r="G879" s="16"/>
      <c r="H879" s="17"/>
      <c r="I879" s="18"/>
      <c r="J879" s="19"/>
      <c r="K879" s="14"/>
      <c r="L879" s="17"/>
      <c r="M879" s="19"/>
      <c r="N879" s="20"/>
      <c r="O879" s="19"/>
      <c r="P879" s="21"/>
      <c r="Q879" s="22" t="str">
        <f aca="false">IF(L879="","",IF(M879&lt;&gt;"",M879*L879*100,IF(AND(O879&lt;&gt;"",B879&lt;&gt;""),IFERROR(AVERAGEIF($B$5:$B$1004,B879,$M$5:$M$1004)*L879*100,""),"")))</f>
        <v/>
      </c>
      <c r="R879" s="22" t="str">
        <f aca="false">IF(AND(O879&lt;&gt;"",L879&lt;&gt;""),O879*L879*100,"")</f>
        <v/>
      </c>
      <c r="S879" s="23" t="str">
        <f aca="false">IF(AND(P879&lt;&gt;"",L879&lt;&gt;""),P879*L879*100,"")</f>
        <v/>
      </c>
      <c r="T879" s="24" t="str">
        <f aca="false">IF(AND(Q879&lt;&gt;"",R879&lt;&gt;""),R879-Q879,"")</f>
        <v/>
      </c>
      <c r="U879" s="25" t="str">
        <f aca="false">IF(AND(Q879&lt;&gt;"",Q879&lt;&gt;0,T879&lt;&gt;""),T879/Q879,"")</f>
        <v/>
      </c>
      <c r="V879" s="26" t="str">
        <f aca="false">IF(AND(S879&lt;&gt;"",Q879&lt;&gt;""),S879-Q879,"")</f>
        <v/>
      </c>
      <c r="W879" s="27" t="str">
        <f aca="false">IF(AND(Q879&lt;&gt;"",Q879&lt;&gt;0,V879&lt;&gt;""),V879/Q879,"")</f>
        <v/>
      </c>
      <c r="X879" s="28" t="s">
        <v>37</v>
      </c>
      <c r="Y879" s="29" t="str">
        <f aca="false">IF(AND(O879&lt;&gt;"",M879&lt;&gt;"",O879&gt;M879),CONCATENATE("1 : ",TEXT((O879-M879)/M879,"0.00")),IF(AND(O879&lt;&gt;"",M879&lt;&gt;"",O879&lt;M879),CONCATENATE("-1 : ",TEXT((M879-O879)/M879,"0.00")),"—"))</f>
        <v>—</v>
      </c>
      <c r="Z879" s="30" t="str">
        <f aca="false">IF(AND(P879&lt;&gt;"",M879&lt;&gt;"",P879&gt;M879),CONCATENATE("1 : ",TEXT((P879-M879)/M879,"0.00")),"—")</f>
        <v>—</v>
      </c>
      <c r="AA879" s="31" t="str">
        <f aca="false">IF(AND(C879&lt;&gt;"",E879&lt;&gt;""),E879-C879,"")</f>
        <v/>
      </c>
      <c r="AB879" s="17"/>
      <c r="AC879" s="32"/>
      <c r="AD879" s="33"/>
      <c r="AE879" s="34" t="str">
        <f aca="false">IF(G879&lt;&gt;"",HYPERLINK("https://www.tradingview.com/chart/?symbol="&amp;G879&amp;"&amp;interval=60&amp;from="&amp;(AG879-10*3600)&amp;"&amp;to="&amp;(AG879+50*3600),"📈 1H"),"")</f>
        <v/>
      </c>
      <c r="AF879" s="35" t="str">
        <f aca="false">IF(G879&lt;&gt;"",HYPERLINK("https://www.tradingview.com/chart/?symbol="&amp;G879&amp;"&amp;interval=240&amp;from="&amp;(AG879-10*14400)&amp;"&amp;to="&amp;(AG879+50*14400),"📈 4H"),"")</f>
        <v/>
      </c>
      <c r="AG879" s="36" t="str">
        <f aca="false">IF(C879&lt;&gt;"",INT((C879+IF(D879&lt;&gt;"",D879,0)-DATE(1970,1,1))*86400),"")</f>
        <v/>
      </c>
    </row>
    <row r="880" customFormat="false" ht="19.5" hidden="false" customHeight="true" outlineLevel="0" collapsed="false">
      <c r="A880" s="37" t="n">
        <f aca="false">ROW()-4</f>
        <v>876</v>
      </c>
      <c r="B880" s="38"/>
      <c r="C880" s="39"/>
      <c r="D880" s="40"/>
      <c r="E880" s="39"/>
      <c r="F880" s="40"/>
      <c r="G880" s="41"/>
      <c r="H880" s="42"/>
      <c r="I880" s="43"/>
      <c r="J880" s="44"/>
      <c r="K880" s="39"/>
      <c r="L880" s="42"/>
      <c r="M880" s="44"/>
      <c r="N880" s="45"/>
      <c r="O880" s="44"/>
      <c r="P880" s="46"/>
      <c r="Q880" s="47" t="str">
        <f aca="false">IF(L880="","",IF(M880&lt;&gt;"",M880*L880*100,IF(AND(O880&lt;&gt;"",B880&lt;&gt;""),IFERROR(AVERAGEIF($B$5:$B$1004,B880,$M$5:$M$1004)*L880*100,""),"")))</f>
        <v/>
      </c>
      <c r="R880" s="47" t="str">
        <f aca="false">IF(AND(O880&lt;&gt;"",L880&lt;&gt;""),O880*L880*100,"")</f>
        <v/>
      </c>
      <c r="S880" s="48" t="str">
        <f aca="false">IF(AND(P880&lt;&gt;"",L880&lt;&gt;""),P880*L880*100,"")</f>
        <v/>
      </c>
      <c r="T880" s="49" t="str">
        <f aca="false">IF(AND(Q880&lt;&gt;"",R880&lt;&gt;""),R880-Q880,"")</f>
        <v/>
      </c>
      <c r="U880" s="50" t="str">
        <f aca="false">IF(AND(Q880&lt;&gt;"",Q880&lt;&gt;0,T880&lt;&gt;""),T880/Q880,"")</f>
        <v/>
      </c>
      <c r="V880" s="51" t="str">
        <f aca="false">IF(AND(S880&lt;&gt;"",Q880&lt;&gt;""),S880-Q880,"")</f>
        <v/>
      </c>
      <c r="W880" s="52" t="str">
        <f aca="false">IF(AND(Q880&lt;&gt;"",Q880&lt;&gt;0,V880&lt;&gt;""),V880/Q880,"")</f>
        <v/>
      </c>
      <c r="X880" s="53" t="s">
        <v>37</v>
      </c>
      <c r="Y880" s="54" t="str">
        <f aca="false">IF(AND(O880&lt;&gt;"",M880&lt;&gt;"",O880&gt;M880),CONCATENATE("1 : ",TEXT((O880-M880)/M880,"0.00")),IF(AND(O880&lt;&gt;"",M880&lt;&gt;"",O880&lt;M880),CONCATENATE("-1 : ",TEXT((M880-O880)/M880,"0.00")),"—"))</f>
        <v>—</v>
      </c>
      <c r="Z880" s="55" t="str">
        <f aca="false">IF(AND(P880&lt;&gt;"",M880&lt;&gt;"",P880&gt;M880),CONCATENATE("1 : ",TEXT((P880-M880)/M880,"0.00")),"—")</f>
        <v>—</v>
      </c>
      <c r="AA880" s="56" t="str">
        <f aca="false">IF(AND(C880&lt;&gt;"",E880&lt;&gt;""),E880-C880,"")</f>
        <v/>
      </c>
      <c r="AB880" s="42"/>
      <c r="AC880" s="57"/>
      <c r="AD880" s="58"/>
      <c r="AE880" s="59" t="str">
        <f aca="false">IF(G880&lt;&gt;"",HYPERLINK("https://www.tradingview.com/chart/?symbol="&amp;G880&amp;"&amp;interval=60&amp;from="&amp;(AG880-10*3600)&amp;"&amp;to="&amp;(AG880+50*3600),"📈 1H"),"")</f>
        <v/>
      </c>
      <c r="AF880" s="60" t="str">
        <f aca="false">IF(G880&lt;&gt;"",HYPERLINK("https://www.tradingview.com/chart/?symbol="&amp;G880&amp;"&amp;interval=240&amp;from="&amp;(AG880-10*14400)&amp;"&amp;to="&amp;(AG880+50*14400),"📈 4H"),"")</f>
        <v/>
      </c>
      <c r="AG880" s="36" t="str">
        <f aca="false">IF(C880&lt;&gt;"",INT((C880+IF(D880&lt;&gt;"",D880,0)-DATE(1970,1,1))*86400),"")</f>
        <v/>
      </c>
    </row>
    <row r="881" customFormat="false" ht="19.5" hidden="false" customHeight="true" outlineLevel="0" collapsed="false">
      <c r="A881" s="12" t="n">
        <f aca="false">ROW()-4</f>
        <v>877</v>
      </c>
      <c r="B881" s="13"/>
      <c r="C881" s="14"/>
      <c r="D881" s="15"/>
      <c r="E881" s="14"/>
      <c r="F881" s="15"/>
      <c r="G881" s="16"/>
      <c r="H881" s="17"/>
      <c r="I881" s="18"/>
      <c r="J881" s="19"/>
      <c r="K881" s="14"/>
      <c r="L881" s="17"/>
      <c r="M881" s="19"/>
      <c r="N881" s="20"/>
      <c r="O881" s="19"/>
      <c r="P881" s="21"/>
      <c r="Q881" s="22" t="str">
        <f aca="false">IF(L881="","",IF(M881&lt;&gt;"",M881*L881*100,IF(AND(O881&lt;&gt;"",B881&lt;&gt;""),IFERROR(AVERAGEIF($B$5:$B$1004,B881,$M$5:$M$1004)*L881*100,""),"")))</f>
        <v/>
      </c>
      <c r="R881" s="22" t="str">
        <f aca="false">IF(AND(O881&lt;&gt;"",L881&lt;&gt;""),O881*L881*100,"")</f>
        <v/>
      </c>
      <c r="S881" s="23" t="str">
        <f aca="false">IF(AND(P881&lt;&gt;"",L881&lt;&gt;""),P881*L881*100,"")</f>
        <v/>
      </c>
      <c r="T881" s="24" t="str">
        <f aca="false">IF(AND(Q881&lt;&gt;"",R881&lt;&gt;""),R881-Q881,"")</f>
        <v/>
      </c>
      <c r="U881" s="25" t="str">
        <f aca="false">IF(AND(Q881&lt;&gt;"",Q881&lt;&gt;0,T881&lt;&gt;""),T881/Q881,"")</f>
        <v/>
      </c>
      <c r="V881" s="26" t="str">
        <f aca="false">IF(AND(S881&lt;&gt;"",Q881&lt;&gt;""),S881-Q881,"")</f>
        <v/>
      </c>
      <c r="W881" s="27" t="str">
        <f aca="false">IF(AND(Q881&lt;&gt;"",Q881&lt;&gt;0,V881&lt;&gt;""),V881/Q881,"")</f>
        <v/>
      </c>
      <c r="X881" s="28" t="s">
        <v>37</v>
      </c>
      <c r="Y881" s="29" t="str">
        <f aca="false">IF(AND(O881&lt;&gt;"",M881&lt;&gt;"",O881&gt;M881),CONCATENATE("1 : ",TEXT((O881-M881)/M881,"0.00")),IF(AND(O881&lt;&gt;"",M881&lt;&gt;"",O881&lt;M881),CONCATENATE("-1 : ",TEXT((M881-O881)/M881,"0.00")),"—"))</f>
        <v>—</v>
      </c>
      <c r="Z881" s="30" t="str">
        <f aca="false">IF(AND(P881&lt;&gt;"",M881&lt;&gt;"",P881&gt;M881),CONCATENATE("1 : ",TEXT((P881-M881)/M881,"0.00")),"—")</f>
        <v>—</v>
      </c>
      <c r="AA881" s="31" t="str">
        <f aca="false">IF(AND(C881&lt;&gt;"",E881&lt;&gt;""),E881-C881,"")</f>
        <v/>
      </c>
      <c r="AB881" s="17"/>
      <c r="AC881" s="32"/>
      <c r="AD881" s="33"/>
      <c r="AE881" s="34" t="str">
        <f aca="false">IF(G881&lt;&gt;"",HYPERLINK("https://www.tradingview.com/chart/?symbol="&amp;G881&amp;"&amp;interval=60&amp;from="&amp;(AG881-10*3600)&amp;"&amp;to="&amp;(AG881+50*3600),"📈 1H"),"")</f>
        <v/>
      </c>
      <c r="AF881" s="35" t="str">
        <f aca="false">IF(G881&lt;&gt;"",HYPERLINK("https://www.tradingview.com/chart/?symbol="&amp;G881&amp;"&amp;interval=240&amp;from="&amp;(AG881-10*14400)&amp;"&amp;to="&amp;(AG881+50*14400),"📈 4H"),"")</f>
        <v/>
      </c>
      <c r="AG881" s="36" t="str">
        <f aca="false">IF(C881&lt;&gt;"",INT((C881+IF(D881&lt;&gt;"",D881,0)-DATE(1970,1,1))*86400),"")</f>
        <v/>
      </c>
    </row>
    <row r="882" customFormat="false" ht="19.5" hidden="false" customHeight="true" outlineLevel="0" collapsed="false">
      <c r="A882" s="37" t="n">
        <f aca="false">ROW()-4</f>
        <v>878</v>
      </c>
      <c r="B882" s="38"/>
      <c r="C882" s="39"/>
      <c r="D882" s="40"/>
      <c r="E882" s="39"/>
      <c r="F882" s="40"/>
      <c r="G882" s="41"/>
      <c r="H882" s="42"/>
      <c r="I882" s="43"/>
      <c r="J882" s="44"/>
      <c r="K882" s="39"/>
      <c r="L882" s="42"/>
      <c r="M882" s="44"/>
      <c r="N882" s="45"/>
      <c r="O882" s="44"/>
      <c r="P882" s="46"/>
      <c r="Q882" s="47" t="str">
        <f aca="false">IF(L882="","",IF(M882&lt;&gt;"",M882*L882*100,IF(AND(O882&lt;&gt;"",B882&lt;&gt;""),IFERROR(AVERAGEIF($B$5:$B$1004,B882,$M$5:$M$1004)*L882*100,""),"")))</f>
        <v/>
      </c>
      <c r="R882" s="47" t="str">
        <f aca="false">IF(AND(O882&lt;&gt;"",L882&lt;&gt;""),O882*L882*100,"")</f>
        <v/>
      </c>
      <c r="S882" s="48" t="str">
        <f aca="false">IF(AND(P882&lt;&gt;"",L882&lt;&gt;""),P882*L882*100,"")</f>
        <v/>
      </c>
      <c r="T882" s="49" t="str">
        <f aca="false">IF(AND(Q882&lt;&gt;"",R882&lt;&gt;""),R882-Q882,"")</f>
        <v/>
      </c>
      <c r="U882" s="50" t="str">
        <f aca="false">IF(AND(Q882&lt;&gt;"",Q882&lt;&gt;0,T882&lt;&gt;""),T882/Q882,"")</f>
        <v/>
      </c>
      <c r="V882" s="51" t="str">
        <f aca="false">IF(AND(S882&lt;&gt;"",Q882&lt;&gt;""),S882-Q882,"")</f>
        <v/>
      </c>
      <c r="W882" s="52" t="str">
        <f aca="false">IF(AND(Q882&lt;&gt;"",Q882&lt;&gt;0,V882&lt;&gt;""),V882/Q882,"")</f>
        <v/>
      </c>
      <c r="X882" s="53" t="s">
        <v>37</v>
      </c>
      <c r="Y882" s="54" t="str">
        <f aca="false">IF(AND(O882&lt;&gt;"",M882&lt;&gt;"",O882&gt;M882),CONCATENATE("1 : ",TEXT((O882-M882)/M882,"0.00")),IF(AND(O882&lt;&gt;"",M882&lt;&gt;"",O882&lt;M882),CONCATENATE("-1 : ",TEXT((M882-O882)/M882,"0.00")),"—"))</f>
        <v>—</v>
      </c>
      <c r="Z882" s="55" t="str">
        <f aca="false">IF(AND(P882&lt;&gt;"",M882&lt;&gt;"",P882&gt;M882),CONCATENATE("1 : ",TEXT((P882-M882)/M882,"0.00")),"—")</f>
        <v>—</v>
      </c>
      <c r="AA882" s="56" t="str">
        <f aca="false">IF(AND(C882&lt;&gt;"",E882&lt;&gt;""),E882-C882,"")</f>
        <v/>
      </c>
      <c r="AB882" s="42"/>
      <c r="AC882" s="57"/>
      <c r="AD882" s="58"/>
      <c r="AE882" s="59" t="str">
        <f aca="false">IF(G882&lt;&gt;"",HYPERLINK("https://www.tradingview.com/chart/?symbol="&amp;G882&amp;"&amp;interval=60&amp;from="&amp;(AG882-10*3600)&amp;"&amp;to="&amp;(AG882+50*3600),"📈 1H"),"")</f>
        <v/>
      </c>
      <c r="AF882" s="60" t="str">
        <f aca="false">IF(G882&lt;&gt;"",HYPERLINK("https://www.tradingview.com/chart/?symbol="&amp;G882&amp;"&amp;interval=240&amp;from="&amp;(AG882-10*14400)&amp;"&amp;to="&amp;(AG882+50*14400),"📈 4H"),"")</f>
        <v/>
      </c>
      <c r="AG882" s="36" t="str">
        <f aca="false">IF(C882&lt;&gt;"",INT((C882+IF(D882&lt;&gt;"",D882,0)-DATE(1970,1,1))*86400),"")</f>
        <v/>
      </c>
    </row>
    <row r="883" customFormat="false" ht="19.5" hidden="false" customHeight="true" outlineLevel="0" collapsed="false">
      <c r="A883" s="12" t="n">
        <f aca="false">ROW()-4</f>
        <v>879</v>
      </c>
      <c r="B883" s="13"/>
      <c r="C883" s="14"/>
      <c r="D883" s="15"/>
      <c r="E883" s="14"/>
      <c r="F883" s="15"/>
      <c r="G883" s="16"/>
      <c r="H883" s="17"/>
      <c r="I883" s="18"/>
      <c r="J883" s="19"/>
      <c r="K883" s="14"/>
      <c r="L883" s="17"/>
      <c r="M883" s="19"/>
      <c r="N883" s="20"/>
      <c r="O883" s="19"/>
      <c r="P883" s="21"/>
      <c r="Q883" s="22" t="str">
        <f aca="false">IF(L883="","",IF(M883&lt;&gt;"",M883*L883*100,IF(AND(O883&lt;&gt;"",B883&lt;&gt;""),IFERROR(AVERAGEIF($B$5:$B$1004,B883,$M$5:$M$1004)*L883*100,""),"")))</f>
        <v/>
      </c>
      <c r="R883" s="22" t="str">
        <f aca="false">IF(AND(O883&lt;&gt;"",L883&lt;&gt;""),O883*L883*100,"")</f>
        <v/>
      </c>
      <c r="S883" s="23" t="str">
        <f aca="false">IF(AND(P883&lt;&gt;"",L883&lt;&gt;""),P883*L883*100,"")</f>
        <v/>
      </c>
      <c r="T883" s="24" t="str">
        <f aca="false">IF(AND(Q883&lt;&gt;"",R883&lt;&gt;""),R883-Q883,"")</f>
        <v/>
      </c>
      <c r="U883" s="25" t="str">
        <f aca="false">IF(AND(Q883&lt;&gt;"",Q883&lt;&gt;0,T883&lt;&gt;""),T883/Q883,"")</f>
        <v/>
      </c>
      <c r="V883" s="26" t="str">
        <f aca="false">IF(AND(S883&lt;&gt;"",Q883&lt;&gt;""),S883-Q883,"")</f>
        <v/>
      </c>
      <c r="W883" s="27" t="str">
        <f aca="false">IF(AND(Q883&lt;&gt;"",Q883&lt;&gt;0,V883&lt;&gt;""),V883/Q883,"")</f>
        <v/>
      </c>
      <c r="X883" s="28" t="s">
        <v>37</v>
      </c>
      <c r="Y883" s="29" t="str">
        <f aca="false">IF(AND(O883&lt;&gt;"",M883&lt;&gt;"",O883&gt;M883),CONCATENATE("1 : ",TEXT((O883-M883)/M883,"0.00")),IF(AND(O883&lt;&gt;"",M883&lt;&gt;"",O883&lt;M883),CONCATENATE("-1 : ",TEXT((M883-O883)/M883,"0.00")),"—"))</f>
        <v>—</v>
      </c>
      <c r="Z883" s="30" t="str">
        <f aca="false">IF(AND(P883&lt;&gt;"",M883&lt;&gt;"",P883&gt;M883),CONCATENATE("1 : ",TEXT((P883-M883)/M883,"0.00")),"—")</f>
        <v>—</v>
      </c>
      <c r="AA883" s="31" t="str">
        <f aca="false">IF(AND(C883&lt;&gt;"",E883&lt;&gt;""),E883-C883,"")</f>
        <v/>
      </c>
      <c r="AB883" s="17"/>
      <c r="AC883" s="32"/>
      <c r="AD883" s="33"/>
      <c r="AE883" s="34" t="str">
        <f aca="false">IF(G883&lt;&gt;"",HYPERLINK("https://www.tradingview.com/chart/?symbol="&amp;G883&amp;"&amp;interval=60&amp;from="&amp;(AG883-10*3600)&amp;"&amp;to="&amp;(AG883+50*3600),"📈 1H"),"")</f>
        <v/>
      </c>
      <c r="AF883" s="35" t="str">
        <f aca="false">IF(G883&lt;&gt;"",HYPERLINK("https://www.tradingview.com/chart/?symbol="&amp;G883&amp;"&amp;interval=240&amp;from="&amp;(AG883-10*14400)&amp;"&amp;to="&amp;(AG883+50*14400),"📈 4H"),"")</f>
        <v/>
      </c>
      <c r="AG883" s="36" t="str">
        <f aca="false">IF(C883&lt;&gt;"",INT((C883+IF(D883&lt;&gt;"",D883,0)-DATE(1970,1,1))*86400),"")</f>
        <v/>
      </c>
    </row>
    <row r="884" customFormat="false" ht="19.5" hidden="false" customHeight="true" outlineLevel="0" collapsed="false">
      <c r="A884" s="37" t="n">
        <f aca="false">ROW()-4</f>
        <v>880</v>
      </c>
      <c r="B884" s="38"/>
      <c r="C884" s="39"/>
      <c r="D884" s="40"/>
      <c r="E884" s="39"/>
      <c r="F884" s="40"/>
      <c r="G884" s="41"/>
      <c r="H884" s="42"/>
      <c r="I884" s="43"/>
      <c r="J884" s="44"/>
      <c r="K884" s="39"/>
      <c r="L884" s="42"/>
      <c r="M884" s="44"/>
      <c r="N884" s="45"/>
      <c r="O884" s="44"/>
      <c r="P884" s="46"/>
      <c r="Q884" s="47" t="str">
        <f aca="false">IF(L884="","",IF(M884&lt;&gt;"",M884*L884*100,IF(AND(O884&lt;&gt;"",B884&lt;&gt;""),IFERROR(AVERAGEIF($B$5:$B$1004,B884,$M$5:$M$1004)*L884*100,""),"")))</f>
        <v/>
      </c>
      <c r="R884" s="47" t="str">
        <f aca="false">IF(AND(O884&lt;&gt;"",L884&lt;&gt;""),O884*L884*100,"")</f>
        <v/>
      </c>
      <c r="S884" s="48" t="str">
        <f aca="false">IF(AND(P884&lt;&gt;"",L884&lt;&gt;""),P884*L884*100,"")</f>
        <v/>
      </c>
      <c r="T884" s="49" t="str">
        <f aca="false">IF(AND(Q884&lt;&gt;"",R884&lt;&gt;""),R884-Q884,"")</f>
        <v/>
      </c>
      <c r="U884" s="50" t="str">
        <f aca="false">IF(AND(Q884&lt;&gt;"",Q884&lt;&gt;0,T884&lt;&gt;""),T884/Q884,"")</f>
        <v/>
      </c>
      <c r="V884" s="51" t="str">
        <f aca="false">IF(AND(S884&lt;&gt;"",Q884&lt;&gt;""),S884-Q884,"")</f>
        <v/>
      </c>
      <c r="W884" s="52" t="str">
        <f aca="false">IF(AND(Q884&lt;&gt;"",Q884&lt;&gt;0,V884&lt;&gt;""),V884/Q884,"")</f>
        <v/>
      </c>
      <c r="X884" s="53" t="s">
        <v>37</v>
      </c>
      <c r="Y884" s="54" t="str">
        <f aca="false">IF(AND(O884&lt;&gt;"",M884&lt;&gt;"",O884&gt;M884),CONCATENATE("1 : ",TEXT((O884-M884)/M884,"0.00")),IF(AND(O884&lt;&gt;"",M884&lt;&gt;"",O884&lt;M884),CONCATENATE("-1 : ",TEXT((M884-O884)/M884,"0.00")),"—"))</f>
        <v>—</v>
      </c>
      <c r="Z884" s="55" t="str">
        <f aca="false">IF(AND(P884&lt;&gt;"",M884&lt;&gt;"",P884&gt;M884),CONCATENATE("1 : ",TEXT((P884-M884)/M884,"0.00")),"—")</f>
        <v>—</v>
      </c>
      <c r="AA884" s="56" t="str">
        <f aca="false">IF(AND(C884&lt;&gt;"",E884&lt;&gt;""),E884-C884,"")</f>
        <v/>
      </c>
      <c r="AB884" s="42"/>
      <c r="AC884" s="57"/>
      <c r="AD884" s="58"/>
      <c r="AE884" s="59" t="str">
        <f aca="false">IF(G884&lt;&gt;"",HYPERLINK("https://www.tradingview.com/chart/?symbol="&amp;G884&amp;"&amp;interval=60&amp;from="&amp;(AG884-10*3600)&amp;"&amp;to="&amp;(AG884+50*3600),"📈 1H"),"")</f>
        <v/>
      </c>
      <c r="AF884" s="60" t="str">
        <f aca="false">IF(G884&lt;&gt;"",HYPERLINK("https://www.tradingview.com/chart/?symbol="&amp;G884&amp;"&amp;interval=240&amp;from="&amp;(AG884-10*14400)&amp;"&amp;to="&amp;(AG884+50*14400),"📈 4H"),"")</f>
        <v/>
      </c>
      <c r="AG884" s="36" t="str">
        <f aca="false">IF(C884&lt;&gt;"",INT((C884+IF(D884&lt;&gt;"",D884,0)-DATE(1970,1,1))*86400),"")</f>
        <v/>
      </c>
    </row>
    <row r="885" customFormat="false" ht="19.5" hidden="false" customHeight="true" outlineLevel="0" collapsed="false">
      <c r="A885" s="12" t="n">
        <f aca="false">ROW()-4</f>
        <v>881</v>
      </c>
      <c r="B885" s="13"/>
      <c r="C885" s="14"/>
      <c r="D885" s="15"/>
      <c r="E885" s="14"/>
      <c r="F885" s="15"/>
      <c r="G885" s="16"/>
      <c r="H885" s="17"/>
      <c r="I885" s="18"/>
      <c r="J885" s="19"/>
      <c r="K885" s="14"/>
      <c r="L885" s="17"/>
      <c r="M885" s="19"/>
      <c r="N885" s="20"/>
      <c r="O885" s="19"/>
      <c r="P885" s="21"/>
      <c r="Q885" s="22" t="str">
        <f aca="false">IF(L885="","",IF(M885&lt;&gt;"",M885*L885*100,IF(AND(O885&lt;&gt;"",B885&lt;&gt;""),IFERROR(AVERAGEIF($B$5:$B$1004,B885,$M$5:$M$1004)*L885*100,""),"")))</f>
        <v/>
      </c>
      <c r="R885" s="22" t="str">
        <f aca="false">IF(AND(O885&lt;&gt;"",L885&lt;&gt;""),O885*L885*100,"")</f>
        <v/>
      </c>
      <c r="S885" s="23" t="str">
        <f aca="false">IF(AND(P885&lt;&gt;"",L885&lt;&gt;""),P885*L885*100,"")</f>
        <v/>
      </c>
      <c r="T885" s="24" t="str">
        <f aca="false">IF(AND(Q885&lt;&gt;"",R885&lt;&gt;""),R885-Q885,"")</f>
        <v/>
      </c>
      <c r="U885" s="25" t="str">
        <f aca="false">IF(AND(Q885&lt;&gt;"",Q885&lt;&gt;0,T885&lt;&gt;""),T885/Q885,"")</f>
        <v/>
      </c>
      <c r="V885" s="26" t="str">
        <f aca="false">IF(AND(S885&lt;&gt;"",Q885&lt;&gt;""),S885-Q885,"")</f>
        <v/>
      </c>
      <c r="W885" s="27" t="str">
        <f aca="false">IF(AND(Q885&lt;&gt;"",Q885&lt;&gt;0,V885&lt;&gt;""),V885/Q885,"")</f>
        <v/>
      </c>
      <c r="X885" s="28" t="s">
        <v>37</v>
      </c>
      <c r="Y885" s="29" t="str">
        <f aca="false">IF(AND(O885&lt;&gt;"",M885&lt;&gt;"",O885&gt;M885),CONCATENATE("1 : ",TEXT((O885-M885)/M885,"0.00")),IF(AND(O885&lt;&gt;"",M885&lt;&gt;"",O885&lt;M885),CONCATENATE("-1 : ",TEXT((M885-O885)/M885,"0.00")),"—"))</f>
        <v>—</v>
      </c>
      <c r="Z885" s="30" t="str">
        <f aca="false">IF(AND(P885&lt;&gt;"",M885&lt;&gt;"",P885&gt;M885),CONCATENATE("1 : ",TEXT((P885-M885)/M885,"0.00")),"—")</f>
        <v>—</v>
      </c>
      <c r="AA885" s="31" t="str">
        <f aca="false">IF(AND(C885&lt;&gt;"",E885&lt;&gt;""),E885-C885,"")</f>
        <v/>
      </c>
      <c r="AB885" s="17"/>
      <c r="AC885" s="32"/>
      <c r="AD885" s="33"/>
      <c r="AE885" s="34" t="str">
        <f aca="false">IF(G885&lt;&gt;"",HYPERLINK("https://www.tradingview.com/chart/?symbol="&amp;G885&amp;"&amp;interval=60&amp;from="&amp;(AG885-10*3600)&amp;"&amp;to="&amp;(AG885+50*3600),"📈 1H"),"")</f>
        <v/>
      </c>
      <c r="AF885" s="35" t="str">
        <f aca="false">IF(G885&lt;&gt;"",HYPERLINK("https://www.tradingview.com/chart/?symbol="&amp;G885&amp;"&amp;interval=240&amp;from="&amp;(AG885-10*14400)&amp;"&amp;to="&amp;(AG885+50*14400),"📈 4H"),"")</f>
        <v/>
      </c>
      <c r="AG885" s="36" t="str">
        <f aca="false">IF(C885&lt;&gt;"",INT((C885+IF(D885&lt;&gt;"",D885,0)-DATE(1970,1,1))*86400),"")</f>
        <v/>
      </c>
    </row>
    <row r="886" customFormat="false" ht="19.5" hidden="false" customHeight="true" outlineLevel="0" collapsed="false">
      <c r="A886" s="37" t="n">
        <f aca="false">ROW()-4</f>
        <v>882</v>
      </c>
      <c r="B886" s="38"/>
      <c r="C886" s="39"/>
      <c r="D886" s="40"/>
      <c r="E886" s="39"/>
      <c r="F886" s="40"/>
      <c r="G886" s="41"/>
      <c r="H886" s="42"/>
      <c r="I886" s="43"/>
      <c r="J886" s="44"/>
      <c r="K886" s="39"/>
      <c r="L886" s="42"/>
      <c r="M886" s="44"/>
      <c r="N886" s="45"/>
      <c r="O886" s="44"/>
      <c r="P886" s="46"/>
      <c r="Q886" s="47" t="str">
        <f aca="false">IF(L886="","",IF(M886&lt;&gt;"",M886*L886*100,IF(AND(O886&lt;&gt;"",B886&lt;&gt;""),IFERROR(AVERAGEIF($B$5:$B$1004,B886,$M$5:$M$1004)*L886*100,""),"")))</f>
        <v/>
      </c>
      <c r="R886" s="47" t="str">
        <f aca="false">IF(AND(O886&lt;&gt;"",L886&lt;&gt;""),O886*L886*100,"")</f>
        <v/>
      </c>
      <c r="S886" s="48" t="str">
        <f aca="false">IF(AND(P886&lt;&gt;"",L886&lt;&gt;""),P886*L886*100,"")</f>
        <v/>
      </c>
      <c r="T886" s="49" t="str">
        <f aca="false">IF(AND(Q886&lt;&gt;"",R886&lt;&gt;""),R886-Q886,"")</f>
        <v/>
      </c>
      <c r="U886" s="50" t="str">
        <f aca="false">IF(AND(Q886&lt;&gt;"",Q886&lt;&gt;0,T886&lt;&gt;""),T886/Q886,"")</f>
        <v/>
      </c>
      <c r="V886" s="51" t="str">
        <f aca="false">IF(AND(S886&lt;&gt;"",Q886&lt;&gt;""),S886-Q886,"")</f>
        <v/>
      </c>
      <c r="W886" s="52" t="str">
        <f aca="false">IF(AND(Q886&lt;&gt;"",Q886&lt;&gt;0,V886&lt;&gt;""),V886/Q886,"")</f>
        <v/>
      </c>
      <c r="X886" s="53" t="s">
        <v>37</v>
      </c>
      <c r="Y886" s="54" t="str">
        <f aca="false">IF(AND(O886&lt;&gt;"",M886&lt;&gt;"",O886&gt;M886),CONCATENATE("1 : ",TEXT((O886-M886)/M886,"0.00")),IF(AND(O886&lt;&gt;"",M886&lt;&gt;"",O886&lt;M886),CONCATENATE("-1 : ",TEXT((M886-O886)/M886,"0.00")),"—"))</f>
        <v>—</v>
      </c>
      <c r="Z886" s="55" t="str">
        <f aca="false">IF(AND(P886&lt;&gt;"",M886&lt;&gt;"",P886&gt;M886),CONCATENATE("1 : ",TEXT((P886-M886)/M886,"0.00")),"—")</f>
        <v>—</v>
      </c>
      <c r="AA886" s="56" t="str">
        <f aca="false">IF(AND(C886&lt;&gt;"",E886&lt;&gt;""),E886-C886,"")</f>
        <v/>
      </c>
      <c r="AB886" s="42"/>
      <c r="AC886" s="57"/>
      <c r="AD886" s="58"/>
      <c r="AE886" s="59" t="str">
        <f aca="false">IF(G886&lt;&gt;"",HYPERLINK("https://www.tradingview.com/chart/?symbol="&amp;G886&amp;"&amp;interval=60&amp;from="&amp;(AG886-10*3600)&amp;"&amp;to="&amp;(AG886+50*3600),"📈 1H"),"")</f>
        <v/>
      </c>
      <c r="AF886" s="60" t="str">
        <f aca="false">IF(G886&lt;&gt;"",HYPERLINK("https://www.tradingview.com/chart/?symbol="&amp;G886&amp;"&amp;interval=240&amp;from="&amp;(AG886-10*14400)&amp;"&amp;to="&amp;(AG886+50*14400),"📈 4H"),"")</f>
        <v/>
      </c>
      <c r="AG886" s="36" t="str">
        <f aca="false">IF(C886&lt;&gt;"",INT((C886+IF(D886&lt;&gt;"",D886,0)-DATE(1970,1,1))*86400),"")</f>
        <v/>
      </c>
    </row>
    <row r="887" customFormat="false" ht="19.5" hidden="false" customHeight="true" outlineLevel="0" collapsed="false">
      <c r="A887" s="12" t="n">
        <f aca="false">ROW()-4</f>
        <v>883</v>
      </c>
      <c r="B887" s="13"/>
      <c r="C887" s="14"/>
      <c r="D887" s="15"/>
      <c r="E887" s="14"/>
      <c r="F887" s="15"/>
      <c r="G887" s="16"/>
      <c r="H887" s="17"/>
      <c r="I887" s="18"/>
      <c r="J887" s="19"/>
      <c r="K887" s="14"/>
      <c r="L887" s="17"/>
      <c r="M887" s="19"/>
      <c r="N887" s="20"/>
      <c r="O887" s="19"/>
      <c r="P887" s="21"/>
      <c r="Q887" s="22" t="str">
        <f aca="false">IF(L887="","",IF(M887&lt;&gt;"",M887*L887*100,IF(AND(O887&lt;&gt;"",B887&lt;&gt;""),IFERROR(AVERAGEIF($B$5:$B$1004,B887,$M$5:$M$1004)*L887*100,""),"")))</f>
        <v/>
      </c>
      <c r="R887" s="22" t="str">
        <f aca="false">IF(AND(O887&lt;&gt;"",L887&lt;&gt;""),O887*L887*100,"")</f>
        <v/>
      </c>
      <c r="S887" s="23" t="str">
        <f aca="false">IF(AND(P887&lt;&gt;"",L887&lt;&gt;""),P887*L887*100,"")</f>
        <v/>
      </c>
      <c r="T887" s="24" t="str">
        <f aca="false">IF(AND(Q887&lt;&gt;"",R887&lt;&gt;""),R887-Q887,"")</f>
        <v/>
      </c>
      <c r="U887" s="25" t="str">
        <f aca="false">IF(AND(Q887&lt;&gt;"",Q887&lt;&gt;0,T887&lt;&gt;""),T887/Q887,"")</f>
        <v/>
      </c>
      <c r="V887" s="26" t="str">
        <f aca="false">IF(AND(S887&lt;&gt;"",Q887&lt;&gt;""),S887-Q887,"")</f>
        <v/>
      </c>
      <c r="W887" s="27" t="str">
        <f aca="false">IF(AND(Q887&lt;&gt;"",Q887&lt;&gt;0,V887&lt;&gt;""),V887/Q887,"")</f>
        <v/>
      </c>
      <c r="X887" s="28" t="s">
        <v>37</v>
      </c>
      <c r="Y887" s="29" t="str">
        <f aca="false">IF(AND(O887&lt;&gt;"",M887&lt;&gt;"",O887&gt;M887),CONCATENATE("1 : ",TEXT((O887-M887)/M887,"0.00")),IF(AND(O887&lt;&gt;"",M887&lt;&gt;"",O887&lt;M887),CONCATENATE("-1 : ",TEXT((M887-O887)/M887,"0.00")),"—"))</f>
        <v>—</v>
      </c>
      <c r="Z887" s="30" t="str">
        <f aca="false">IF(AND(P887&lt;&gt;"",M887&lt;&gt;"",P887&gt;M887),CONCATENATE("1 : ",TEXT((P887-M887)/M887,"0.00")),"—")</f>
        <v>—</v>
      </c>
      <c r="AA887" s="31" t="str">
        <f aca="false">IF(AND(C887&lt;&gt;"",E887&lt;&gt;""),E887-C887,"")</f>
        <v/>
      </c>
      <c r="AB887" s="17"/>
      <c r="AC887" s="32"/>
      <c r="AD887" s="33"/>
      <c r="AE887" s="34" t="str">
        <f aca="false">IF(G887&lt;&gt;"",HYPERLINK("https://www.tradingview.com/chart/?symbol="&amp;G887&amp;"&amp;interval=60&amp;from="&amp;(AG887-10*3600)&amp;"&amp;to="&amp;(AG887+50*3600),"📈 1H"),"")</f>
        <v/>
      </c>
      <c r="AF887" s="35" t="str">
        <f aca="false">IF(G887&lt;&gt;"",HYPERLINK("https://www.tradingview.com/chart/?symbol="&amp;G887&amp;"&amp;interval=240&amp;from="&amp;(AG887-10*14400)&amp;"&amp;to="&amp;(AG887+50*14400),"📈 4H"),"")</f>
        <v/>
      </c>
      <c r="AG887" s="36" t="str">
        <f aca="false">IF(C887&lt;&gt;"",INT((C887+IF(D887&lt;&gt;"",D887,0)-DATE(1970,1,1))*86400),"")</f>
        <v/>
      </c>
    </row>
    <row r="888" customFormat="false" ht="19.5" hidden="false" customHeight="true" outlineLevel="0" collapsed="false">
      <c r="A888" s="37" t="n">
        <f aca="false">ROW()-4</f>
        <v>884</v>
      </c>
      <c r="B888" s="38"/>
      <c r="C888" s="39"/>
      <c r="D888" s="40"/>
      <c r="E888" s="39"/>
      <c r="F888" s="40"/>
      <c r="G888" s="41"/>
      <c r="H888" s="42"/>
      <c r="I888" s="43"/>
      <c r="J888" s="44"/>
      <c r="K888" s="39"/>
      <c r="L888" s="42"/>
      <c r="M888" s="44"/>
      <c r="N888" s="45"/>
      <c r="O888" s="44"/>
      <c r="P888" s="46"/>
      <c r="Q888" s="47" t="str">
        <f aca="false">IF(L888="","",IF(M888&lt;&gt;"",M888*L888*100,IF(AND(O888&lt;&gt;"",B888&lt;&gt;""),IFERROR(AVERAGEIF($B$5:$B$1004,B888,$M$5:$M$1004)*L888*100,""),"")))</f>
        <v/>
      </c>
      <c r="R888" s="47" t="str">
        <f aca="false">IF(AND(O888&lt;&gt;"",L888&lt;&gt;""),O888*L888*100,"")</f>
        <v/>
      </c>
      <c r="S888" s="48" t="str">
        <f aca="false">IF(AND(P888&lt;&gt;"",L888&lt;&gt;""),P888*L888*100,"")</f>
        <v/>
      </c>
      <c r="T888" s="49" t="str">
        <f aca="false">IF(AND(Q888&lt;&gt;"",R888&lt;&gt;""),R888-Q888,"")</f>
        <v/>
      </c>
      <c r="U888" s="50" t="str">
        <f aca="false">IF(AND(Q888&lt;&gt;"",Q888&lt;&gt;0,T888&lt;&gt;""),T888/Q888,"")</f>
        <v/>
      </c>
      <c r="V888" s="51" t="str">
        <f aca="false">IF(AND(S888&lt;&gt;"",Q888&lt;&gt;""),S888-Q888,"")</f>
        <v/>
      </c>
      <c r="W888" s="52" t="str">
        <f aca="false">IF(AND(Q888&lt;&gt;"",Q888&lt;&gt;0,V888&lt;&gt;""),V888/Q888,"")</f>
        <v/>
      </c>
      <c r="X888" s="53" t="s">
        <v>37</v>
      </c>
      <c r="Y888" s="54" t="str">
        <f aca="false">IF(AND(O888&lt;&gt;"",M888&lt;&gt;"",O888&gt;M888),CONCATENATE("1 : ",TEXT((O888-M888)/M888,"0.00")),IF(AND(O888&lt;&gt;"",M888&lt;&gt;"",O888&lt;M888),CONCATENATE("-1 : ",TEXT((M888-O888)/M888,"0.00")),"—"))</f>
        <v>—</v>
      </c>
      <c r="Z888" s="55" t="str">
        <f aca="false">IF(AND(P888&lt;&gt;"",M888&lt;&gt;"",P888&gt;M888),CONCATENATE("1 : ",TEXT((P888-M888)/M888,"0.00")),"—")</f>
        <v>—</v>
      </c>
      <c r="AA888" s="56" t="str">
        <f aca="false">IF(AND(C888&lt;&gt;"",E888&lt;&gt;""),E888-C888,"")</f>
        <v/>
      </c>
      <c r="AB888" s="42"/>
      <c r="AC888" s="57"/>
      <c r="AD888" s="58"/>
      <c r="AE888" s="59" t="str">
        <f aca="false">IF(G888&lt;&gt;"",HYPERLINK("https://www.tradingview.com/chart/?symbol="&amp;G888&amp;"&amp;interval=60&amp;from="&amp;(AG888-10*3600)&amp;"&amp;to="&amp;(AG888+50*3600),"📈 1H"),"")</f>
        <v/>
      </c>
      <c r="AF888" s="60" t="str">
        <f aca="false">IF(G888&lt;&gt;"",HYPERLINK("https://www.tradingview.com/chart/?symbol="&amp;G888&amp;"&amp;interval=240&amp;from="&amp;(AG888-10*14400)&amp;"&amp;to="&amp;(AG888+50*14400),"📈 4H"),"")</f>
        <v/>
      </c>
      <c r="AG888" s="36" t="str">
        <f aca="false">IF(C888&lt;&gt;"",INT((C888+IF(D888&lt;&gt;"",D888,0)-DATE(1970,1,1))*86400),"")</f>
        <v/>
      </c>
    </row>
    <row r="889" customFormat="false" ht="19.5" hidden="false" customHeight="true" outlineLevel="0" collapsed="false">
      <c r="A889" s="12" t="n">
        <f aca="false">ROW()-4</f>
        <v>885</v>
      </c>
      <c r="B889" s="13"/>
      <c r="C889" s="14"/>
      <c r="D889" s="15"/>
      <c r="E889" s="14"/>
      <c r="F889" s="15"/>
      <c r="G889" s="16"/>
      <c r="H889" s="17"/>
      <c r="I889" s="18"/>
      <c r="J889" s="19"/>
      <c r="K889" s="14"/>
      <c r="L889" s="17"/>
      <c r="M889" s="19"/>
      <c r="N889" s="20"/>
      <c r="O889" s="19"/>
      <c r="P889" s="21"/>
      <c r="Q889" s="22" t="str">
        <f aca="false">IF(L889="","",IF(M889&lt;&gt;"",M889*L889*100,IF(AND(O889&lt;&gt;"",B889&lt;&gt;""),IFERROR(AVERAGEIF($B$5:$B$1004,B889,$M$5:$M$1004)*L889*100,""),"")))</f>
        <v/>
      </c>
      <c r="R889" s="22" t="str">
        <f aca="false">IF(AND(O889&lt;&gt;"",L889&lt;&gt;""),O889*L889*100,"")</f>
        <v/>
      </c>
      <c r="S889" s="23" t="str">
        <f aca="false">IF(AND(P889&lt;&gt;"",L889&lt;&gt;""),P889*L889*100,"")</f>
        <v/>
      </c>
      <c r="T889" s="24" t="str">
        <f aca="false">IF(AND(Q889&lt;&gt;"",R889&lt;&gt;""),R889-Q889,"")</f>
        <v/>
      </c>
      <c r="U889" s="25" t="str">
        <f aca="false">IF(AND(Q889&lt;&gt;"",Q889&lt;&gt;0,T889&lt;&gt;""),T889/Q889,"")</f>
        <v/>
      </c>
      <c r="V889" s="26" t="str">
        <f aca="false">IF(AND(S889&lt;&gt;"",Q889&lt;&gt;""),S889-Q889,"")</f>
        <v/>
      </c>
      <c r="W889" s="27" t="str">
        <f aca="false">IF(AND(Q889&lt;&gt;"",Q889&lt;&gt;0,V889&lt;&gt;""),V889/Q889,"")</f>
        <v/>
      </c>
      <c r="X889" s="28" t="s">
        <v>37</v>
      </c>
      <c r="Y889" s="29" t="str">
        <f aca="false">IF(AND(O889&lt;&gt;"",M889&lt;&gt;"",O889&gt;M889),CONCATENATE("1 : ",TEXT((O889-M889)/M889,"0.00")),IF(AND(O889&lt;&gt;"",M889&lt;&gt;"",O889&lt;M889),CONCATENATE("-1 : ",TEXT((M889-O889)/M889,"0.00")),"—"))</f>
        <v>—</v>
      </c>
      <c r="Z889" s="30" t="str">
        <f aca="false">IF(AND(P889&lt;&gt;"",M889&lt;&gt;"",P889&gt;M889),CONCATENATE("1 : ",TEXT((P889-M889)/M889,"0.00")),"—")</f>
        <v>—</v>
      </c>
      <c r="AA889" s="31" t="str">
        <f aca="false">IF(AND(C889&lt;&gt;"",E889&lt;&gt;""),E889-C889,"")</f>
        <v/>
      </c>
      <c r="AB889" s="17"/>
      <c r="AC889" s="32"/>
      <c r="AD889" s="33"/>
      <c r="AE889" s="34" t="str">
        <f aca="false">IF(G889&lt;&gt;"",HYPERLINK("https://www.tradingview.com/chart/?symbol="&amp;G889&amp;"&amp;interval=60&amp;from="&amp;(AG889-10*3600)&amp;"&amp;to="&amp;(AG889+50*3600),"📈 1H"),"")</f>
        <v/>
      </c>
      <c r="AF889" s="35" t="str">
        <f aca="false">IF(G889&lt;&gt;"",HYPERLINK("https://www.tradingview.com/chart/?symbol="&amp;G889&amp;"&amp;interval=240&amp;from="&amp;(AG889-10*14400)&amp;"&amp;to="&amp;(AG889+50*14400),"📈 4H"),"")</f>
        <v/>
      </c>
      <c r="AG889" s="36" t="str">
        <f aca="false">IF(C889&lt;&gt;"",INT((C889+IF(D889&lt;&gt;"",D889,0)-DATE(1970,1,1))*86400),"")</f>
        <v/>
      </c>
    </row>
    <row r="890" customFormat="false" ht="19.5" hidden="false" customHeight="true" outlineLevel="0" collapsed="false">
      <c r="A890" s="37" t="n">
        <f aca="false">ROW()-4</f>
        <v>886</v>
      </c>
      <c r="B890" s="38"/>
      <c r="C890" s="39"/>
      <c r="D890" s="40"/>
      <c r="E890" s="39"/>
      <c r="F890" s="40"/>
      <c r="G890" s="41"/>
      <c r="H890" s="42"/>
      <c r="I890" s="43"/>
      <c r="J890" s="44"/>
      <c r="K890" s="39"/>
      <c r="L890" s="42"/>
      <c r="M890" s="44"/>
      <c r="N890" s="45"/>
      <c r="O890" s="44"/>
      <c r="P890" s="46"/>
      <c r="Q890" s="47" t="str">
        <f aca="false">IF(L890="","",IF(M890&lt;&gt;"",M890*L890*100,IF(AND(O890&lt;&gt;"",B890&lt;&gt;""),IFERROR(AVERAGEIF($B$5:$B$1004,B890,$M$5:$M$1004)*L890*100,""),"")))</f>
        <v/>
      </c>
      <c r="R890" s="47" t="str">
        <f aca="false">IF(AND(O890&lt;&gt;"",L890&lt;&gt;""),O890*L890*100,"")</f>
        <v/>
      </c>
      <c r="S890" s="48" t="str">
        <f aca="false">IF(AND(P890&lt;&gt;"",L890&lt;&gt;""),P890*L890*100,"")</f>
        <v/>
      </c>
      <c r="T890" s="49" t="str">
        <f aca="false">IF(AND(Q890&lt;&gt;"",R890&lt;&gt;""),R890-Q890,"")</f>
        <v/>
      </c>
      <c r="U890" s="50" t="str">
        <f aca="false">IF(AND(Q890&lt;&gt;"",Q890&lt;&gt;0,T890&lt;&gt;""),T890/Q890,"")</f>
        <v/>
      </c>
      <c r="V890" s="51" t="str">
        <f aca="false">IF(AND(S890&lt;&gt;"",Q890&lt;&gt;""),S890-Q890,"")</f>
        <v/>
      </c>
      <c r="W890" s="52" t="str">
        <f aca="false">IF(AND(Q890&lt;&gt;"",Q890&lt;&gt;0,V890&lt;&gt;""),V890/Q890,"")</f>
        <v/>
      </c>
      <c r="X890" s="53" t="s">
        <v>37</v>
      </c>
      <c r="Y890" s="54" t="str">
        <f aca="false">IF(AND(O890&lt;&gt;"",M890&lt;&gt;"",O890&gt;M890),CONCATENATE("1 : ",TEXT((O890-M890)/M890,"0.00")),IF(AND(O890&lt;&gt;"",M890&lt;&gt;"",O890&lt;M890),CONCATENATE("-1 : ",TEXT((M890-O890)/M890,"0.00")),"—"))</f>
        <v>—</v>
      </c>
      <c r="Z890" s="55" t="str">
        <f aca="false">IF(AND(P890&lt;&gt;"",M890&lt;&gt;"",P890&gt;M890),CONCATENATE("1 : ",TEXT((P890-M890)/M890,"0.00")),"—")</f>
        <v>—</v>
      </c>
      <c r="AA890" s="56" t="str">
        <f aca="false">IF(AND(C890&lt;&gt;"",E890&lt;&gt;""),E890-C890,"")</f>
        <v/>
      </c>
      <c r="AB890" s="42"/>
      <c r="AC890" s="57"/>
      <c r="AD890" s="58"/>
      <c r="AE890" s="59" t="str">
        <f aca="false">IF(G890&lt;&gt;"",HYPERLINK("https://www.tradingview.com/chart/?symbol="&amp;G890&amp;"&amp;interval=60&amp;from="&amp;(AG890-10*3600)&amp;"&amp;to="&amp;(AG890+50*3600),"📈 1H"),"")</f>
        <v/>
      </c>
      <c r="AF890" s="60" t="str">
        <f aca="false">IF(G890&lt;&gt;"",HYPERLINK("https://www.tradingview.com/chart/?symbol="&amp;G890&amp;"&amp;interval=240&amp;from="&amp;(AG890-10*14400)&amp;"&amp;to="&amp;(AG890+50*14400),"📈 4H"),"")</f>
        <v/>
      </c>
      <c r="AG890" s="36" t="str">
        <f aca="false">IF(C890&lt;&gt;"",INT((C890+IF(D890&lt;&gt;"",D890,0)-DATE(1970,1,1))*86400),"")</f>
        <v/>
      </c>
    </row>
    <row r="891" customFormat="false" ht="19.5" hidden="false" customHeight="true" outlineLevel="0" collapsed="false">
      <c r="A891" s="12" t="n">
        <f aca="false">ROW()-4</f>
        <v>887</v>
      </c>
      <c r="B891" s="13"/>
      <c r="C891" s="14"/>
      <c r="D891" s="15"/>
      <c r="E891" s="14"/>
      <c r="F891" s="15"/>
      <c r="G891" s="16"/>
      <c r="H891" s="17"/>
      <c r="I891" s="18"/>
      <c r="J891" s="19"/>
      <c r="K891" s="14"/>
      <c r="L891" s="17"/>
      <c r="M891" s="19"/>
      <c r="N891" s="20"/>
      <c r="O891" s="19"/>
      <c r="P891" s="21"/>
      <c r="Q891" s="22" t="str">
        <f aca="false">IF(L891="","",IF(M891&lt;&gt;"",M891*L891*100,IF(AND(O891&lt;&gt;"",B891&lt;&gt;""),IFERROR(AVERAGEIF($B$5:$B$1004,B891,$M$5:$M$1004)*L891*100,""),"")))</f>
        <v/>
      </c>
      <c r="R891" s="22" t="str">
        <f aca="false">IF(AND(O891&lt;&gt;"",L891&lt;&gt;""),O891*L891*100,"")</f>
        <v/>
      </c>
      <c r="S891" s="23" t="str">
        <f aca="false">IF(AND(P891&lt;&gt;"",L891&lt;&gt;""),P891*L891*100,"")</f>
        <v/>
      </c>
      <c r="T891" s="24" t="str">
        <f aca="false">IF(AND(Q891&lt;&gt;"",R891&lt;&gt;""),R891-Q891,"")</f>
        <v/>
      </c>
      <c r="U891" s="25" t="str">
        <f aca="false">IF(AND(Q891&lt;&gt;"",Q891&lt;&gt;0,T891&lt;&gt;""),T891/Q891,"")</f>
        <v/>
      </c>
      <c r="V891" s="26" t="str">
        <f aca="false">IF(AND(S891&lt;&gt;"",Q891&lt;&gt;""),S891-Q891,"")</f>
        <v/>
      </c>
      <c r="W891" s="27" t="str">
        <f aca="false">IF(AND(Q891&lt;&gt;"",Q891&lt;&gt;0,V891&lt;&gt;""),V891/Q891,"")</f>
        <v/>
      </c>
      <c r="X891" s="28" t="s">
        <v>37</v>
      </c>
      <c r="Y891" s="29" t="str">
        <f aca="false">IF(AND(O891&lt;&gt;"",M891&lt;&gt;"",O891&gt;M891),CONCATENATE("1 : ",TEXT((O891-M891)/M891,"0.00")),IF(AND(O891&lt;&gt;"",M891&lt;&gt;"",O891&lt;M891),CONCATENATE("-1 : ",TEXT((M891-O891)/M891,"0.00")),"—"))</f>
        <v>—</v>
      </c>
      <c r="Z891" s="30" t="str">
        <f aca="false">IF(AND(P891&lt;&gt;"",M891&lt;&gt;"",P891&gt;M891),CONCATENATE("1 : ",TEXT((P891-M891)/M891,"0.00")),"—")</f>
        <v>—</v>
      </c>
      <c r="AA891" s="31" t="str">
        <f aca="false">IF(AND(C891&lt;&gt;"",E891&lt;&gt;""),E891-C891,"")</f>
        <v/>
      </c>
      <c r="AB891" s="17"/>
      <c r="AC891" s="32"/>
      <c r="AD891" s="33"/>
      <c r="AE891" s="34" t="str">
        <f aca="false">IF(G891&lt;&gt;"",HYPERLINK("https://www.tradingview.com/chart/?symbol="&amp;G891&amp;"&amp;interval=60&amp;from="&amp;(AG891-10*3600)&amp;"&amp;to="&amp;(AG891+50*3600),"📈 1H"),"")</f>
        <v/>
      </c>
      <c r="AF891" s="35" t="str">
        <f aca="false">IF(G891&lt;&gt;"",HYPERLINK("https://www.tradingview.com/chart/?symbol="&amp;G891&amp;"&amp;interval=240&amp;from="&amp;(AG891-10*14400)&amp;"&amp;to="&amp;(AG891+50*14400),"📈 4H"),"")</f>
        <v/>
      </c>
      <c r="AG891" s="36" t="str">
        <f aca="false">IF(C891&lt;&gt;"",INT((C891+IF(D891&lt;&gt;"",D891,0)-DATE(1970,1,1))*86400),"")</f>
        <v/>
      </c>
    </row>
    <row r="892" customFormat="false" ht="19.5" hidden="false" customHeight="true" outlineLevel="0" collapsed="false">
      <c r="A892" s="37" t="n">
        <f aca="false">ROW()-4</f>
        <v>888</v>
      </c>
      <c r="B892" s="38"/>
      <c r="C892" s="39"/>
      <c r="D892" s="40"/>
      <c r="E892" s="39"/>
      <c r="F892" s="40"/>
      <c r="G892" s="41"/>
      <c r="H892" s="42"/>
      <c r="I892" s="43"/>
      <c r="J892" s="44"/>
      <c r="K892" s="39"/>
      <c r="L892" s="42"/>
      <c r="M892" s="44"/>
      <c r="N892" s="45"/>
      <c r="O892" s="44"/>
      <c r="P892" s="46"/>
      <c r="Q892" s="47" t="str">
        <f aca="false">IF(L892="","",IF(M892&lt;&gt;"",M892*L892*100,IF(AND(O892&lt;&gt;"",B892&lt;&gt;""),IFERROR(AVERAGEIF($B$5:$B$1004,B892,$M$5:$M$1004)*L892*100,""),"")))</f>
        <v/>
      </c>
      <c r="R892" s="47" t="str">
        <f aca="false">IF(AND(O892&lt;&gt;"",L892&lt;&gt;""),O892*L892*100,"")</f>
        <v/>
      </c>
      <c r="S892" s="48" t="str">
        <f aca="false">IF(AND(P892&lt;&gt;"",L892&lt;&gt;""),P892*L892*100,"")</f>
        <v/>
      </c>
      <c r="T892" s="49" t="str">
        <f aca="false">IF(AND(Q892&lt;&gt;"",R892&lt;&gt;""),R892-Q892,"")</f>
        <v/>
      </c>
      <c r="U892" s="50" t="str">
        <f aca="false">IF(AND(Q892&lt;&gt;"",Q892&lt;&gt;0,T892&lt;&gt;""),T892/Q892,"")</f>
        <v/>
      </c>
      <c r="V892" s="51" t="str">
        <f aca="false">IF(AND(S892&lt;&gt;"",Q892&lt;&gt;""),S892-Q892,"")</f>
        <v/>
      </c>
      <c r="W892" s="52" t="str">
        <f aca="false">IF(AND(Q892&lt;&gt;"",Q892&lt;&gt;0,V892&lt;&gt;""),V892/Q892,"")</f>
        <v/>
      </c>
      <c r="X892" s="53" t="s">
        <v>37</v>
      </c>
      <c r="Y892" s="54" t="str">
        <f aca="false">IF(AND(O892&lt;&gt;"",M892&lt;&gt;"",O892&gt;M892),CONCATENATE("1 : ",TEXT((O892-M892)/M892,"0.00")),IF(AND(O892&lt;&gt;"",M892&lt;&gt;"",O892&lt;M892),CONCATENATE("-1 : ",TEXT((M892-O892)/M892,"0.00")),"—"))</f>
        <v>—</v>
      </c>
      <c r="Z892" s="55" t="str">
        <f aca="false">IF(AND(P892&lt;&gt;"",M892&lt;&gt;"",P892&gt;M892),CONCATENATE("1 : ",TEXT((P892-M892)/M892,"0.00")),"—")</f>
        <v>—</v>
      </c>
      <c r="AA892" s="56" t="str">
        <f aca="false">IF(AND(C892&lt;&gt;"",E892&lt;&gt;""),E892-C892,"")</f>
        <v/>
      </c>
      <c r="AB892" s="42"/>
      <c r="AC892" s="57"/>
      <c r="AD892" s="58"/>
      <c r="AE892" s="59" t="str">
        <f aca="false">IF(G892&lt;&gt;"",HYPERLINK("https://www.tradingview.com/chart/?symbol="&amp;G892&amp;"&amp;interval=60&amp;from="&amp;(AG892-10*3600)&amp;"&amp;to="&amp;(AG892+50*3600),"📈 1H"),"")</f>
        <v/>
      </c>
      <c r="AF892" s="60" t="str">
        <f aca="false">IF(G892&lt;&gt;"",HYPERLINK("https://www.tradingview.com/chart/?symbol="&amp;G892&amp;"&amp;interval=240&amp;from="&amp;(AG892-10*14400)&amp;"&amp;to="&amp;(AG892+50*14400),"📈 4H"),"")</f>
        <v/>
      </c>
      <c r="AG892" s="36" t="str">
        <f aca="false">IF(C892&lt;&gt;"",INT((C892+IF(D892&lt;&gt;"",D892,0)-DATE(1970,1,1))*86400),"")</f>
        <v/>
      </c>
    </row>
    <row r="893" customFormat="false" ht="19.5" hidden="false" customHeight="true" outlineLevel="0" collapsed="false">
      <c r="A893" s="12" t="n">
        <f aca="false">ROW()-4</f>
        <v>889</v>
      </c>
      <c r="B893" s="13"/>
      <c r="C893" s="14"/>
      <c r="D893" s="15"/>
      <c r="E893" s="14"/>
      <c r="F893" s="15"/>
      <c r="G893" s="16"/>
      <c r="H893" s="17"/>
      <c r="I893" s="18"/>
      <c r="J893" s="19"/>
      <c r="K893" s="14"/>
      <c r="L893" s="17"/>
      <c r="M893" s="19"/>
      <c r="N893" s="20"/>
      <c r="O893" s="19"/>
      <c r="P893" s="21"/>
      <c r="Q893" s="22" t="str">
        <f aca="false">IF(L893="","",IF(M893&lt;&gt;"",M893*L893*100,IF(AND(O893&lt;&gt;"",B893&lt;&gt;""),IFERROR(AVERAGEIF($B$5:$B$1004,B893,$M$5:$M$1004)*L893*100,""),"")))</f>
        <v/>
      </c>
      <c r="R893" s="22" t="str">
        <f aca="false">IF(AND(O893&lt;&gt;"",L893&lt;&gt;""),O893*L893*100,"")</f>
        <v/>
      </c>
      <c r="S893" s="23" t="str">
        <f aca="false">IF(AND(P893&lt;&gt;"",L893&lt;&gt;""),P893*L893*100,"")</f>
        <v/>
      </c>
      <c r="T893" s="24" t="str">
        <f aca="false">IF(AND(Q893&lt;&gt;"",R893&lt;&gt;""),R893-Q893,"")</f>
        <v/>
      </c>
      <c r="U893" s="25" t="str">
        <f aca="false">IF(AND(Q893&lt;&gt;"",Q893&lt;&gt;0,T893&lt;&gt;""),T893/Q893,"")</f>
        <v/>
      </c>
      <c r="V893" s="26" t="str">
        <f aca="false">IF(AND(S893&lt;&gt;"",Q893&lt;&gt;""),S893-Q893,"")</f>
        <v/>
      </c>
      <c r="W893" s="27" t="str">
        <f aca="false">IF(AND(Q893&lt;&gt;"",Q893&lt;&gt;0,V893&lt;&gt;""),V893/Q893,"")</f>
        <v/>
      </c>
      <c r="X893" s="28" t="s">
        <v>37</v>
      </c>
      <c r="Y893" s="29" t="str">
        <f aca="false">IF(AND(O893&lt;&gt;"",M893&lt;&gt;"",O893&gt;M893),CONCATENATE("1 : ",TEXT((O893-M893)/M893,"0.00")),IF(AND(O893&lt;&gt;"",M893&lt;&gt;"",O893&lt;M893),CONCATENATE("-1 : ",TEXT((M893-O893)/M893,"0.00")),"—"))</f>
        <v>—</v>
      </c>
      <c r="Z893" s="30" t="str">
        <f aca="false">IF(AND(P893&lt;&gt;"",M893&lt;&gt;"",P893&gt;M893),CONCATENATE("1 : ",TEXT((P893-M893)/M893,"0.00")),"—")</f>
        <v>—</v>
      </c>
      <c r="AA893" s="31" t="str">
        <f aca="false">IF(AND(C893&lt;&gt;"",E893&lt;&gt;""),E893-C893,"")</f>
        <v/>
      </c>
      <c r="AB893" s="17"/>
      <c r="AC893" s="32"/>
      <c r="AD893" s="33"/>
      <c r="AE893" s="34" t="str">
        <f aca="false">IF(G893&lt;&gt;"",HYPERLINK("https://www.tradingview.com/chart/?symbol="&amp;G893&amp;"&amp;interval=60&amp;from="&amp;(AG893-10*3600)&amp;"&amp;to="&amp;(AG893+50*3600),"📈 1H"),"")</f>
        <v/>
      </c>
      <c r="AF893" s="35" t="str">
        <f aca="false">IF(G893&lt;&gt;"",HYPERLINK("https://www.tradingview.com/chart/?symbol="&amp;G893&amp;"&amp;interval=240&amp;from="&amp;(AG893-10*14400)&amp;"&amp;to="&amp;(AG893+50*14400),"📈 4H"),"")</f>
        <v/>
      </c>
      <c r="AG893" s="36" t="str">
        <f aca="false">IF(C893&lt;&gt;"",INT((C893+IF(D893&lt;&gt;"",D893,0)-DATE(1970,1,1))*86400),"")</f>
        <v/>
      </c>
    </row>
    <row r="894" customFormat="false" ht="19.5" hidden="false" customHeight="true" outlineLevel="0" collapsed="false">
      <c r="A894" s="37" t="n">
        <f aca="false">ROW()-4</f>
        <v>890</v>
      </c>
      <c r="B894" s="38"/>
      <c r="C894" s="39"/>
      <c r="D894" s="40"/>
      <c r="E894" s="39"/>
      <c r="F894" s="40"/>
      <c r="G894" s="41"/>
      <c r="H894" s="42"/>
      <c r="I894" s="43"/>
      <c r="J894" s="44"/>
      <c r="K894" s="39"/>
      <c r="L894" s="42"/>
      <c r="M894" s="44"/>
      <c r="N894" s="45"/>
      <c r="O894" s="44"/>
      <c r="P894" s="46"/>
      <c r="Q894" s="47" t="str">
        <f aca="false">IF(L894="","",IF(M894&lt;&gt;"",M894*L894*100,IF(AND(O894&lt;&gt;"",B894&lt;&gt;""),IFERROR(AVERAGEIF($B$5:$B$1004,B894,$M$5:$M$1004)*L894*100,""),"")))</f>
        <v/>
      </c>
      <c r="R894" s="47" t="str">
        <f aca="false">IF(AND(O894&lt;&gt;"",L894&lt;&gt;""),O894*L894*100,"")</f>
        <v/>
      </c>
      <c r="S894" s="48" t="str">
        <f aca="false">IF(AND(P894&lt;&gt;"",L894&lt;&gt;""),P894*L894*100,"")</f>
        <v/>
      </c>
      <c r="T894" s="49" t="str">
        <f aca="false">IF(AND(Q894&lt;&gt;"",R894&lt;&gt;""),R894-Q894,"")</f>
        <v/>
      </c>
      <c r="U894" s="50" t="str">
        <f aca="false">IF(AND(Q894&lt;&gt;"",Q894&lt;&gt;0,T894&lt;&gt;""),T894/Q894,"")</f>
        <v/>
      </c>
      <c r="V894" s="51" t="str">
        <f aca="false">IF(AND(S894&lt;&gt;"",Q894&lt;&gt;""),S894-Q894,"")</f>
        <v/>
      </c>
      <c r="W894" s="52" t="str">
        <f aca="false">IF(AND(Q894&lt;&gt;"",Q894&lt;&gt;0,V894&lt;&gt;""),V894/Q894,"")</f>
        <v/>
      </c>
      <c r="X894" s="53" t="s">
        <v>37</v>
      </c>
      <c r="Y894" s="54" t="str">
        <f aca="false">IF(AND(O894&lt;&gt;"",M894&lt;&gt;"",O894&gt;M894),CONCATENATE("1 : ",TEXT((O894-M894)/M894,"0.00")),IF(AND(O894&lt;&gt;"",M894&lt;&gt;"",O894&lt;M894),CONCATENATE("-1 : ",TEXT((M894-O894)/M894,"0.00")),"—"))</f>
        <v>—</v>
      </c>
      <c r="Z894" s="55" t="str">
        <f aca="false">IF(AND(P894&lt;&gt;"",M894&lt;&gt;"",P894&gt;M894),CONCATENATE("1 : ",TEXT((P894-M894)/M894,"0.00")),"—")</f>
        <v>—</v>
      </c>
      <c r="AA894" s="56" t="str">
        <f aca="false">IF(AND(C894&lt;&gt;"",E894&lt;&gt;""),E894-C894,"")</f>
        <v/>
      </c>
      <c r="AB894" s="42"/>
      <c r="AC894" s="57"/>
      <c r="AD894" s="58"/>
      <c r="AE894" s="59" t="str">
        <f aca="false">IF(G894&lt;&gt;"",HYPERLINK("https://www.tradingview.com/chart/?symbol="&amp;G894&amp;"&amp;interval=60&amp;from="&amp;(AG894-10*3600)&amp;"&amp;to="&amp;(AG894+50*3600),"📈 1H"),"")</f>
        <v/>
      </c>
      <c r="AF894" s="60" t="str">
        <f aca="false">IF(G894&lt;&gt;"",HYPERLINK("https://www.tradingview.com/chart/?symbol="&amp;G894&amp;"&amp;interval=240&amp;from="&amp;(AG894-10*14400)&amp;"&amp;to="&amp;(AG894+50*14400),"📈 4H"),"")</f>
        <v/>
      </c>
      <c r="AG894" s="36" t="str">
        <f aca="false">IF(C894&lt;&gt;"",INT((C894+IF(D894&lt;&gt;"",D894,0)-DATE(1970,1,1))*86400),"")</f>
        <v/>
      </c>
    </row>
    <row r="895" customFormat="false" ht="19.5" hidden="false" customHeight="true" outlineLevel="0" collapsed="false">
      <c r="A895" s="12" t="n">
        <f aca="false">ROW()-4</f>
        <v>891</v>
      </c>
      <c r="B895" s="13"/>
      <c r="C895" s="14"/>
      <c r="D895" s="15"/>
      <c r="E895" s="14"/>
      <c r="F895" s="15"/>
      <c r="G895" s="16"/>
      <c r="H895" s="17"/>
      <c r="I895" s="18"/>
      <c r="J895" s="19"/>
      <c r="K895" s="14"/>
      <c r="L895" s="17"/>
      <c r="M895" s="19"/>
      <c r="N895" s="20"/>
      <c r="O895" s="19"/>
      <c r="P895" s="21"/>
      <c r="Q895" s="22" t="str">
        <f aca="false">IF(L895="","",IF(M895&lt;&gt;"",M895*L895*100,IF(AND(O895&lt;&gt;"",B895&lt;&gt;""),IFERROR(AVERAGEIF($B$5:$B$1004,B895,$M$5:$M$1004)*L895*100,""),"")))</f>
        <v/>
      </c>
      <c r="R895" s="22" t="str">
        <f aca="false">IF(AND(O895&lt;&gt;"",L895&lt;&gt;""),O895*L895*100,"")</f>
        <v/>
      </c>
      <c r="S895" s="23" t="str">
        <f aca="false">IF(AND(P895&lt;&gt;"",L895&lt;&gt;""),P895*L895*100,"")</f>
        <v/>
      </c>
      <c r="T895" s="24" t="str">
        <f aca="false">IF(AND(Q895&lt;&gt;"",R895&lt;&gt;""),R895-Q895,"")</f>
        <v/>
      </c>
      <c r="U895" s="25" t="str">
        <f aca="false">IF(AND(Q895&lt;&gt;"",Q895&lt;&gt;0,T895&lt;&gt;""),T895/Q895,"")</f>
        <v/>
      </c>
      <c r="V895" s="26" t="str">
        <f aca="false">IF(AND(S895&lt;&gt;"",Q895&lt;&gt;""),S895-Q895,"")</f>
        <v/>
      </c>
      <c r="W895" s="27" t="str">
        <f aca="false">IF(AND(Q895&lt;&gt;"",Q895&lt;&gt;0,V895&lt;&gt;""),V895/Q895,"")</f>
        <v/>
      </c>
      <c r="X895" s="28" t="s">
        <v>37</v>
      </c>
      <c r="Y895" s="29" t="str">
        <f aca="false">IF(AND(O895&lt;&gt;"",M895&lt;&gt;"",O895&gt;M895),CONCATENATE("1 : ",TEXT((O895-M895)/M895,"0.00")),IF(AND(O895&lt;&gt;"",M895&lt;&gt;"",O895&lt;M895),CONCATENATE("-1 : ",TEXT((M895-O895)/M895,"0.00")),"—"))</f>
        <v>—</v>
      </c>
      <c r="Z895" s="30" t="str">
        <f aca="false">IF(AND(P895&lt;&gt;"",M895&lt;&gt;"",P895&gt;M895),CONCATENATE("1 : ",TEXT((P895-M895)/M895,"0.00")),"—")</f>
        <v>—</v>
      </c>
      <c r="AA895" s="31" t="str">
        <f aca="false">IF(AND(C895&lt;&gt;"",E895&lt;&gt;""),E895-C895,"")</f>
        <v/>
      </c>
      <c r="AB895" s="17"/>
      <c r="AC895" s="32"/>
      <c r="AD895" s="33"/>
      <c r="AE895" s="34" t="str">
        <f aca="false">IF(G895&lt;&gt;"",HYPERLINK("https://www.tradingview.com/chart/?symbol="&amp;G895&amp;"&amp;interval=60&amp;from="&amp;(AG895-10*3600)&amp;"&amp;to="&amp;(AG895+50*3600),"📈 1H"),"")</f>
        <v/>
      </c>
      <c r="AF895" s="35" t="str">
        <f aca="false">IF(G895&lt;&gt;"",HYPERLINK("https://www.tradingview.com/chart/?symbol="&amp;G895&amp;"&amp;interval=240&amp;from="&amp;(AG895-10*14400)&amp;"&amp;to="&amp;(AG895+50*14400),"📈 4H"),"")</f>
        <v/>
      </c>
      <c r="AG895" s="36" t="str">
        <f aca="false">IF(C895&lt;&gt;"",INT((C895+IF(D895&lt;&gt;"",D895,0)-DATE(1970,1,1))*86400),"")</f>
        <v/>
      </c>
    </row>
    <row r="896" customFormat="false" ht="19.5" hidden="false" customHeight="true" outlineLevel="0" collapsed="false">
      <c r="A896" s="37" t="n">
        <f aca="false">ROW()-4</f>
        <v>892</v>
      </c>
      <c r="B896" s="38"/>
      <c r="C896" s="39"/>
      <c r="D896" s="40"/>
      <c r="E896" s="39"/>
      <c r="F896" s="40"/>
      <c r="G896" s="41"/>
      <c r="H896" s="42"/>
      <c r="I896" s="43"/>
      <c r="J896" s="44"/>
      <c r="K896" s="39"/>
      <c r="L896" s="42"/>
      <c r="M896" s="44"/>
      <c r="N896" s="45"/>
      <c r="O896" s="44"/>
      <c r="P896" s="46"/>
      <c r="Q896" s="47" t="str">
        <f aca="false">IF(L896="","",IF(M896&lt;&gt;"",M896*L896*100,IF(AND(O896&lt;&gt;"",B896&lt;&gt;""),IFERROR(AVERAGEIF($B$5:$B$1004,B896,$M$5:$M$1004)*L896*100,""),"")))</f>
        <v/>
      </c>
      <c r="R896" s="47" t="str">
        <f aca="false">IF(AND(O896&lt;&gt;"",L896&lt;&gt;""),O896*L896*100,"")</f>
        <v/>
      </c>
      <c r="S896" s="48" t="str">
        <f aca="false">IF(AND(P896&lt;&gt;"",L896&lt;&gt;""),P896*L896*100,"")</f>
        <v/>
      </c>
      <c r="T896" s="49" t="str">
        <f aca="false">IF(AND(Q896&lt;&gt;"",R896&lt;&gt;""),R896-Q896,"")</f>
        <v/>
      </c>
      <c r="U896" s="50" t="str">
        <f aca="false">IF(AND(Q896&lt;&gt;"",Q896&lt;&gt;0,T896&lt;&gt;""),T896/Q896,"")</f>
        <v/>
      </c>
      <c r="V896" s="51" t="str">
        <f aca="false">IF(AND(S896&lt;&gt;"",Q896&lt;&gt;""),S896-Q896,"")</f>
        <v/>
      </c>
      <c r="W896" s="52" t="str">
        <f aca="false">IF(AND(Q896&lt;&gt;"",Q896&lt;&gt;0,V896&lt;&gt;""),V896/Q896,"")</f>
        <v/>
      </c>
      <c r="X896" s="53" t="s">
        <v>37</v>
      </c>
      <c r="Y896" s="54" t="str">
        <f aca="false">IF(AND(O896&lt;&gt;"",M896&lt;&gt;"",O896&gt;M896),CONCATENATE("1 : ",TEXT((O896-M896)/M896,"0.00")),IF(AND(O896&lt;&gt;"",M896&lt;&gt;"",O896&lt;M896),CONCATENATE("-1 : ",TEXT((M896-O896)/M896,"0.00")),"—"))</f>
        <v>—</v>
      </c>
      <c r="Z896" s="55" t="str">
        <f aca="false">IF(AND(P896&lt;&gt;"",M896&lt;&gt;"",P896&gt;M896),CONCATENATE("1 : ",TEXT((P896-M896)/M896,"0.00")),"—")</f>
        <v>—</v>
      </c>
      <c r="AA896" s="56" t="str">
        <f aca="false">IF(AND(C896&lt;&gt;"",E896&lt;&gt;""),E896-C896,"")</f>
        <v/>
      </c>
      <c r="AB896" s="42"/>
      <c r="AC896" s="57"/>
      <c r="AD896" s="58"/>
      <c r="AE896" s="59" t="str">
        <f aca="false">IF(G896&lt;&gt;"",HYPERLINK("https://www.tradingview.com/chart/?symbol="&amp;G896&amp;"&amp;interval=60&amp;from="&amp;(AG896-10*3600)&amp;"&amp;to="&amp;(AG896+50*3600),"📈 1H"),"")</f>
        <v/>
      </c>
      <c r="AF896" s="60" t="str">
        <f aca="false">IF(G896&lt;&gt;"",HYPERLINK("https://www.tradingview.com/chart/?symbol="&amp;G896&amp;"&amp;interval=240&amp;from="&amp;(AG896-10*14400)&amp;"&amp;to="&amp;(AG896+50*14400),"📈 4H"),"")</f>
        <v/>
      </c>
      <c r="AG896" s="36" t="str">
        <f aca="false">IF(C896&lt;&gt;"",INT((C896+IF(D896&lt;&gt;"",D896,0)-DATE(1970,1,1))*86400),"")</f>
        <v/>
      </c>
    </row>
    <row r="897" customFormat="false" ht="19.5" hidden="false" customHeight="true" outlineLevel="0" collapsed="false">
      <c r="A897" s="12" t="n">
        <f aca="false">ROW()-4</f>
        <v>893</v>
      </c>
      <c r="B897" s="13"/>
      <c r="C897" s="14"/>
      <c r="D897" s="15"/>
      <c r="E897" s="14"/>
      <c r="F897" s="15"/>
      <c r="G897" s="16"/>
      <c r="H897" s="17"/>
      <c r="I897" s="18"/>
      <c r="J897" s="19"/>
      <c r="K897" s="14"/>
      <c r="L897" s="17"/>
      <c r="M897" s="19"/>
      <c r="N897" s="20"/>
      <c r="O897" s="19"/>
      <c r="P897" s="21"/>
      <c r="Q897" s="22" t="str">
        <f aca="false">IF(L897="","",IF(M897&lt;&gt;"",M897*L897*100,IF(AND(O897&lt;&gt;"",B897&lt;&gt;""),IFERROR(AVERAGEIF($B$5:$B$1004,B897,$M$5:$M$1004)*L897*100,""),"")))</f>
        <v/>
      </c>
      <c r="R897" s="22" t="str">
        <f aca="false">IF(AND(O897&lt;&gt;"",L897&lt;&gt;""),O897*L897*100,"")</f>
        <v/>
      </c>
      <c r="S897" s="23" t="str">
        <f aca="false">IF(AND(P897&lt;&gt;"",L897&lt;&gt;""),P897*L897*100,"")</f>
        <v/>
      </c>
      <c r="T897" s="24" t="str">
        <f aca="false">IF(AND(Q897&lt;&gt;"",R897&lt;&gt;""),R897-Q897,"")</f>
        <v/>
      </c>
      <c r="U897" s="25" t="str">
        <f aca="false">IF(AND(Q897&lt;&gt;"",Q897&lt;&gt;0,T897&lt;&gt;""),T897/Q897,"")</f>
        <v/>
      </c>
      <c r="V897" s="26" t="str">
        <f aca="false">IF(AND(S897&lt;&gt;"",Q897&lt;&gt;""),S897-Q897,"")</f>
        <v/>
      </c>
      <c r="W897" s="27" t="str">
        <f aca="false">IF(AND(Q897&lt;&gt;"",Q897&lt;&gt;0,V897&lt;&gt;""),V897/Q897,"")</f>
        <v/>
      </c>
      <c r="X897" s="28" t="s">
        <v>37</v>
      </c>
      <c r="Y897" s="29" t="str">
        <f aca="false">IF(AND(O897&lt;&gt;"",M897&lt;&gt;"",O897&gt;M897),CONCATENATE("1 : ",TEXT((O897-M897)/M897,"0.00")),IF(AND(O897&lt;&gt;"",M897&lt;&gt;"",O897&lt;M897),CONCATENATE("-1 : ",TEXT((M897-O897)/M897,"0.00")),"—"))</f>
        <v>—</v>
      </c>
      <c r="Z897" s="30" t="str">
        <f aca="false">IF(AND(P897&lt;&gt;"",M897&lt;&gt;"",P897&gt;M897),CONCATENATE("1 : ",TEXT((P897-M897)/M897,"0.00")),"—")</f>
        <v>—</v>
      </c>
      <c r="AA897" s="31" t="str">
        <f aca="false">IF(AND(C897&lt;&gt;"",E897&lt;&gt;""),E897-C897,"")</f>
        <v/>
      </c>
      <c r="AB897" s="17"/>
      <c r="AC897" s="32"/>
      <c r="AD897" s="33"/>
      <c r="AE897" s="34" t="str">
        <f aca="false">IF(G897&lt;&gt;"",HYPERLINK("https://www.tradingview.com/chart/?symbol="&amp;G897&amp;"&amp;interval=60&amp;from="&amp;(AG897-10*3600)&amp;"&amp;to="&amp;(AG897+50*3600),"📈 1H"),"")</f>
        <v/>
      </c>
      <c r="AF897" s="35" t="str">
        <f aca="false">IF(G897&lt;&gt;"",HYPERLINK("https://www.tradingview.com/chart/?symbol="&amp;G897&amp;"&amp;interval=240&amp;from="&amp;(AG897-10*14400)&amp;"&amp;to="&amp;(AG897+50*14400),"📈 4H"),"")</f>
        <v/>
      </c>
      <c r="AG897" s="36" t="str">
        <f aca="false">IF(C897&lt;&gt;"",INT((C897+IF(D897&lt;&gt;"",D897,0)-DATE(1970,1,1))*86400),"")</f>
        <v/>
      </c>
    </row>
    <row r="898" customFormat="false" ht="19.5" hidden="false" customHeight="true" outlineLevel="0" collapsed="false">
      <c r="A898" s="37" t="n">
        <f aca="false">ROW()-4</f>
        <v>894</v>
      </c>
      <c r="B898" s="38"/>
      <c r="C898" s="39"/>
      <c r="D898" s="40"/>
      <c r="E898" s="39"/>
      <c r="F898" s="40"/>
      <c r="G898" s="41"/>
      <c r="H898" s="42"/>
      <c r="I898" s="43"/>
      <c r="J898" s="44"/>
      <c r="K898" s="39"/>
      <c r="L898" s="42"/>
      <c r="M898" s="44"/>
      <c r="N898" s="45"/>
      <c r="O898" s="44"/>
      <c r="P898" s="46"/>
      <c r="Q898" s="47" t="str">
        <f aca="false">IF(L898="","",IF(M898&lt;&gt;"",M898*L898*100,IF(AND(O898&lt;&gt;"",B898&lt;&gt;""),IFERROR(AVERAGEIF($B$5:$B$1004,B898,$M$5:$M$1004)*L898*100,""),"")))</f>
        <v/>
      </c>
      <c r="R898" s="47" t="str">
        <f aca="false">IF(AND(O898&lt;&gt;"",L898&lt;&gt;""),O898*L898*100,"")</f>
        <v/>
      </c>
      <c r="S898" s="48" t="str">
        <f aca="false">IF(AND(P898&lt;&gt;"",L898&lt;&gt;""),P898*L898*100,"")</f>
        <v/>
      </c>
      <c r="T898" s="49" t="str">
        <f aca="false">IF(AND(Q898&lt;&gt;"",R898&lt;&gt;""),R898-Q898,"")</f>
        <v/>
      </c>
      <c r="U898" s="50" t="str">
        <f aca="false">IF(AND(Q898&lt;&gt;"",Q898&lt;&gt;0,T898&lt;&gt;""),T898/Q898,"")</f>
        <v/>
      </c>
      <c r="V898" s="51" t="str">
        <f aca="false">IF(AND(S898&lt;&gt;"",Q898&lt;&gt;""),S898-Q898,"")</f>
        <v/>
      </c>
      <c r="W898" s="52" t="str">
        <f aca="false">IF(AND(Q898&lt;&gt;"",Q898&lt;&gt;0,V898&lt;&gt;""),V898/Q898,"")</f>
        <v/>
      </c>
      <c r="X898" s="53" t="s">
        <v>37</v>
      </c>
      <c r="Y898" s="54" t="str">
        <f aca="false">IF(AND(O898&lt;&gt;"",M898&lt;&gt;"",O898&gt;M898),CONCATENATE("1 : ",TEXT((O898-M898)/M898,"0.00")),IF(AND(O898&lt;&gt;"",M898&lt;&gt;"",O898&lt;M898),CONCATENATE("-1 : ",TEXT((M898-O898)/M898,"0.00")),"—"))</f>
        <v>—</v>
      </c>
      <c r="Z898" s="55" t="str">
        <f aca="false">IF(AND(P898&lt;&gt;"",M898&lt;&gt;"",P898&gt;M898),CONCATENATE("1 : ",TEXT((P898-M898)/M898,"0.00")),"—")</f>
        <v>—</v>
      </c>
      <c r="AA898" s="56" t="str">
        <f aca="false">IF(AND(C898&lt;&gt;"",E898&lt;&gt;""),E898-C898,"")</f>
        <v/>
      </c>
      <c r="AB898" s="42"/>
      <c r="AC898" s="57"/>
      <c r="AD898" s="58"/>
      <c r="AE898" s="59" t="str">
        <f aca="false">IF(G898&lt;&gt;"",HYPERLINK("https://www.tradingview.com/chart/?symbol="&amp;G898&amp;"&amp;interval=60&amp;from="&amp;(AG898-10*3600)&amp;"&amp;to="&amp;(AG898+50*3600),"📈 1H"),"")</f>
        <v/>
      </c>
      <c r="AF898" s="60" t="str">
        <f aca="false">IF(G898&lt;&gt;"",HYPERLINK("https://www.tradingview.com/chart/?symbol="&amp;G898&amp;"&amp;interval=240&amp;from="&amp;(AG898-10*14400)&amp;"&amp;to="&amp;(AG898+50*14400),"📈 4H"),"")</f>
        <v/>
      </c>
      <c r="AG898" s="36" t="str">
        <f aca="false">IF(C898&lt;&gt;"",INT((C898+IF(D898&lt;&gt;"",D898,0)-DATE(1970,1,1))*86400),"")</f>
        <v/>
      </c>
    </row>
    <row r="899" customFormat="false" ht="19.5" hidden="false" customHeight="true" outlineLevel="0" collapsed="false">
      <c r="A899" s="12" t="n">
        <f aca="false">ROW()-4</f>
        <v>895</v>
      </c>
      <c r="B899" s="13"/>
      <c r="C899" s="14"/>
      <c r="D899" s="15"/>
      <c r="E899" s="14"/>
      <c r="F899" s="15"/>
      <c r="G899" s="16"/>
      <c r="H899" s="17"/>
      <c r="I899" s="18"/>
      <c r="J899" s="19"/>
      <c r="K899" s="14"/>
      <c r="L899" s="17"/>
      <c r="M899" s="19"/>
      <c r="N899" s="20"/>
      <c r="O899" s="19"/>
      <c r="P899" s="21"/>
      <c r="Q899" s="22" t="str">
        <f aca="false">IF(L899="","",IF(M899&lt;&gt;"",M899*L899*100,IF(AND(O899&lt;&gt;"",B899&lt;&gt;""),IFERROR(AVERAGEIF($B$5:$B$1004,B899,$M$5:$M$1004)*L899*100,""),"")))</f>
        <v/>
      </c>
      <c r="R899" s="22" t="str">
        <f aca="false">IF(AND(O899&lt;&gt;"",L899&lt;&gt;""),O899*L899*100,"")</f>
        <v/>
      </c>
      <c r="S899" s="23" t="str">
        <f aca="false">IF(AND(P899&lt;&gt;"",L899&lt;&gt;""),P899*L899*100,"")</f>
        <v/>
      </c>
      <c r="T899" s="24" t="str">
        <f aca="false">IF(AND(Q899&lt;&gt;"",R899&lt;&gt;""),R899-Q899,"")</f>
        <v/>
      </c>
      <c r="U899" s="25" t="str">
        <f aca="false">IF(AND(Q899&lt;&gt;"",Q899&lt;&gt;0,T899&lt;&gt;""),T899/Q899,"")</f>
        <v/>
      </c>
      <c r="V899" s="26" t="str">
        <f aca="false">IF(AND(S899&lt;&gt;"",Q899&lt;&gt;""),S899-Q899,"")</f>
        <v/>
      </c>
      <c r="W899" s="27" t="str">
        <f aca="false">IF(AND(Q899&lt;&gt;"",Q899&lt;&gt;0,V899&lt;&gt;""),V899/Q899,"")</f>
        <v/>
      </c>
      <c r="X899" s="28" t="s">
        <v>37</v>
      </c>
      <c r="Y899" s="29" t="str">
        <f aca="false">IF(AND(O899&lt;&gt;"",M899&lt;&gt;"",O899&gt;M899),CONCATENATE("1 : ",TEXT((O899-M899)/M899,"0.00")),IF(AND(O899&lt;&gt;"",M899&lt;&gt;"",O899&lt;M899),CONCATENATE("-1 : ",TEXT((M899-O899)/M899,"0.00")),"—"))</f>
        <v>—</v>
      </c>
      <c r="Z899" s="30" t="str">
        <f aca="false">IF(AND(P899&lt;&gt;"",M899&lt;&gt;"",P899&gt;M899),CONCATENATE("1 : ",TEXT((P899-M899)/M899,"0.00")),"—")</f>
        <v>—</v>
      </c>
      <c r="AA899" s="31" t="str">
        <f aca="false">IF(AND(C899&lt;&gt;"",E899&lt;&gt;""),E899-C899,"")</f>
        <v/>
      </c>
      <c r="AB899" s="17"/>
      <c r="AC899" s="32"/>
      <c r="AD899" s="33"/>
      <c r="AE899" s="34" t="str">
        <f aca="false">IF(G899&lt;&gt;"",HYPERLINK("https://www.tradingview.com/chart/?symbol="&amp;G899&amp;"&amp;interval=60&amp;from="&amp;(AG899-10*3600)&amp;"&amp;to="&amp;(AG899+50*3600),"📈 1H"),"")</f>
        <v/>
      </c>
      <c r="AF899" s="35" t="str">
        <f aca="false">IF(G899&lt;&gt;"",HYPERLINK("https://www.tradingview.com/chart/?symbol="&amp;G899&amp;"&amp;interval=240&amp;from="&amp;(AG899-10*14400)&amp;"&amp;to="&amp;(AG899+50*14400),"📈 4H"),"")</f>
        <v/>
      </c>
      <c r="AG899" s="36" t="str">
        <f aca="false">IF(C899&lt;&gt;"",INT((C899+IF(D899&lt;&gt;"",D899,0)-DATE(1970,1,1))*86400),"")</f>
        <v/>
      </c>
    </row>
    <row r="900" customFormat="false" ht="19.5" hidden="false" customHeight="true" outlineLevel="0" collapsed="false">
      <c r="A900" s="37" t="n">
        <f aca="false">ROW()-4</f>
        <v>896</v>
      </c>
      <c r="B900" s="38"/>
      <c r="C900" s="39"/>
      <c r="D900" s="40"/>
      <c r="E900" s="39"/>
      <c r="F900" s="40"/>
      <c r="G900" s="41"/>
      <c r="H900" s="42"/>
      <c r="I900" s="43"/>
      <c r="J900" s="44"/>
      <c r="K900" s="39"/>
      <c r="L900" s="42"/>
      <c r="M900" s="44"/>
      <c r="N900" s="45"/>
      <c r="O900" s="44"/>
      <c r="P900" s="46"/>
      <c r="Q900" s="47" t="str">
        <f aca="false">IF(L900="","",IF(M900&lt;&gt;"",M900*L900*100,IF(AND(O900&lt;&gt;"",B900&lt;&gt;""),IFERROR(AVERAGEIF($B$5:$B$1004,B900,$M$5:$M$1004)*L900*100,""),"")))</f>
        <v/>
      </c>
      <c r="R900" s="47" t="str">
        <f aca="false">IF(AND(O900&lt;&gt;"",L900&lt;&gt;""),O900*L900*100,"")</f>
        <v/>
      </c>
      <c r="S900" s="48" t="str">
        <f aca="false">IF(AND(P900&lt;&gt;"",L900&lt;&gt;""),P900*L900*100,"")</f>
        <v/>
      </c>
      <c r="T900" s="49" t="str">
        <f aca="false">IF(AND(Q900&lt;&gt;"",R900&lt;&gt;""),R900-Q900,"")</f>
        <v/>
      </c>
      <c r="U900" s="50" t="str">
        <f aca="false">IF(AND(Q900&lt;&gt;"",Q900&lt;&gt;0,T900&lt;&gt;""),T900/Q900,"")</f>
        <v/>
      </c>
      <c r="V900" s="51" t="str">
        <f aca="false">IF(AND(S900&lt;&gt;"",Q900&lt;&gt;""),S900-Q900,"")</f>
        <v/>
      </c>
      <c r="W900" s="52" t="str">
        <f aca="false">IF(AND(Q900&lt;&gt;"",Q900&lt;&gt;0,V900&lt;&gt;""),V900/Q900,"")</f>
        <v/>
      </c>
      <c r="X900" s="53" t="s">
        <v>37</v>
      </c>
      <c r="Y900" s="54" t="str">
        <f aca="false">IF(AND(O900&lt;&gt;"",M900&lt;&gt;"",O900&gt;M900),CONCATENATE("1 : ",TEXT((O900-M900)/M900,"0.00")),IF(AND(O900&lt;&gt;"",M900&lt;&gt;"",O900&lt;M900),CONCATENATE("-1 : ",TEXT((M900-O900)/M900,"0.00")),"—"))</f>
        <v>—</v>
      </c>
      <c r="Z900" s="55" t="str">
        <f aca="false">IF(AND(P900&lt;&gt;"",M900&lt;&gt;"",P900&gt;M900),CONCATENATE("1 : ",TEXT((P900-M900)/M900,"0.00")),"—")</f>
        <v>—</v>
      </c>
      <c r="AA900" s="56" t="str">
        <f aca="false">IF(AND(C900&lt;&gt;"",E900&lt;&gt;""),E900-C900,"")</f>
        <v/>
      </c>
      <c r="AB900" s="42"/>
      <c r="AC900" s="57"/>
      <c r="AD900" s="58"/>
      <c r="AE900" s="59" t="str">
        <f aca="false">IF(G900&lt;&gt;"",HYPERLINK("https://www.tradingview.com/chart/?symbol="&amp;G900&amp;"&amp;interval=60&amp;from="&amp;(AG900-10*3600)&amp;"&amp;to="&amp;(AG900+50*3600),"📈 1H"),"")</f>
        <v/>
      </c>
      <c r="AF900" s="60" t="str">
        <f aca="false">IF(G900&lt;&gt;"",HYPERLINK("https://www.tradingview.com/chart/?symbol="&amp;G900&amp;"&amp;interval=240&amp;from="&amp;(AG900-10*14400)&amp;"&amp;to="&amp;(AG900+50*14400),"📈 4H"),"")</f>
        <v/>
      </c>
      <c r="AG900" s="36" t="str">
        <f aca="false">IF(C900&lt;&gt;"",INT((C900+IF(D900&lt;&gt;"",D900,0)-DATE(1970,1,1))*86400),"")</f>
        <v/>
      </c>
    </row>
    <row r="901" customFormat="false" ht="19.5" hidden="false" customHeight="true" outlineLevel="0" collapsed="false">
      <c r="A901" s="12" t="n">
        <f aca="false">ROW()-4</f>
        <v>897</v>
      </c>
      <c r="B901" s="13"/>
      <c r="C901" s="14"/>
      <c r="D901" s="15"/>
      <c r="E901" s="14"/>
      <c r="F901" s="15"/>
      <c r="G901" s="16"/>
      <c r="H901" s="17"/>
      <c r="I901" s="18"/>
      <c r="J901" s="19"/>
      <c r="K901" s="14"/>
      <c r="L901" s="17"/>
      <c r="M901" s="19"/>
      <c r="N901" s="20"/>
      <c r="O901" s="19"/>
      <c r="P901" s="21"/>
      <c r="Q901" s="22" t="str">
        <f aca="false">IF(L901="","",IF(M901&lt;&gt;"",M901*L901*100,IF(AND(O901&lt;&gt;"",B901&lt;&gt;""),IFERROR(AVERAGEIF($B$5:$B$1004,B901,$M$5:$M$1004)*L901*100,""),"")))</f>
        <v/>
      </c>
      <c r="R901" s="22" t="str">
        <f aca="false">IF(AND(O901&lt;&gt;"",L901&lt;&gt;""),O901*L901*100,"")</f>
        <v/>
      </c>
      <c r="S901" s="23" t="str">
        <f aca="false">IF(AND(P901&lt;&gt;"",L901&lt;&gt;""),P901*L901*100,"")</f>
        <v/>
      </c>
      <c r="T901" s="24" t="str">
        <f aca="false">IF(AND(Q901&lt;&gt;"",R901&lt;&gt;""),R901-Q901,"")</f>
        <v/>
      </c>
      <c r="U901" s="25" t="str">
        <f aca="false">IF(AND(Q901&lt;&gt;"",Q901&lt;&gt;0,T901&lt;&gt;""),T901/Q901,"")</f>
        <v/>
      </c>
      <c r="V901" s="26" t="str">
        <f aca="false">IF(AND(S901&lt;&gt;"",Q901&lt;&gt;""),S901-Q901,"")</f>
        <v/>
      </c>
      <c r="W901" s="27" t="str">
        <f aca="false">IF(AND(Q901&lt;&gt;"",Q901&lt;&gt;0,V901&lt;&gt;""),V901/Q901,"")</f>
        <v/>
      </c>
      <c r="X901" s="28" t="s">
        <v>37</v>
      </c>
      <c r="Y901" s="29" t="str">
        <f aca="false">IF(AND(O901&lt;&gt;"",M901&lt;&gt;"",O901&gt;M901),CONCATENATE("1 : ",TEXT((O901-M901)/M901,"0.00")),IF(AND(O901&lt;&gt;"",M901&lt;&gt;"",O901&lt;M901),CONCATENATE("-1 : ",TEXT((M901-O901)/M901,"0.00")),"—"))</f>
        <v>—</v>
      </c>
      <c r="Z901" s="30" t="str">
        <f aca="false">IF(AND(P901&lt;&gt;"",M901&lt;&gt;"",P901&gt;M901),CONCATENATE("1 : ",TEXT((P901-M901)/M901,"0.00")),"—")</f>
        <v>—</v>
      </c>
      <c r="AA901" s="31" t="str">
        <f aca="false">IF(AND(C901&lt;&gt;"",E901&lt;&gt;""),E901-C901,"")</f>
        <v/>
      </c>
      <c r="AB901" s="17"/>
      <c r="AC901" s="32"/>
      <c r="AD901" s="33"/>
      <c r="AE901" s="34" t="str">
        <f aca="false">IF(G901&lt;&gt;"",HYPERLINK("https://www.tradingview.com/chart/?symbol="&amp;G901&amp;"&amp;interval=60&amp;from="&amp;(AG901-10*3600)&amp;"&amp;to="&amp;(AG901+50*3600),"📈 1H"),"")</f>
        <v/>
      </c>
      <c r="AF901" s="35" t="str">
        <f aca="false">IF(G901&lt;&gt;"",HYPERLINK("https://www.tradingview.com/chart/?symbol="&amp;G901&amp;"&amp;interval=240&amp;from="&amp;(AG901-10*14400)&amp;"&amp;to="&amp;(AG901+50*14400),"📈 4H"),"")</f>
        <v/>
      </c>
      <c r="AG901" s="36" t="str">
        <f aca="false">IF(C901&lt;&gt;"",INT((C901+IF(D901&lt;&gt;"",D901,0)-DATE(1970,1,1))*86400),"")</f>
        <v/>
      </c>
    </row>
    <row r="902" customFormat="false" ht="19.5" hidden="false" customHeight="true" outlineLevel="0" collapsed="false">
      <c r="A902" s="37" t="n">
        <f aca="false">ROW()-4</f>
        <v>898</v>
      </c>
      <c r="B902" s="38"/>
      <c r="C902" s="39"/>
      <c r="D902" s="40"/>
      <c r="E902" s="39"/>
      <c r="F902" s="40"/>
      <c r="G902" s="41"/>
      <c r="H902" s="42"/>
      <c r="I902" s="43"/>
      <c r="J902" s="44"/>
      <c r="K902" s="39"/>
      <c r="L902" s="42"/>
      <c r="M902" s="44"/>
      <c r="N902" s="45"/>
      <c r="O902" s="44"/>
      <c r="P902" s="46"/>
      <c r="Q902" s="47" t="str">
        <f aca="false">IF(L902="","",IF(M902&lt;&gt;"",M902*L902*100,IF(AND(O902&lt;&gt;"",B902&lt;&gt;""),IFERROR(AVERAGEIF($B$5:$B$1004,B902,$M$5:$M$1004)*L902*100,""),"")))</f>
        <v/>
      </c>
      <c r="R902" s="47" t="str">
        <f aca="false">IF(AND(O902&lt;&gt;"",L902&lt;&gt;""),O902*L902*100,"")</f>
        <v/>
      </c>
      <c r="S902" s="48" t="str">
        <f aca="false">IF(AND(P902&lt;&gt;"",L902&lt;&gt;""),P902*L902*100,"")</f>
        <v/>
      </c>
      <c r="T902" s="49" t="str">
        <f aca="false">IF(AND(Q902&lt;&gt;"",R902&lt;&gt;""),R902-Q902,"")</f>
        <v/>
      </c>
      <c r="U902" s="50" t="str">
        <f aca="false">IF(AND(Q902&lt;&gt;"",Q902&lt;&gt;0,T902&lt;&gt;""),T902/Q902,"")</f>
        <v/>
      </c>
      <c r="V902" s="51" t="str">
        <f aca="false">IF(AND(S902&lt;&gt;"",Q902&lt;&gt;""),S902-Q902,"")</f>
        <v/>
      </c>
      <c r="W902" s="52" t="str">
        <f aca="false">IF(AND(Q902&lt;&gt;"",Q902&lt;&gt;0,V902&lt;&gt;""),V902/Q902,"")</f>
        <v/>
      </c>
      <c r="X902" s="53" t="s">
        <v>37</v>
      </c>
      <c r="Y902" s="54" t="str">
        <f aca="false">IF(AND(O902&lt;&gt;"",M902&lt;&gt;"",O902&gt;M902),CONCATENATE("1 : ",TEXT((O902-M902)/M902,"0.00")),IF(AND(O902&lt;&gt;"",M902&lt;&gt;"",O902&lt;M902),CONCATENATE("-1 : ",TEXT((M902-O902)/M902,"0.00")),"—"))</f>
        <v>—</v>
      </c>
      <c r="Z902" s="55" t="str">
        <f aca="false">IF(AND(P902&lt;&gt;"",M902&lt;&gt;"",P902&gt;M902),CONCATENATE("1 : ",TEXT((P902-M902)/M902,"0.00")),"—")</f>
        <v>—</v>
      </c>
      <c r="AA902" s="56" t="str">
        <f aca="false">IF(AND(C902&lt;&gt;"",E902&lt;&gt;""),E902-C902,"")</f>
        <v/>
      </c>
      <c r="AB902" s="42"/>
      <c r="AC902" s="57"/>
      <c r="AD902" s="58"/>
      <c r="AE902" s="59" t="str">
        <f aca="false">IF(G902&lt;&gt;"",HYPERLINK("https://www.tradingview.com/chart/?symbol="&amp;G902&amp;"&amp;interval=60&amp;from="&amp;(AG902-10*3600)&amp;"&amp;to="&amp;(AG902+50*3600),"📈 1H"),"")</f>
        <v/>
      </c>
      <c r="AF902" s="60" t="str">
        <f aca="false">IF(G902&lt;&gt;"",HYPERLINK("https://www.tradingview.com/chart/?symbol="&amp;G902&amp;"&amp;interval=240&amp;from="&amp;(AG902-10*14400)&amp;"&amp;to="&amp;(AG902+50*14400),"📈 4H"),"")</f>
        <v/>
      </c>
      <c r="AG902" s="36" t="str">
        <f aca="false">IF(C902&lt;&gt;"",INT((C902+IF(D902&lt;&gt;"",D902,0)-DATE(1970,1,1))*86400),"")</f>
        <v/>
      </c>
    </row>
    <row r="903" customFormat="false" ht="19.5" hidden="false" customHeight="true" outlineLevel="0" collapsed="false">
      <c r="A903" s="12" t="n">
        <f aca="false">ROW()-4</f>
        <v>899</v>
      </c>
      <c r="B903" s="13"/>
      <c r="C903" s="14"/>
      <c r="D903" s="15"/>
      <c r="E903" s="14"/>
      <c r="F903" s="15"/>
      <c r="G903" s="16"/>
      <c r="H903" s="17"/>
      <c r="I903" s="18"/>
      <c r="J903" s="19"/>
      <c r="K903" s="14"/>
      <c r="L903" s="17"/>
      <c r="M903" s="19"/>
      <c r="N903" s="20"/>
      <c r="O903" s="19"/>
      <c r="P903" s="21"/>
      <c r="Q903" s="22" t="str">
        <f aca="false">IF(L903="","",IF(M903&lt;&gt;"",M903*L903*100,IF(AND(O903&lt;&gt;"",B903&lt;&gt;""),IFERROR(AVERAGEIF($B$5:$B$1004,B903,$M$5:$M$1004)*L903*100,""),"")))</f>
        <v/>
      </c>
      <c r="R903" s="22" t="str">
        <f aca="false">IF(AND(O903&lt;&gt;"",L903&lt;&gt;""),O903*L903*100,"")</f>
        <v/>
      </c>
      <c r="S903" s="23" t="str">
        <f aca="false">IF(AND(P903&lt;&gt;"",L903&lt;&gt;""),P903*L903*100,"")</f>
        <v/>
      </c>
      <c r="T903" s="24" t="str">
        <f aca="false">IF(AND(Q903&lt;&gt;"",R903&lt;&gt;""),R903-Q903,"")</f>
        <v/>
      </c>
      <c r="U903" s="25" t="str">
        <f aca="false">IF(AND(Q903&lt;&gt;"",Q903&lt;&gt;0,T903&lt;&gt;""),T903/Q903,"")</f>
        <v/>
      </c>
      <c r="V903" s="26" t="str">
        <f aca="false">IF(AND(S903&lt;&gt;"",Q903&lt;&gt;""),S903-Q903,"")</f>
        <v/>
      </c>
      <c r="W903" s="27" t="str">
        <f aca="false">IF(AND(Q903&lt;&gt;"",Q903&lt;&gt;0,V903&lt;&gt;""),V903/Q903,"")</f>
        <v/>
      </c>
      <c r="X903" s="28" t="s">
        <v>37</v>
      </c>
      <c r="Y903" s="29" t="str">
        <f aca="false">IF(AND(O903&lt;&gt;"",M903&lt;&gt;"",O903&gt;M903),CONCATENATE("1 : ",TEXT((O903-M903)/M903,"0.00")),IF(AND(O903&lt;&gt;"",M903&lt;&gt;"",O903&lt;M903),CONCATENATE("-1 : ",TEXT((M903-O903)/M903,"0.00")),"—"))</f>
        <v>—</v>
      </c>
      <c r="Z903" s="30" t="str">
        <f aca="false">IF(AND(P903&lt;&gt;"",M903&lt;&gt;"",P903&gt;M903),CONCATENATE("1 : ",TEXT((P903-M903)/M903,"0.00")),"—")</f>
        <v>—</v>
      </c>
      <c r="AA903" s="31" t="str">
        <f aca="false">IF(AND(C903&lt;&gt;"",E903&lt;&gt;""),E903-C903,"")</f>
        <v/>
      </c>
      <c r="AB903" s="17"/>
      <c r="AC903" s="32"/>
      <c r="AD903" s="33"/>
      <c r="AE903" s="34" t="str">
        <f aca="false">IF(G903&lt;&gt;"",HYPERLINK("https://www.tradingview.com/chart/?symbol="&amp;G903&amp;"&amp;interval=60&amp;from="&amp;(AG903-10*3600)&amp;"&amp;to="&amp;(AG903+50*3600),"📈 1H"),"")</f>
        <v/>
      </c>
      <c r="AF903" s="35" t="str">
        <f aca="false">IF(G903&lt;&gt;"",HYPERLINK("https://www.tradingview.com/chart/?symbol="&amp;G903&amp;"&amp;interval=240&amp;from="&amp;(AG903-10*14400)&amp;"&amp;to="&amp;(AG903+50*14400),"📈 4H"),"")</f>
        <v/>
      </c>
      <c r="AG903" s="36" t="str">
        <f aca="false">IF(C903&lt;&gt;"",INT((C903+IF(D903&lt;&gt;"",D903,0)-DATE(1970,1,1))*86400),"")</f>
        <v/>
      </c>
    </row>
    <row r="904" customFormat="false" ht="19.5" hidden="false" customHeight="true" outlineLevel="0" collapsed="false">
      <c r="A904" s="37" t="n">
        <f aca="false">ROW()-4</f>
        <v>900</v>
      </c>
      <c r="B904" s="38"/>
      <c r="C904" s="39"/>
      <c r="D904" s="40"/>
      <c r="E904" s="39"/>
      <c r="F904" s="40"/>
      <c r="G904" s="41"/>
      <c r="H904" s="42"/>
      <c r="I904" s="43"/>
      <c r="J904" s="44"/>
      <c r="K904" s="39"/>
      <c r="L904" s="42"/>
      <c r="M904" s="44"/>
      <c r="N904" s="45"/>
      <c r="O904" s="44"/>
      <c r="P904" s="46"/>
      <c r="Q904" s="47" t="str">
        <f aca="false">IF(L904="","",IF(M904&lt;&gt;"",M904*L904*100,IF(AND(O904&lt;&gt;"",B904&lt;&gt;""),IFERROR(AVERAGEIF($B$5:$B$1004,B904,$M$5:$M$1004)*L904*100,""),"")))</f>
        <v/>
      </c>
      <c r="R904" s="47" t="str">
        <f aca="false">IF(AND(O904&lt;&gt;"",L904&lt;&gt;""),O904*L904*100,"")</f>
        <v/>
      </c>
      <c r="S904" s="48" t="str">
        <f aca="false">IF(AND(P904&lt;&gt;"",L904&lt;&gt;""),P904*L904*100,"")</f>
        <v/>
      </c>
      <c r="T904" s="49" t="str">
        <f aca="false">IF(AND(Q904&lt;&gt;"",R904&lt;&gt;""),R904-Q904,"")</f>
        <v/>
      </c>
      <c r="U904" s="50" t="str">
        <f aca="false">IF(AND(Q904&lt;&gt;"",Q904&lt;&gt;0,T904&lt;&gt;""),T904/Q904,"")</f>
        <v/>
      </c>
      <c r="V904" s="51" t="str">
        <f aca="false">IF(AND(S904&lt;&gt;"",Q904&lt;&gt;""),S904-Q904,"")</f>
        <v/>
      </c>
      <c r="W904" s="52" t="str">
        <f aca="false">IF(AND(Q904&lt;&gt;"",Q904&lt;&gt;0,V904&lt;&gt;""),V904/Q904,"")</f>
        <v/>
      </c>
      <c r="X904" s="53" t="s">
        <v>37</v>
      </c>
      <c r="Y904" s="54" t="str">
        <f aca="false">IF(AND(O904&lt;&gt;"",M904&lt;&gt;"",O904&gt;M904),CONCATENATE("1 : ",TEXT((O904-M904)/M904,"0.00")),IF(AND(O904&lt;&gt;"",M904&lt;&gt;"",O904&lt;M904),CONCATENATE("-1 : ",TEXT((M904-O904)/M904,"0.00")),"—"))</f>
        <v>—</v>
      </c>
      <c r="Z904" s="55" t="str">
        <f aca="false">IF(AND(P904&lt;&gt;"",M904&lt;&gt;"",P904&gt;M904),CONCATENATE("1 : ",TEXT((P904-M904)/M904,"0.00")),"—")</f>
        <v>—</v>
      </c>
      <c r="AA904" s="56" t="str">
        <f aca="false">IF(AND(C904&lt;&gt;"",E904&lt;&gt;""),E904-C904,"")</f>
        <v/>
      </c>
      <c r="AB904" s="42"/>
      <c r="AC904" s="57"/>
      <c r="AD904" s="58"/>
      <c r="AE904" s="59" t="str">
        <f aca="false">IF(G904&lt;&gt;"",HYPERLINK("https://www.tradingview.com/chart/?symbol="&amp;G904&amp;"&amp;interval=60&amp;from="&amp;(AG904-10*3600)&amp;"&amp;to="&amp;(AG904+50*3600),"📈 1H"),"")</f>
        <v/>
      </c>
      <c r="AF904" s="60" t="str">
        <f aca="false">IF(G904&lt;&gt;"",HYPERLINK("https://www.tradingview.com/chart/?symbol="&amp;G904&amp;"&amp;interval=240&amp;from="&amp;(AG904-10*14400)&amp;"&amp;to="&amp;(AG904+50*14400),"📈 4H"),"")</f>
        <v/>
      </c>
      <c r="AG904" s="36" t="str">
        <f aca="false">IF(C904&lt;&gt;"",INT((C904+IF(D904&lt;&gt;"",D904,0)-DATE(1970,1,1))*86400),"")</f>
        <v/>
      </c>
    </row>
    <row r="905" customFormat="false" ht="19.5" hidden="false" customHeight="true" outlineLevel="0" collapsed="false">
      <c r="A905" s="12" t="n">
        <f aca="false">ROW()-4</f>
        <v>901</v>
      </c>
      <c r="B905" s="13"/>
      <c r="C905" s="14"/>
      <c r="D905" s="15"/>
      <c r="E905" s="14"/>
      <c r="F905" s="15"/>
      <c r="G905" s="16"/>
      <c r="H905" s="17"/>
      <c r="I905" s="18"/>
      <c r="J905" s="19"/>
      <c r="K905" s="14"/>
      <c r="L905" s="17"/>
      <c r="M905" s="19"/>
      <c r="N905" s="20"/>
      <c r="O905" s="19"/>
      <c r="P905" s="21"/>
      <c r="Q905" s="22" t="str">
        <f aca="false">IF(L905="","",IF(M905&lt;&gt;"",M905*L905*100,IF(AND(O905&lt;&gt;"",B905&lt;&gt;""),IFERROR(AVERAGEIF($B$5:$B$1004,B905,$M$5:$M$1004)*L905*100,""),"")))</f>
        <v/>
      </c>
      <c r="R905" s="22" t="str">
        <f aca="false">IF(AND(O905&lt;&gt;"",L905&lt;&gt;""),O905*L905*100,"")</f>
        <v/>
      </c>
      <c r="S905" s="23" t="str">
        <f aca="false">IF(AND(P905&lt;&gt;"",L905&lt;&gt;""),P905*L905*100,"")</f>
        <v/>
      </c>
      <c r="T905" s="24" t="str">
        <f aca="false">IF(AND(Q905&lt;&gt;"",R905&lt;&gt;""),R905-Q905,"")</f>
        <v/>
      </c>
      <c r="U905" s="25" t="str">
        <f aca="false">IF(AND(Q905&lt;&gt;"",Q905&lt;&gt;0,T905&lt;&gt;""),T905/Q905,"")</f>
        <v/>
      </c>
      <c r="V905" s="26" t="str">
        <f aca="false">IF(AND(S905&lt;&gt;"",Q905&lt;&gt;""),S905-Q905,"")</f>
        <v/>
      </c>
      <c r="W905" s="27" t="str">
        <f aca="false">IF(AND(Q905&lt;&gt;"",Q905&lt;&gt;0,V905&lt;&gt;""),V905/Q905,"")</f>
        <v/>
      </c>
      <c r="X905" s="28" t="s">
        <v>37</v>
      </c>
      <c r="Y905" s="29" t="str">
        <f aca="false">IF(AND(O905&lt;&gt;"",M905&lt;&gt;"",O905&gt;M905),CONCATENATE("1 : ",TEXT((O905-M905)/M905,"0.00")),IF(AND(O905&lt;&gt;"",M905&lt;&gt;"",O905&lt;M905),CONCATENATE("-1 : ",TEXT((M905-O905)/M905,"0.00")),"—"))</f>
        <v>—</v>
      </c>
      <c r="Z905" s="30" t="str">
        <f aca="false">IF(AND(P905&lt;&gt;"",M905&lt;&gt;"",P905&gt;M905),CONCATENATE("1 : ",TEXT((P905-M905)/M905,"0.00")),"—")</f>
        <v>—</v>
      </c>
      <c r="AA905" s="31" t="str">
        <f aca="false">IF(AND(C905&lt;&gt;"",E905&lt;&gt;""),E905-C905,"")</f>
        <v/>
      </c>
      <c r="AB905" s="17"/>
      <c r="AC905" s="32"/>
      <c r="AD905" s="33"/>
      <c r="AE905" s="34" t="str">
        <f aca="false">IF(G905&lt;&gt;"",HYPERLINK("https://www.tradingview.com/chart/?symbol="&amp;G905&amp;"&amp;interval=60&amp;from="&amp;(AG905-10*3600)&amp;"&amp;to="&amp;(AG905+50*3600),"📈 1H"),"")</f>
        <v/>
      </c>
      <c r="AF905" s="35" t="str">
        <f aca="false">IF(G905&lt;&gt;"",HYPERLINK("https://www.tradingview.com/chart/?symbol="&amp;G905&amp;"&amp;interval=240&amp;from="&amp;(AG905-10*14400)&amp;"&amp;to="&amp;(AG905+50*14400),"📈 4H"),"")</f>
        <v/>
      </c>
      <c r="AG905" s="36" t="str">
        <f aca="false">IF(C905&lt;&gt;"",INT((C905+IF(D905&lt;&gt;"",D905,0)-DATE(1970,1,1))*86400),"")</f>
        <v/>
      </c>
    </row>
    <row r="906" customFormat="false" ht="19.5" hidden="false" customHeight="true" outlineLevel="0" collapsed="false">
      <c r="A906" s="37" t="n">
        <f aca="false">ROW()-4</f>
        <v>902</v>
      </c>
      <c r="B906" s="38"/>
      <c r="C906" s="39"/>
      <c r="D906" s="40"/>
      <c r="E906" s="39"/>
      <c r="F906" s="40"/>
      <c r="G906" s="41"/>
      <c r="H906" s="42"/>
      <c r="I906" s="43"/>
      <c r="J906" s="44"/>
      <c r="K906" s="39"/>
      <c r="L906" s="42"/>
      <c r="M906" s="44"/>
      <c r="N906" s="45"/>
      <c r="O906" s="44"/>
      <c r="P906" s="46"/>
      <c r="Q906" s="47" t="str">
        <f aca="false">IF(L906="","",IF(M906&lt;&gt;"",M906*L906*100,IF(AND(O906&lt;&gt;"",B906&lt;&gt;""),IFERROR(AVERAGEIF($B$5:$B$1004,B906,$M$5:$M$1004)*L906*100,""),"")))</f>
        <v/>
      </c>
      <c r="R906" s="47" t="str">
        <f aca="false">IF(AND(O906&lt;&gt;"",L906&lt;&gt;""),O906*L906*100,"")</f>
        <v/>
      </c>
      <c r="S906" s="48" t="str">
        <f aca="false">IF(AND(P906&lt;&gt;"",L906&lt;&gt;""),P906*L906*100,"")</f>
        <v/>
      </c>
      <c r="T906" s="49" t="str">
        <f aca="false">IF(AND(Q906&lt;&gt;"",R906&lt;&gt;""),R906-Q906,"")</f>
        <v/>
      </c>
      <c r="U906" s="50" t="str">
        <f aca="false">IF(AND(Q906&lt;&gt;"",Q906&lt;&gt;0,T906&lt;&gt;""),T906/Q906,"")</f>
        <v/>
      </c>
      <c r="V906" s="51" t="str">
        <f aca="false">IF(AND(S906&lt;&gt;"",Q906&lt;&gt;""),S906-Q906,"")</f>
        <v/>
      </c>
      <c r="W906" s="52" t="str">
        <f aca="false">IF(AND(Q906&lt;&gt;"",Q906&lt;&gt;0,V906&lt;&gt;""),V906/Q906,"")</f>
        <v/>
      </c>
      <c r="X906" s="53" t="s">
        <v>37</v>
      </c>
      <c r="Y906" s="54" t="str">
        <f aca="false">IF(AND(O906&lt;&gt;"",M906&lt;&gt;"",O906&gt;M906),CONCATENATE("1 : ",TEXT((O906-M906)/M906,"0.00")),IF(AND(O906&lt;&gt;"",M906&lt;&gt;"",O906&lt;M906),CONCATENATE("-1 : ",TEXT((M906-O906)/M906,"0.00")),"—"))</f>
        <v>—</v>
      </c>
      <c r="Z906" s="55" t="str">
        <f aca="false">IF(AND(P906&lt;&gt;"",M906&lt;&gt;"",P906&gt;M906),CONCATENATE("1 : ",TEXT((P906-M906)/M906,"0.00")),"—")</f>
        <v>—</v>
      </c>
      <c r="AA906" s="56" t="str">
        <f aca="false">IF(AND(C906&lt;&gt;"",E906&lt;&gt;""),E906-C906,"")</f>
        <v/>
      </c>
      <c r="AB906" s="42"/>
      <c r="AC906" s="57"/>
      <c r="AD906" s="58"/>
      <c r="AE906" s="59" t="str">
        <f aca="false">IF(G906&lt;&gt;"",HYPERLINK("https://www.tradingview.com/chart/?symbol="&amp;G906&amp;"&amp;interval=60&amp;from="&amp;(AG906-10*3600)&amp;"&amp;to="&amp;(AG906+50*3600),"📈 1H"),"")</f>
        <v/>
      </c>
      <c r="AF906" s="60" t="str">
        <f aca="false">IF(G906&lt;&gt;"",HYPERLINK("https://www.tradingview.com/chart/?symbol="&amp;G906&amp;"&amp;interval=240&amp;from="&amp;(AG906-10*14400)&amp;"&amp;to="&amp;(AG906+50*14400),"📈 4H"),"")</f>
        <v/>
      </c>
      <c r="AG906" s="36" t="str">
        <f aca="false">IF(C906&lt;&gt;"",INT((C906+IF(D906&lt;&gt;"",D906,0)-DATE(1970,1,1))*86400),"")</f>
        <v/>
      </c>
    </row>
    <row r="907" customFormat="false" ht="19.5" hidden="false" customHeight="true" outlineLevel="0" collapsed="false">
      <c r="A907" s="12" t="n">
        <f aca="false">ROW()-4</f>
        <v>903</v>
      </c>
      <c r="B907" s="13"/>
      <c r="C907" s="14"/>
      <c r="D907" s="15"/>
      <c r="E907" s="14"/>
      <c r="F907" s="15"/>
      <c r="G907" s="16"/>
      <c r="H907" s="17"/>
      <c r="I907" s="18"/>
      <c r="J907" s="19"/>
      <c r="K907" s="14"/>
      <c r="L907" s="17"/>
      <c r="M907" s="19"/>
      <c r="N907" s="20"/>
      <c r="O907" s="19"/>
      <c r="P907" s="21"/>
      <c r="Q907" s="22" t="str">
        <f aca="false">IF(L907="","",IF(M907&lt;&gt;"",M907*L907*100,IF(AND(O907&lt;&gt;"",B907&lt;&gt;""),IFERROR(AVERAGEIF($B$5:$B$1004,B907,$M$5:$M$1004)*L907*100,""),"")))</f>
        <v/>
      </c>
      <c r="R907" s="22" t="str">
        <f aca="false">IF(AND(O907&lt;&gt;"",L907&lt;&gt;""),O907*L907*100,"")</f>
        <v/>
      </c>
      <c r="S907" s="23" t="str">
        <f aca="false">IF(AND(P907&lt;&gt;"",L907&lt;&gt;""),P907*L907*100,"")</f>
        <v/>
      </c>
      <c r="T907" s="24" t="str">
        <f aca="false">IF(AND(Q907&lt;&gt;"",R907&lt;&gt;""),R907-Q907,"")</f>
        <v/>
      </c>
      <c r="U907" s="25" t="str">
        <f aca="false">IF(AND(Q907&lt;&gt;"",Q907&lt;&gt;0,T907&lt;&gt;""),T907/Q907,"")</f>
        <v/>
      </c>
      <c r="V907" s="26" t="str">
        <f aca="false">IF(AND(S907&lt;&gt;"",Q907&lt;&gt;""),S907-Q907,"")</f>
        <v/>
      </c>
      <c r="W907" s="27" t="str">
        <f aca="false">IF(AND(Q907&lt;&gt;"",Q907&lt;&gt;0,V907&lt;&gt;""),V907/Q907,"")</f>
        <v/>
      </c>
      <c r="X907" s="28" t="s">
        <v>37</v>
      </c>
      <c r="Y907" s="29" t="str">
        <f aca="false">IF(AND(O907&lt;&gt;"",M907&lt;&gt;"",O907&gt;M907),CONCATENATE("1 : ",TEXT((O907-M907)/M907,"0.00")),IF(AND(O907&lt;&gt;"",M907&lt;&gt;"",O907&lt;M907),CONCATENATE("-1 : ",TEXT((M907-O907)/M907,"0.00")),"—"))</f>
        <v>—</v>
      </c>
      <c r="Z907" s="30" t="str">
        <f aca="false">IF(AND(P907&lt;&gt;"",M907&lt;&gt;"",P907&gt;M907),CONCATENATE("1 : ",TEXT((P907-M907)/M907,"0.00")),"—")</f>
        <v>—</v>
      </c>
      <c r="AA907" s="31" t="str">
        <f aca="false">IF(AND(C907&lt;&gt;"",E907&lt;&gt;""),E907-C907,"")</f>
        <v/>
      </c>
      <c r="AB907" s="17"/>
      <c r="AC907" s="32"/>
      <c r="AD907" s="33"/>
      <c r="AE907" s="34" t="str">
        <f aca="false">IF(G907&lt;&gt;"",HYPERLINK("https://www.tradingview.com/chart/?symbol="&amp;G907&amp;"&amp;interval=60&amp;from="&amp;(AG907-10*3600)&amp;"&amp;to="&amp;(AG907+50*3600),"📈 1H"),"")</f>
        <v/>
      </c>
      <c r="AF907" s="35" t="str">
        <f aca="false">IF(G907&lt;&gt;"",HYPERLINK("https://www.tradingview.com/chart/?symbol="&amp;G907&amp;"&amp;interval=240&amp;from="&amp;(AG907-10*14400)&amp;"&amp;to="&amp;(AG907+50*14400),"📈 4H"),"")</f>
        <v/>
      </c>
      <c r="AG907" s="36" t="str">
        <f aca="false">IF(C907&lt;&gt;"",INT((C907+IF(D907&lt;&gt;"",D907,0)-DATE(1970,1,1))*86400),"")</f>
        <v/>
      </c>
    </row>
    <row r="908" customFormat="false" ht="19.5" hidden="false" customHeight="true" outlineLevel="0" collapsed="false">
      <c r="A908" s="37" t="n">
        <f aca="false">ROW()-4</f>
        <v>904</v>
      </c>
      <c r="B908" s="38"/>
      <c r="C908" s="39"/>
      <c r="D908" s="40"/>
      <c r="E908" s="39"/>
      <c r="F908" s="40"/>
      <c r="G908" s="41"/>
      <c r="H908" s="42"/>
      <c r="I908" s="43"/>
      <c r="J908" s="44"/>
      <c r="K908" s="39"/>
      <c r="L908" s="42"/>
      <c r="M908" s="44"/>
      <c r="N908" s="45"/>
      <c r="O908" s="44"/>
      <c r="P908" s="46"/>
      <c r="Q908" s="47" t="str">
        <f aca="false">IF(L908="","",IF(M908&lt;&gt;"",M908*L908*100,IF(AND(O908&lt;&gt;"",B908&lt;&gt;""),IFERROR(AVERAGEIF($B$5:$B$1004,B908,$M$5:$M$1004)*L908*100,""),"")))</f>
        <v/>
      </c>
      <c r="R908" s="47" t="str">
        <f aca="false">IF(AND(O908&lt;&gt;"",L908&lt;&gt;""),O908*L908*100,"")</f>
        <v/>
      </c>
      <c r="S908" s="48" t="str">
        <f aca="false">IF(AND(P908&lt;&gt;"",L908&lt;&gt;""),P908*L908*100,"")</f>
        <v/>
      </c>
      <c r="T908" s="49" t="str">
        <f aca="false">IF(AND(Q908&lt;&gt;"",R908&lt;&gt;""),R908-Q908,"")</f>
        <v/>
      </c>
      <c r="U908" s="50" t="str">
        <f aca="false">IF(AND(Q908&lt;&gt;"",Q908&lt;&gt;0,T908&lt;&gt;""),T908/Q908,"")</f>
        <v/>
      </c>
      <c r="V908" s="51" t="str">
        <f aca="false">IF(AND(S908&lt;&gt;"",Q908&lt;&gt;""),S908-Q908,"")</f>
        <v/>
      </c>
      <c r="W908" s="52" t="str">
        <f aca="false">IF(AND(Q908&lt;&gt;"",Q908&lt;&gt;0,V908&lt;&gt;""),V908/Q908,"")</f>
        <v/>
      </c>
      <c r="X908" s="53" t="s">
        <v>37</v>
      </c>
      <c r="Y908" s="54" t="str">
        <f aca="false">IF(AND(O908&lt;&gt;"",M908&lt;&gt;"",O908&gt;M908),CONCATENATE("1 : ",TEXT((O908-M908)/M908,"0.00")),IF(AND(O908&lt;&gt;"",M908&lt;&gt;"",O908&lt;M908),CONCATENATE("-1 : ",TEXT((M908-O908)/M908,"0.00")),"—"))</f>
        <v>—</v>
      </c>
      <c r="Z908" s="55" t="str">
        <f aca="false">IF(AND(P908&lt;&gt;"",M908&lt;&gt;"",P908&gt;M908),CONCATENATE("1 : ",TEXT((P908-M908)/M908,"0.00")),"—")</f>
        <v>—</v>
      </c>
      <c r="AA908" s="56" t="str">
        <f aca="false">IF(AND(C908&lt;&gt;"",E908&lt;&gt;""),E908-C908,"")</f>
        <v/>
      </c>
      <c r="AB908" s="42"/>
      <c r="AC908" s="57"/>
      <c r="AD908" s="58"/>
      <c r="AE908" s="59" t="str">
        <f aca="false">IF(G908&lt;&gt;"",HYPERLINK("https://www.tradingview.com/chart/?symbol="&amp;G908&amp;"&amp;interval=60&amp;from="&amp;(AG908-10*3600)&amp;"&amp;to="&amp;(AG908+50*3600),"📈 1H"),"")</f>
        <v/>
      </c>
      <c r="AF908" s="60" t="str">
        <f aca="false">IF(G908&lt;&gt;"",HYPERLINK("https://www.tradingview.com/chart/?symbol="&amp;G908&amp;"&amp;interval=240&amp;from="&amp;(AG908-10*14400)&amp;"&amp;to="&amp;(AG908+50*14400),"📈 4H"),"")</f>
        <v/>
      </c>
      <c r="AG908" s="36" t="str">
        <f aca="false">IF(C908&lt;&gt;"",INT((C908+IF(D908&lt;&gt;"",D908,0)-DATE(1970,1,1))*86400),"")</f>
        <v/>
      </c>
    </row>
    <row r="909" customFormat="false" ht="19.5" hidden="false" customHeight="true" outlineLevel="0" collapsed="false">
      <c r="A909" s="12" t="n">
        <f aca="false">ROW()-4</f>
        <v>905</v>
      </c>
      <c r="B909" s="13"/>
      <c r="C909" s="14"/>
      <c r="D909" s="15"/>
      <c r="E909" s="14"/>
      <c r="F909" s="15"/>
      <c r="G909" s="16"/>
      <c r="H909" s="17"/>
      <c r="I909" s="18"/>
      <c r="J909" s="19"/>
      <c r="K909" s="14"/>
      <c r="L909" s="17"/>
      <c r="M909" s="19"/>
      <c r="N909" s="20"/>
      <c r="O909" s="19"/>
      <c r="P909" s="21"/>
      <c r="Q909" s="22" t="str">
        <f aca="false">IF(L909="","",IF(M909&lt;&gt;"",M909*L909*100,IF(AND(O909&lt;&gt;"",B909&lt;&gt;""),IFERROR(AVERAGEIF($B$5:$B$1004,B909,$M$5:$M$1004)*L909*100,""),"")))</f>
        <v/>
      </c>
      <c r="R909" s="22" t="str">
        <f aca="false">IF(AND(O909&lt;&gt;"",L909&lt;&gt;""),O909*L909*100,"")</f>
        <v/>
      </c>
      <c r="S909" s="23" t="str">
        <f aca="false">IF(AND(P909&lt;&gt;"",L909&lt;&gt;""),P909*L909*100,"")</f>
        <v/>
      </c>
      <c r="T909" s="24" t="str">
        <f aca="false">IF(AND(Q909&lt;&gt;"",R909&lt;&gt;""),R909-Q909,"")</f>
        <v/>
      </c>
      <c r="U909" s="25" t="str">
        <f aca="false">IF(AND(Q909&lt;&gt;"",Q909&lt;&gt;0,T909&lt;&gt;""),T909/Q909,"")</f>
        <v/>
      </c>
      <c r="V909" s="26" t="str">
        <f aca="false">IF(AND(S909&lt;&gt;"",Q909&lt;&gt;""),S909-Q909,"")</f>
        <v/>
      </c>
      <c r="W909" s="27" t="str">
        <f aca="false">IF(AND(Q909&lt;&gt;"",Q909&lt;&gt;0,V909&lt;&gt;""),V909/Q909,"")</f>
        <v/>
      </c>
      <c r="X909" s="28" t="s">
        <v>37</v>
      </c>
      <c r="Y909" s="29" t="str">
        <f aca="false">IF(AND(O909&lt;&gt;"",M909&lt;&gt;"",O909&gt;M909),CONCATENATE("1 : ",TEXT((O909-M909)/M909,"0.00")),IF(AND(O909&lt;&gt;"",M909&lt;&gt;"",O909&lt;M909),CONCATENATE("-1 : ",TEXT((M909-O909)/M909,"0.00")),"—"))</f>
        <v>—</v>
      </c>
      <c r="Z909" s="30" t="str">
        <f aca="false">IF(AND(P909&lt;&gt;"",M909&lt;&gt;"",P909&gt;M909),CONCATENATE("1 : ",TEXT((P909-M909)/M909,"0.00")),"—")</f>
        <v>—</v>
      </c>
      <c r="AA909" s="31" t="str">
        <f aca="false">IF(AND(C909&lt;&gt;"",E909&lt;&gt;""),E909-C909,"")</f>
        <v/>
      </c>
      <c r="AB909" s="17"/>
      <c r="AC909" s="32"/>
      <c r="AD909" s="33"/>
      <c r="AE909" s="34" t="str">
        <f aca="false">IF(G909&lt;&gt;"",HYPERLINK("https://www.tradingview.com/chart/?symbol="&amp;G909&amp;"&amp;interval=60&amp;from="&amp;(AG909-10*3600)&amp;"&amp;to="&amp;(AG909+50*3600),"📈 1H"),"")</f>
        <v/>
      </c>
      <c r="AF909" s="35" t="str">
        <f aca="false">IF(G909&lt;&gt;"",HYPERLINK("https://www.tradingview.com/chart/?symbol="&amp;G909&amp;"&amp;interval=240&amp;from="&amp;(AG909-10*14400)&amp;"&amp;to="&amp;(AG909+50*14400),"📈 4H"),"")</f>
        <v/>
      </c>
      <c r="AG909" s="36" t="str">
        <f aca="false">IF(C909&lt;&gt;"",INT((C909+IF(D909&lt;&gt;"",D909,0)-DATE(1970,1,1))*86400),"")</f>
        <v/>
      </c>
    </row>
    <row r="910" customFormat="false" ht="19.5" hidden="false" customHeight="true" outlineLevel="0" collapsed="false">
      <c r="A910" s="37" t="n">
        <f aca="false">ROW()-4</f>
        <v>906</v>
      </c>
      <c r="B910" s="38"/>
      <c r="C910" s="39"/>
      <c r="D910" s="40"/>
      <c r="E910" s="39"/>
      <c r="F910" s="40"/>
      <c r="G910" s="41"/>
      <c r="H910" s="42"/>
      <c r="I910" s="43"/>
      <c r="J910" s="44"/>
      <c r="K910" s="39"/>
      <c r="L910" s="42"/>
      <c r="M910" s="44"/>
      <c r="N910" s="45"/>
      <c r="O910" s="44"/>
      <c r="P910" s="46"/>
      <c r="Q910" s="47" t="str">
        <f aca="false">IF(L910="","",IF(M910&lt;&gt;"",M910*L910*100,IF(AND(O910&lt;&gt;"",B910&lt;&gt;""),IFERROR(AVERAGEIF($B$5:$B$1004,B910,$M$5:$M$1004)*L910*100,""),"")))</f>
        <v/>
      </c>
      <c r="R910" s="47" t="str">
        <f aca="false">IF(AND(O910&lt;&gt;"",L910&lt;&gt;""),O910*L910*100,"")</f>
        <v/>
      </c>
      <c r="S910" s="48" t="str">
        <f aca="false">IF(AND(P910&lt;&gt;"",L910&lt;&gt;""),P910*L910*100,"")</f>
        <v/>
      </c>
      <c r="T910" s="49" t="str">
        <f aca="false">IF(AND(Q910&lt;&gt;"",R910&lt;&gt;""),R910-Q910,"")</f>
        <v/>
      </c>
      <c r="U910" s="50" t="str">
        <f aca="false">IF(AND(Q910&lt;&gt;"",Q910&lt;&gt;0,T910&lt;&gt;""),T910/Q910,"")</f>
        <v/>
      </c>
      <c r="V910" s="51" t="str">
        <f aca="false">IF(AND(S910&lt;&gt;"",Q910&lt;&gt;""),S910-Q910,"")</f>
        <v/>
      </c>
      <c r="W910" s="52" t="str">
        <f aca="false">IF(AND(Q910&lt;&gt;"",Q910&lt;&gt;0,V910&lt;&gt;""),V910/Q910,"")</f>
        <v/>
      </c>
      <c r="X910" s="53" t="s">
        <v>37</v>
      </c>
      <c r="Y910" s="54" t="str">
        <f aca="false">IF(AND(O910&lt;&gt;"",M910&lt;&gt;"",O910&gt;M910),CONCATENATE("1 : ",TEXT((O910-M910)/M910,"0.00")),IF(AND(O910&lt;&gt;"",M910&lt;&gt;"",O910&lt;M910),CONCATENATE("-1 : ",TEXT((M910-O910)/M910,"0.00")),"—"))</f>
        <v>—</v>
      </c>
      <c r="Z910" s="55" t="str">
        <f aca="false">IF(AND(P910&lt;&gt;"",M910&lt;&gt;"",P910&gt;M910),CONCATENATE("1 : ",TEXT((P910-M910)/M910,"0.00")),"—")</f>
        <v>—</v>
      </c>
      <c r="AA910" s="56" t="str">
        <f aca="false">IF(AND(C910&lt;&gt;"",E910&lt;&gt;""),E910-C910,"")</f>
        <v/>
      </c>
      <c r="AB910" s="42"/>
      <c r="AC910" s="57"/>
      <c r="AD910" s="58"/>
      <c r="AE910" s="59" t="str">
        <f aca="false">IF(G910&lt;&gt;"",HYPERLINK("https://www.tradingview.com/chart/?symbol="&amp;G910&amp;"&amp;interval=60&amp;from="&amp;(AG910-10*3600)&amp;"&amp;to="&amp;(AG910+50*3600),"📈 1H"),"")</f>
        <v/>
      </c>
      <c r="AF910" s="60" t="str">
        <f aca="false">IF(G910&lt;&gt;"",HYPERLINK("https://www.tradingview.com/chart/?symbol="&amp;G910&amp;"&amp;interval=240&amp;from="&amp;(AG910-10*14400)&amp;"&amp;to="&amp;(AG910+50*14400),"📈 4H"),"")</f>
        <v/>
      </c>
      <c r="AG910" s="36" t="str">
        <f aca="false">IF(C910&lt;&gt;"",INT((C910+IF(D910&lt;&gt;"",D910,0)-DATE(1970,1,1))*86400),"")</f>
        <v/>
      </c>
    </row>
    <row r="911" customFormat="false" ht="19.5" hidden="false" customHeight="true" outlineLevel="0" collapsed="false">
      <c r="A911" s="12" t="n">
        <f aca="false">ROW()-4</f>
        <v>907</v>
      </c>
      <c r="B911" s="13"/>
      <c r="C911" s="14"/>
      <c r="D911" s="15"/>
      <c r="E911" s="14"/>
      <c r="F911" s="15"/>
      <c r="G911" s="16"/>
      <c r="H911" s="17"/>
      <c r="I911" s="18"/>
      <c r="J911" s="19"/>
      <c r="K911" s="14"/>
      <c r="L911" s="17"/>
      <c r="M911" s="19"/>
      <c r="N911" s="20"/>
      <c r="O911" s="19"/>
      <c r="P911" s="21"/>
      <c r="Q911" s="22" t="str">
        <f aca="false">IF(L911="","",IF(M911&lt;&gt;"",M911*L911*100,IF(AND(O911&lt;&gt;"",B911&lt;&gt;""),IFERROR(AVERAGEIF($B$5:$B$1004,B911,$M$5:$M$1004)*L911*100,""),"")))</f>
        <v/>
      </c>
      <c r="R911" s="22" t="str">
        <f aca="false">IF(AND(O911&lt;&gt;"",L911&lt;&gt;""),O911*L911*100,"")</f>
        <v/>
      </c>
      <c r="S911" s="23" t="str">
        <f aca="false">IF(AND(P911&lt;&gt;"",L911&lt;&gt;""),P911*L911*100,"")</f>
        <v/>
      </c>
      <c r="T911" s="24" t="str">
        <f aca="false">IF(AND(Q911&lt;&gt;"",R911&lt;&gt;""),R911-Q911,"")</f>
        <v/>
      </c>
      <c r="U911" s="25" t="str">
        <f aca="false">IF(AND(Q911&lt;&gt;"",Q911&lt;&gt;0,T911&lt;&gt;""),T911/Q911,"")</f>
        <v/>
      </c>
      <c r="V911" s="26" t="str">
        <f aca="false">IF(AND(S911&lt;&gt;"",Q911&lt;&gt;""),S911-Q911,"")</f>
        <v/>
      </c>
      <c r="W911" s="27" t="str">
        <f aca="false">IF(AND(Q911&lt;&gt;"",Q911&lt;&gt;0,V911&lt;&gt;""),V911/Q911,"")</f>
        <v/>
      </c>
      <c r="X911" s="28" t="s">
        <v>37</v>
      </c>
      <c r="Y911" s="29" t="str">
        <f aca="false">IF(AND(O911&lt;&gt;"",M911&lt;&gt;"",O911&gt;M911),CONCATENATE("1 : ",TEXT((O911-M911)/M911,"0.00")),IF(AND(O911&lt;&gt;"",M911&lt;&gt;"",O911&lt;M911),CONCATENATE("-1 : ",TEXT((M911-O911)/M911,"0.00")),"—"))</f>
        <v>—</v>
      </c>
      <c r="Z911" s="30" t="str">
        <f aca="false">IF(AND(P911&lt;&gt;"",M911&lt;&gt;"",P911&gt;M911),CONCATENATE("1 : ",TEXT((P911-M911)/M911,"0.00")),"—")</f>
        <v>—</v>
      </c>
      <c r="AA911" s="31" t="str">
        <f aca="false">IF(AND(C911&lt;&gt;"",E911&lt;&gt;""),E911-C911,"")</f>
        <v/>
      </c>
      <c r="AB911" s="17"/>
      <c r="AC911" s="32"/>
      <c r="AD911" s="33"/>
      <c r="AE911" s="34" t="str">
        <f aca="false">IF(G911&lt;&gt;"",HYPERLINK("https://www.tradingview.com/chart/?symbol="&amp;G911&amp;"&amp;interval=60&amp;from="&amp;(AG911-10*3600)&amp;"&amp;to="&amp;(AG911+50*3600),"📈 1H"),"")</f>
        <v/>
      </c>
      <c r="AF911" s="35" t="str">
        <f aca="false">IF(G911&lt;&gt;"",HYPERLINK("https://www.tradingview.com/chart/?symbol="&amp;G911&amp;"&amp;interval=240&amp;from="&amp;(AG911-10*14400)&amp;"&amp;to="&amp;(AG911+50*14400),"📈 4H"),"")</f>
        <v/>
      </c>
      <c r="AG911" s="36" t="str">
        <f aca="false">IF(C911&lt;&gt;"",INT((C911+IF(D911&lt;&gt;"",D911,0)-DATE(1970,1,1))*86400),"")</f>
        <v/>
      </c>
    </row>
    <row r="912" customFormat="false" ht="19.5" hidden="false" customHeight="true" outlineLevel="0" collapsed="false">
      <c r="A912" s="37" t="n">
        <f aca="false">ROW()-4</f>
        <v>908</v>
      </c>
      <c r="B912" s="38"/>
      <c r="C912" s="39"/>
      <c r="D912" s="40"/>
      <c r="E912" s="39"/>
      <c r="F912" s="40"/>
      <c r="G912" s="41"/>
      <c r="H912" s="42"/>
      <c r="I912" s="43"/>
      <c r="J912" s="44"/>
      <c r="K912" s="39"/>
      <c r="L912" s="42"/>
      <c r="M912" s="44"/>
      <c r="N912" s="45"/>
      <c r="O912" s="44"/>
      <c r="P912" s="46"/>
      <c r="Q912" s="47" t="str">
        <f aca="false">IF(L912="","",IF(M912&lt;&gt;"",M912*L912*100,IF(AND(O912&lt;&gt;"",B912&lt;&gt;""),IFERROR(AVERAGEIF($B$5:$B$1004,B912,$M$5:$M$1004)*L912*100,""),"")))</f>
        <v/>
      </c>
      <c r="R912" s="47" t="str">
        <f aca="false">IF(AND(O912&lt;&gt;"",L912&lt;&gt;""),O912*L912*100,"")</f>
        <v/>
      </c>
      <c r="S912" s="48" t="str">
        <f aca="false">IF(AND(P912&lt;&gt;"",L912&lt;&gt;""),P912*L912*100,"")</f>
        <v/>
      </c>
      <c r="T912" s="49" t="str">
        <f aca="false">IF(AND(Q912&lt;&gt;"",R912&lt;&gt;""),R912-Q912,"")</f>
        <v/>
      </c>
      <c r="U912" s="50" t="str">
        <f aca="false">IF(AND(Q912&lt;&gt;"",Q912&lt;&gt;0,T912&lt;&gt;""),T912/Q912,"")</f>
        <v/>
      </c>
      <c r="V912" s="51" t="str">
        <f aca="false">IF(AND(S912&lt;&gt;"",Q912&lt;&gt;""),S912-Q912,"")</f>
        <v/>
      </c>
      <c r="W912" s="52" t="str">
        <f aca="false">IF(AND(Q912&lt;&gt;"",Q912&lt;&gt;0,V912&lt;&gt;""),V912/Q912,"")</f>
        <v/>
      </c>
      <c r="X912" s="53" t="s">
        <v>37</v>
      </c>
      <c r="Y912" s="54" t="str">
        <f aca="false">IF(AND(O912&lt;&gt;"",M912&lt;&gt;"",O912&gt;M912),CONCATENATE("1 : ",TEXT((O912-M912)/M912,"0.00")),IF(AND(O912&lt;&gt;"",M912&lt;&gt;"",O912&lt;M912),CONCATENATE("-1 : ",TEXT((M912-O912)/M912,"0.00")),"—"))</f>
        <v>—</v>
      </c>
      <c r="Z912" s="55" t="str">
        <f aca="false">IF(AND(P912&lt;&gt;"",M912&lt;&gt;"",P912&gt;M912),CONCATENATE("1 : ",TEXT((P912-M912)/M912,"0.00")),"—")</f>
        <v>—</v>
      </c>
      <c r="AA912" s="56" t="str">
        <f aca="false">IF(AND(C912&lt;&gt;"",E912&lt;&gt;""),E912-C912,"")</f>
        <v/>
      </c>
      <c r="AB912" s="42"/>
      <c r="AC912" s="57"/>
      <c r="AD912" s="58"/>
      <c r="AE912" s="59" t="str">
        <f aca="false">IF(G912&lt;&gt;"",HYPERLINK("https://www.tradingview.com/chart/?symbol="&amp;G912&amp;"&amp;interval=60&amp;from="&amp;(AG912-10*3600)&amp;"&amp;to="&amp;(AG912+50*3600),"📈 1H"),"")</f>
        <v/>
      </c>
      <c r="AF912" s="60" t="str">
        <f aca="false">IF(G912&lt;&gt;"",HYPERLINK("https://www.tradingview.com/chart/?symbol="&amp;G912&amp;"&amp;interval=240&amp;from="&amp;(AG912-10*14400)&amp;"&amp;to="&amp;(AG912+50*14400),"📈 4H"),"")</f>
        <v/>
      </c>
      <c r="AG912" s="36" t="str">
        <f aca="false">IF(C912&lt;&gt;"",INT((C912+IF(D912&lt;&gt;"",D912,0)-DATE(1970,1,1))*86400),"")</f>
        <v/>
      </c>
    </row>
    <row r="913" customFormat="false" ht="19.5" hidden="false" customHeight="true" outlineLevel="0" collapsed="false">
      <c r="A913" s="12" t="n">
        <f aca="false">ROW()-4</f>
        <v>909</v>
      </c>
      <c r="B913" s="13"/>
      <c r="C913" s="14"/>
      <c r="D913" s="15"/>
      <c r="E913" s="14"/>
      <c r="F913" s="15"/>
      <c r="G913" s="16"/>
      <c r="H913" s="17"/>
      <c r="I913" s="18"/>
      <c r="J913" s="19"/>
      <c r="K913" s="14"/>
      <c r="L913" s="17"/>
      <c r="M913" s="19"/>
      <c r="N913" s="20"/>
      <c r="O913" s="19"/>
      <c r="P913" s="21"/>
      <c r="Q913" s="22" t="str">
        <f aca="false">IF(L913="","",IF(M913&lt;&gt;"",M913*L913*100,IF(AND(O913&lt;&gt;"",B913&lt;&gt;""),IFERROR(AVERAGEIF($B$5:$B$1004,B913,$M$5:$M$1004)*L913*100,""),"")))</f>
        <v/>
      </c>
      <c r="R913" s="22" t="str">
        <f aca="false">IF(AND(O913&lt;&gt;"",L913&lt;&gt;""),O913*L913*100,"")</f>
        <v/>
      </c>
      <c r="S913" s="23" t="str">
        <f aca="false">IF(AND(P913&lt;&gt;"",L913&lt;&gt;""),P913*L913*100,"")</f>
        <v/>
      </c>
      <c r="T913" s="24" t="str">
        <f aca="false">IF(AND(Q913&lt;&gt;"",R913&lt;&gt;""),R913-Q913,"")</f>
        <v/>
      </c>
      <c r="U913" s="25" t="str">
        <f aca="false">IF(AND(Q913&lt;&gt;"",Q913&lt;&gt;0,T913&lt;&gt;""),T913/Q913,"")</f>
        <v/>
      </c>
      <c r="V913" s="26" t="str">
        <f aca="false">IF(AND(S913&lt;&gt;"",Q913&lt;&gt;""),S913-Q913,"")</f>
        <v/>
      </c>
      <c r="W913" s="27" t="str">
        <f aca="false">IF(AND(Q913&lt;&gt;"",Q913&lt;&gt;0,V913&lt;&gt;""),V913/Q913,"")</f>
        <v/>
      </c>
      <c r="X913" s="28" t="s">
        <v>37</v>
      </c>
      <c r="Y913" s="29" t="str">
        <f aca="false">IF(AND(O913&lt;&gt;"",M913&lt;&gt;"",O913&gt;M913),CONCATENATE("1 : ",TEXT((O913-M913)/M913,"0.00")),IF(AND(O913&lt;&gt;"",M913&lt;&gt;"",O913&lt;M913),CONCATENATE("-1 : ",TEXT((M913-O913)/M913,"0.00")),"—"))</f>
        <v>—</v>
      </c>
      <c r="Z913" s="30" t="str">
        <f aca="false">IF(AND(P913&lt;&gt;"",M913&lt;&gt;"",P913&gt;M913),CONCATENATE("1 : ",TEXT((P913-M913)/M913,"0.00")),"—")</f>
        <v>—</v>
      </c>
      <c r="AA913" s="31" t="str">
        <f aca="false">IF(AND(C913&lt;&gt;"",E913&lt;&gt;""),E913-C913,"")</f>
        <v/>
      </c>
      <c r="AB913" s="17"/>
      <c r="AC913" s="32"/>
      <c r="AD913" s="33"/>
      <c r="AE913" s="34" t="str">
        <f aca="false">IF(G913&lt;&gt;"",HYPERLINK("https://www.tradingview.com/chart/?symbol="&amp;G913&amp;"&amp;interval=60&amp;from="&amp;(AG913-10*3600)&amp;"&amp;to="&amp;(AG913+50*3600),"📈 1H"),"")</f>
        <v/>
      </c>
      <c r="AF913" s="35" t="str">
        <f aca="false">IF(G913&lt;&gt;"",HYPERLINK("https://www.tradingview.com/chart/?symbol="&amp;G913&amp;"&amp;interval=240&amp;from="&amp;(AG913-10*14400)&amp;"&amp;to="&amp;(AG913+50*14400),"📈 4H"),"")</f>
        <v/>
      </c>
      <c r="AG913" s="36" t="str">
        <f aca="false">IF(C913&lt;&gt;"",INT((C913+IF(D913&lt;&gt;"",D913,0)-DATE(1970,1,1))*86400),"")</f>
        <v/>
      </c>
    </row>
    <row r="914" customFormat="false" ht="19.5" hidden="false" customHeight="true" outlineLevel="0" collapsed="false">
      <c r="A914" s="37" t="n">
        <f aca="false">ROW()-4</f>
        <v>910</v>
      </c>
      <c r="B914" s="38"/>
      <c r="C914" s="39"/>
      <c r="D914" s="40"/>
      <c r="E914" s="39"/>
      <c r="F914" s="40"/>
      <c r="G914" s="41"/>
      <c r="H914" s="42"/>
      <c r="I914" s="43"/>
      <c r="J914" s="44"/>
      <c r="K914" s="39"/>
      <c r="L914" s="42"/>
      <c r="M914" s="44"/>
      <c r="N914" s="45"/>
      <c r="O914" s="44"/>
      <c r="P914" s="46"/>
      <c r="Q914" s="47" t="str">
        <f aca="false">IF(L914="","",IF(M914&lt;&gt;"",M914*L914*100,IF(AND(O914&lt;&gt;"",B914&lt;&gt;""),IFERROR(AVERAGEIF($B$5:$B$1004,B914,$M$5:$M$1004)*L914*100,""),"")))</f>
        <v/>
      </c>
      <c r="R914" s="47" t="str">
        <f aca="false">IF(AND(O914&lt;&gt;"",L914&lt;&gt;""),O914*L914*100,"")</f>
        <v/>
      </c>
      <c r="S914" s="48" t="str">
        <f aca="false">IF(AND(P914&lt;&gt;"",L914&lt;&gt;""),P914*L914*100,"")</f>
        <v/>
      </c>
      <c r="T914" s="49" t="str">
        <f aca="false">IF(AND(Q914&lt;&gt;"",R914&lt;&gt;""),R914-Q914,"")</f>
        <v/>
      </c>
      <c r="U914" s="50" t="str">
        <f aca="false">IF(AND(Q914&lt;&gt;"",Q914&lt;&gt;0,T914&lt;&gt;""),T914/Q914,"")</f>
        <v/>
      </c>
      <c r="V914" s="51" t="str">
        <f aca="false">IF(AND(S914&lt;&gt;"",Q914&lt;&gt;""),S914-Q914,"")</f>
        <v/>
      </c>
      <c r="W914" s="52" t="str">
        <f aca="false">IF(AND(Q914&lt;&gt;"",Q914&lt;&gt;0,V914&lt;&gt;""),V914/Q914,"")</f>
        <v/>
      </c>
      <c r="X914" s="53" t="s">
        <v>37</v>
      </c>
      <c r="Y914" s="54" t="str">
        <f aca="false">IF(AND(O914&lt;&gt;"",M914&lt;&gt;"",O914&gt;M914),CONCATENATE("1 : ",TEXT((O914-M914)/M914,"0.00")),IF(AND(O914&lt;&gt;"",M914&lt;&gt;"",O914&lt;M914),CONCATENATE("-1 : ",TEXT((M914-O914)/M914,"0.00")),"—"))</f>
        <v>—</v>
      </c>
      <c r="Z914" s="55" t="str">
        <f aca="false">IF(AND(P914&lt;&gt;"",M914&lt;&gt;"",P914&gt;M914),CONCATENATE("1 : ",TEXT((P914-M914)/M914,"0.00")),"—")</f>
        <v>—</v>
      </c>
      <c r="AA914" s="56" t="str">
        <f aca="false">IF(AND(C914&lt;&gt;"",E914&lt;&gt;""),E914-C914,"")</f>
        <v/>
      </c>
      <c r="AB914" s="42"/>
      <c r="AC914" s="57"/>
      <c r="AD914" s="58"/>
      <c r="AE914" s="59" t="str">
        <f aca="false">IF(G914&lt;&gt;"",HYPERLINK("https://www.tradingview.com/chart/?symbol="&amp;G914&amp;"&amp;interval=60&amp;from="&amp;(AG914-10*3600)&amp;"&amp;to="&amp;(AG914+50*3600),"📈 1H"),"")</f>
        <v/>
      </c>
      <c r="AF914" s="60" t="str">
        <f aca="false">IF(G914&lt;&gt;"",HYPERLINK("https://www.tradingview.com/chart/?symbol="&amp;G914&amp;"&amp;interval=240&amp;from="&amp;(AG914-10*14400)&amp;"&amp;to="&amp;(AG914+50*14400),"📈 4H"),"")</f>
        <v/>
      </c>
      <c r="AG914" s="36" t="str">
        <f aca="false">IF(C914&lt;&gt;"",INT((C914+IF(D914&lt;&gt;"",D914,0)-DATE(1970,1,1))*86400),"")</f>
        <v/>
      </c>
    </row>
    <row r="915" customFormat="false" ht="19.5" hidden="false" customHeight="true" outlineLevel="0" collapsed="false">
      <c r="A915" s="12" t="n">
        <f aca="false">ROW()-4</f>
        <v>911</v>
      </c>
      <c r="B915" s="13"/>
      <c r="C915" s="14"/>
      <c r="D915" s="15"/>
      <c r="E915" s="14"/>
      <c r="F915" s="15"/>
      <c r="G915" s="16"/>
      <c r="H915" s="17"/>
      <c r="I915" s="18"/>
      <c r="J915" s="19"/>
      <c r="K915" s="14"/>
      <c r="L915" s="17"/>
      <c r="M915" s="19"/>
      <c r="N915" s="20"/>
      <c r="O915" s="19"/>
      <c r="P915" s="21"/>
      <c r="Q915" s="22" t="str">
        <f aca="false">IF(L915="","",IF(M915&lt;&gt;"",M915*L915*100,IF(AND(O915&lt;&gt;"",B915&lt;&gt;""),IFERROR(AVERAGEIF($B$5:$B$1004,B915,$M$5:$M$1004)*L915*100,""),"")))</f>
        <v/>
      </c>
      <c r="R915" s="22" t="str">
        <f aca="false">IF(AND(O915&lt;&gt;"",L915&lt;&gt;""),O915*L915*100,"")</f>
        <v/>
      </c>
      <c r="S915" s="23" t="str">
        <f aca="false">IF(AND(P915&lt;&gt;"",L915&lt;&gt;""),P915*L915*100,"")</f>
        <v/>
      </c>
      <c r="T915" s="24" t="str">
        <f aca="false">IF(AND(Q915&lt;&gt;"",R915&lt;&gt;""),R915-Q915,"")</f>
        <v/>
      </c>
      <c r="U915" s="25" t="str">
        <f aca="false">IF(AND(Q915&lt;&gt;"",Q915&lt;&gt;0,T915&lt;&gt;""),T915/Q915,"")</f>
        <v/>
      </c>
      <c r="V915" s="26" t="str">
        <f aca="false">IF(AND(S915&lt;&gt;"",Q915&lt;&gt;""),S915-Q915,"")</f>
        <v/>
      </c>
      <c r="W915" s="27" t="str">
        <f aca="false">IF(AND(Q915&lt;&gt;"",Q915&lt;&gt;0,V915&lt;&gt;""),V915/Q915,"")</f>
        <v/>
      </c>
      <c r="X915" s="28" t="s">
        <v>37</v>
      </c>
      <c r="Y915" s="29" t="str">
        <f aca="false">IF(AND(O915&lt;&gt;"",M915&lt;&gt;"",O915&gt;M915),CONCATENATE("1 : ",TEXT((O915-M915)/M915,"0.00")),IF(AND(O915&lt;&gt;"",M915&lt;&gt;"",O915&lt;M915),CONCATENATE("-1 : ",TEXT((M915-O915)/M915,"0.00")),"—"))</f>
        <v>—</v>
      </c>
      <c r="Z915" s="30" t="str">
        <f aca="false">IF(AND(P915&lt;&gt;"",M915&lt;&gt;"",P915&gt;M915),CONCATENATE("1 : ",TEXT((P915-M915)/M915,"0.00")),"—")</f>
        <v>—</v>
      </c>
      <c r="AA915" s="31" t="str">
        <f aca="false">IF(AND(C915&lt;&gt;"",E915&lt;&gt;""),E915-C915,"")</f>
        <v/>
      </c>
      <c r="AB915" s="17"/>
      <c r="AC915" s="32"/>
      <c r="AD915" s="33"/>
      <c r="AE915" s="34" t="str">
        <f aca="false">IF(G915&lt;&gt;"",HYPERLINK("https://www.tradingview.com/chart/?symbol="&amp;G915&amp;"&amp;interval=60&amp;from="&amp;(AG915-10*3600)&amp;"&amp;to="&amp;(AG915+50*3600),"📈 1H"),"")</f>
        <v/>
      </c>
      <c r="AF915" s="35" t="str">
        <f aca="false">IF(G915&lt;&gt;"",HYPERLINK("https://www.tradingview.com/chart/?symbol="&amp;G915&amp;"&amp;interval=240&amp;from="&amp;(AG915-10*14400)&amp;"&amp;to="&amp;(AG915+50*14400),"📈 4H"),"")</f>
        <v/>
      </c>
      <c r="AG915" s="36" t="str">
        <f aca="false">IF(C915&lt;&gt;"",INT((C915+IF(D915&lt;&gt;"",D915,0)-DATE(1970,1,1))*86400),"")</f>
        <v/>
      </c>
    </row>
    <row r="916" customFormat="false" ht="19.5" hidden="false" customHeight="true" outlineLevel="0" collapsed="false">
      <c r="A916" s="37" t="n">
        <f aca="false">ROW()-4</f>
        <v>912</v>
      </c>
      <c r="B916" s="38"/>
      <c r="C916" s="39"/>
      <c r="D916" s="40"/>
      <c r="E916" s="39"/>
      <c r="F916" s="40"/>
      <c r="G916" s="41"/>
      <c r="H916" s="42"/>
      <c r="I916" s="43"/>
      <c r="J916" s="44"/>
      <c r="K916" s="39"/>
      <c r="L916" s="42"/>
      <c r="M916" s="44"/>
      <c r="N916" s="45"/>
      <c r="O916" s="44"/>
      <c r="P916" s="46"/>
      <c r="Q916" s="47" t="str">
        <f aca="false">IF(L916="","",IF(M916&lt;&gt;"",M916*L916*100,IF(AND(O916&lt;&gt;"",B916&lt;&gt;""),IFERROR(AVERAGEIF($B$5:$B$1004,B916,$M$5:$M$1004)*L916*100,""),"")))</f>
        <v/>
      </c>
      <c r="R916" s="47" t="str">
        <f aca="false">IF(AND(O916&lt;&gt;"",L916&lt;&gt;""),O916*L916*100,"")</f>
        <v/>
      </c>
      <c r="S916" s="48" t="str">
        <f aca="false">IF(AND(P916&lt;&gt;"",L916&lt;&gt;""),P916*L916*100,"")</f>
        <v/>
      </c>
      <c r="T916" s="49" t="str">
        <f aca="false">IF(AND(Q916&lt;&gt;"",R916&lt;&gt;""),R916-Q916,"")</f>
        <v/>
      </c>
      <c r="U916" s="50" t="str">
        <f aca="false">IF(AND(Q916&lt;&gt;"",Q916&lt;&gt;0,T916&lt;&gt;""),T916/Q916,"")</f>
        <v/>
      </c>
      <c r="V916" s="51" t="str">
        <f aca="false">IF(AND(S916&lt;&gt;"",Q916&lt;&gt;""),S916-Q916,"")</f>
        <v/>
      </c>
      <c r="W916" s="52" t="str">
        <f aca="false">IF(AND(Q916&lt;&gt;"",Q916&lt;&gt;0,V916&lt;&gt;""),V916/Q916,"")</f>
        <v/>
      </c>
      <c r="X916" s="53" t="s">
        <v>37</v>
      </c>
      <c r="Y916" s="54" t="str">
        <f aca="false">IF(AND(O916&lt;&gt;"",M916&lt;&gt;"",O916&gt;M916),CONCATENATE("1 : ",TEXT((O916-M916)/M916,"0.00")),IF(AND(O916&lt;&gt;"",M916&lt;&gt;"",O916&lt;M916),CONCATENATE("-1 : ",TEXT((M916-O916)/M916,"0.00")),"—"))</f>
        <v>—</v>
      </c>
      <c r="Z916" s="55" t="str">
        <f aca="false">IF(AND(P916&lt;&gt;"",M916&lt;&gt;"",P916&gt;M916),CONCATENATE("1 : ",TEXT((P916-M916)/M916,"0.00")),"—")</f>
        <v>—</v>
      </c>
      <c r="AA916" s="56" t="str">
        <f aca="false">IF(AND(C916&lt;&gt;"",E916&lt;&gt;""),E916-C916,"")</f>
        <v/>
      </c>
      <c r="AB916" s="42"/>
      <c r="AC916" s="57"/>
      <c r="AD916" s="58"/>
      <c r="AE916" s="59" t="str">
        <f aca="false">IF(G916&lt;&gt;"",HYPERLINK("https://www.tradingview.com/chart/?symbol="&amp;G916&amp;"&amp;interval=60&amp;from="&amp;(AG916-10*3600)&amp;"&amp;to="&amp;(AG916+50*3600),"📈 1H"),"")</f>
        <v/>
      </c>
      <c r="AF916" s="60" t="str">
        <f aca="false">IF(G916&lt;&gt;"",HYPERLINK("https://www.tradingview.com/chart/?symbol="&amp;G916&amp;"&amp;interval=240&amp;from="&amp;(AG916-10*14400)&amp;"&amp;to="&amp;(AG916+50*14400),"📈 4H"),"")</f>
        <v/>
      </c>
      <c r="AG916" s="36" t="str">
        <f aca="false">IF(C916&lt;&gt;"",INT((C916+IF(D916&lt;&gt;"",D916,0)-DATE(1970,1,1))*86400),"")</f>
        <v/>
      </c>
    </row>
    <row r="917" customFormat="false" ht="19.5" hidden="false" customHeight="true" outlineLevel="0" collapsed="false">
      <c r="A917" s="12" t="n">
        <f aca="false">ROW()-4</f>
        <v>913</v>
      </c>
      <c r="B917" s="13"/>
      <c r="C917" s="14"/>
      <c r="D917" s="15"/>
      <c r="E917" s="14"/>
      <c r="F917" s="15"/>
      <c r="G917" s="16"/>
      <c r="H917" s="17"/>
      <c r="I917" s="18"/>
      <c r="J917" s="19"/>
      <c r="K917" s="14"/>
      <c r="L917" s="17"/>
      <c r="M917" s="19"/>
      <c r="N917" s="20"/>
      <c r="O917" s="19"/>
      <c r="P917" s="21"/>
      <c r="Q917" s="22" t="str">
        <f aca="false">IF(L917="","",IF(M917&lt;&gt;"",M917*L917*100,IF(AND(O917&lt;&gt;"",B917&lt;&gt;""),IFERROR(AVERAGEIF($B$5:$B$1004,B917,$M$5:$M$1004)*L917*100,""),"")))</f>
        <v/>
      </c>
      <c r="R917" s="22" t="str">
        <f aca="false">IF(AND(O917&lt;&gt;"",L917&lt;&gt;""),O917*L917*100,"")</f>
        <v/>
      </c>
      <c r="S917" s="23" t="str">
        <f aca="false">IF(AND(P917&lt;&gt;"",L917&lt;&gt;""),P917*L917*100,"")</f>
        <v/>
      </c>
      <c r="T917" s="24" t="str">
        <f aca="false">IF(AND(Q917&lt;&gt;"",R917&lt;&gt;""),R917-Q917,"")</f>
        <v/>
      </c>
      <c r="U917" s="25" t="str">
        <f aca="false">IF(AND(Q917&lt;&gt;"",Q917&lt;&gt;0,T917&lt;&gt;""),T917/Q917,"")</f>
        <v/>
      </c>
      <c r="V917" s="26" t="str">
        <f aca="false">IF(AND(S917&lt;&gt;"",Q917&lt;&gt;""),S917-Q917,"")</f>
        <v/>
      </c>
      <c r="W917" s="27" t="str">
        <f aca="false">IF(AND(Q917&lt;&gt;"",Q917&lt;&gt;0,V917&lt;&gt;""),V917/Q917,"")</f>
        <v/>
      </c>
      <c r="X917" s="28" t="s">
        <v>37</v>
      </c>
      <c r="Y917" s="29" t="str">
        <f aca="false">IF(AND(O917&lt;&gt;"",M917&lt;&gt;"",O917&gt;M917),CONCATENATE("1 : ",TEXT((O917-M917)/M917,"0.00")),IF(AND(O917&lt;&gt;"",M917&lt;&gt;"",O917&lt;M917),CONCATENATE("-1 : ",TEXT((M917-O917)/M917,"0.00")),"—"))</f>
        <v>—</v>
      </c>
      <c r="Z917" s="30" t="str">
        <f aca="false">IF(AND(P917&lt;&gt;"",M917&lt;&gt;"",P917&gt;M917),CONCATENATE("1 : ",TEXT((P917-M917)/M917,"0.00")),"—")</f>
        <v>—</v>
      </c>
      <c r="AA917" s="31" t="str">
        <f aca="false">IF(AND(C917&lt;&gt;"",E917&lt;&gt;""),E917-C917,"")</f>
        <v/>
      </c>
      <c r="AB917" s="17"/>
      <c r="AC917" s="32"/>
      <c r="AD917" s="33"/>
      <c r="AE917" s="34" t="str">
        <f aca="false">IF(G917&lt;&gt;"",HYPERLINK("https://www.tradingview.com/chart/?symbol="&amp;G917&amp;"&amp;interval=60&amp;from="&amp;(AG917-10*3600)&amp;"&amp;to="&amp;(AG917+50*3600),"📈 1H"),"")</f>
        <v/>
      </c>
      <c r="AF917" s="35" t="str">
        <f aca="false">IF(G917&lt;&gt;"",HYPERLINK("https://www.tradingview.com/chart/?symbol="&amp;G917&amp;"&amp;interval=240&amp;from="&amp;(AG917-10*14400)&amp;"&amp;to="&amp;(AG917+50*14400),"📈 4H"),"")</f>
        <v/>
      </c>
      <c r="AG917" s="36" t="str">
        <f aca="false">IF(C917&lt;&gt;"",INT((C917+IF(D917&lt;&gt;"",D917,0)-DATE(1970,1,1))*86400),"")</f>
        <v/>
      </c>
    </row>
    <row r="918" customFormat="false" ht="19.5" hidden="false" customHeight="true" outlineLevel="0" collapsed="false">
      <c r="A918" s="37" t="n">
        <f aca="false">ROW()-4</f>
        <v>914</v>
      </c>
      <c r="B918" s="38"/>
      <c r="C918" s="39"/>
      <c r="D918" s="40"/>
      <c r="E918" s="39"/>
      <c r="F918" s="40"/>
      <c r="G918" s="41"/>
      <c r="H918" s="42"/>
      <c r="I918" s="43"/>
      <c r="J918" s="44"/>
      <c r="K918" s="39"/>
      <c r="L918" s="42"/>
      <c r="M918" s="44"/>
      <c r="N918" s="45"/>
      <c r="O918" s="44"/>
      <c r="P918" s="46"/>
      <c r="Q918" s="47" t="str">
        <f aca="false">IF(L918="","",IF(M918&lt;&gt;"",M918*L918*100,IF(AND(O918&lt;&gt;"",B918&lt;&gt;""),IFERROR(AVERAGEIF($B$5:$B$1004,B918,$M$5:$M$1004)*L918*100,""),"")))</f>
        <v/>
      </c>
      <c r="R918" s="47" t="str">
        <f aca="false">IF(AND(O918&lt;&gt;"",L918&lt;&gt;""),O918*L918*100,"")</f>
        <v/>
      </c>
      <c r="S918" s="48" t="str">
        <f aca="false">IF(AND(P918&lt;&gt;"",L918&lt;&gt;""),P918*L918*100,"")</f>
        <v/>
      </c>
      <c r="T918" s="49" t="str">
        <f aca="false">IF(AND(Q918&lt;&gt;"",R918&lt;&gt;""),R918-Q918,"")</f>
        <v/>
      </c>
      <c r="U918" s="50" t="str">
        <f aca="false">IF(AND(Q918&lt;&gt;"",Q918&lt;&gt;0,T918&lt;&gt;""),T918/Q918,"")</f>
        <v/>
      </c>
      <c r="V918" s="51" t="str">
        <f aca="false">IF(AND(S918&lt;&gt;"",Q918&lt;&gt;""),S918-Q918,"")</f>
        <v/>
      </c>
      <c r="W918" s="52" t="str">
        <f aca="false">IF(AND(Q918&lt;&gt;"",Q918&lt;&gt;0,V918&lt;&gt;""),V918/Q918,"")</f>
        <v/>
      </c>
      <c r="X918" s="53" t="s">
        <v>37</v>
      </c>
      <c r="Y918" s="54" t="str">
        <f aca="false">IF(AND(O918&lt;&gt;"",M918&lt;&gt;"",O918&gt;M918),CONCATENATE("1 : ",TEXT((O918-M918)/M918,"0.00")),IF(AND(O918&lt;&gt;"",M918&lt;&gt;"",O918&lt;M918),CONCATENATE("-1 : ",TEXT((M918-O918)/M918,"0.00")),"—"))</f>
        <v>—</v>
      </c>
      <c r="Z918" s="55" t="str">
        <f aca="false">IF(AND(P918&lt;&gt;"",M918&lt;&gt;"",P918&gt;M918),CONCATENATE("1 : ",TEXT((P918-M918)/M918,"0.00")),"—")</f>
        <v>—</v>
      </c>
      <c r="AA918" s="56" t="str">
        <f aca="false">IF(AND(C918&lt;&gt;"",E918&lt;&gt;""),E918-C918,"")</f>
        <v/>
      </c>
      <c r="AB918" s="42"/>
      <c r="AC918" s="57"/>
      <c r="AD918" s="58"/>
      <c r="AE918" s="59" t="str">
        <f aca="false">IF(G918&lt;&gt;"",HYPERLINK("https://www.tradingview.com/chart/?symbol="&amp;G918&amp;"&amp;interval=60&amp;from="&amp;(AG918-10*3600)&amp;"&amp;to="&amp;(AG918+50*3600),"📈 1H"),"")</f>
        <v/>
      </c>
      <c r="AF918" s="60" t="str">
        <f aca="false">IF(G918&lt;&gt;"",HYPERLINK("https://www.tradingview.com/chart/?symbol="&amp;G918&amp;"&amp;interval=240&amp;from="&amp;(AG918-10*14400)&amp;"&amp;to="&amp;(AG918+50*14400),"📈 4H"),"")</f>
        <v/>
      </c>
      <c r="AG918" s="36" t="str">
        <f aca="false">IF(C918&lt;&gt;"",INT((C918+IF(D918&lt;&gt;"",D918,0)-DATE(1970,1,1))*86400),"")</f>
        <v/>
      </c>
    </row>
    <row r="919" customFormat="false" ht="19.5" hidden="false" customHeight="true" outlineLevel="0" collapsed="false">
      <c r="A919" s="12" t="n">
        <f aca="false">ROW()-4</f>
        <v>915</v>
      </c>
      <c r="B919" s="13"/>
      <c r="C919" s="14"/>
      <c r="D919" s="15"/>
      <c r="E919" s="14"/>
      <c r="F919" s="15"/>
      <c r="G919" s="16"/>
      <c r="H919" s="17"/>
      <c r="I919" s="18"/>
      <c r="J919" s="19"/>
      <c r="K919" s="14"/>
      <c r="L919" s="17"/>
      <c r="M919" s="19"/>
      <c r="N919" s="20"/>
      <c r="O919" s="19"/>
      <c r="P919" s="21"/>
      <c r="Q919" s="22" t="str">
        <f aca="false">IF(L919="","",IF(M919&lt;&gt;"",M919*L919*100,IF(AND(O919&lt;&gt;"",B919&lt;&gt;""),IFERROR(AVERAGEIF($B$5:$B$1004,B919,$M$5:$M$1004)*L919*100,""),"")))</f>
        <v/>
      </c>
      <c r="R919" s="22" t="str">
        <f aca="false">IF(AND(O919&lt;&gt;"",L919&lt;&gt;""),O919*L919*100,"")</f>
        <v/>
      </c>
      <c r="S919" s="23" t="str">
        <f aca="false">IF(AND(P919&lt;&gt;"",L919&lt;&gt;""),P919*L919*100,"")</f>
        <v/>
      </c>
      <c r="T919" s="24" t="str">
        <f aca="false">IF(AND(Q919&lt;&gt;"",R919&lt;&gt;""),R919-Q919,"")</f>
        <v/>
      </c>
      <c r="U919" s="25" t="str">
        <f aca="false">IF(AND(Q919&lt;&gt;"",Q919&lt;&gt;0,T919&lt;&gt;""),T919/Q919,"")</f>
        <v/>
      </c>
      <c r="V919" s="26" t="str">
        <f aca="false">IF(AND(S919&lt;&gt;"",Q919&lt;&gt;""),S919-Q919,"")</f>
        <v/>
      </c>
      <c r="W919" s="27" t="str">
        <f aca="false">IF(AND(Q919&lt;&gt;"",Q919&lt;&gt;0,V919&lt;&gt;""),V919/Q919,"")</f>
        <v/>
      </c>
      <c r="X919" s="28" t="s">
        <v>37</v>
      </c>
      <c r="Y919" s="29" t="str">
        <f aca="false">IF(AND(O919&lt;&gt;"",M919&lt;&gt;"",O919&gt;M919),CONCATENATE("1 : ",TEXT((O919-M919)/M919,"0.00")),IF(AND(O919&lt;&gt;"",M919&lt;&gt;"",O919&lt;M919),CONCATENATE("-1 : ",TEXT((M919-O919)/M919,"0.00")),"—"))</f>
        <v>—</v>
      </c>
      <c r="Z919" s="30" t="str">
        <f aca="false">IF(AND(P919&lt;&gt;"",M919&lt;&gt;"",P919&gt;M919),CONCATENATE("1 : ",TEXT((P919-M919)/M919,"0.00")),"—")</f>
        <v>—</v>
      </c>
      <c r="AA919" s="31" t="str">
        <f aca="false">IF(AND(C919&lt;&gt;"",E919&lt;&gt;""),E919-C919,"")</f>
        <v/>
      </c>
      <c r="AB919" s="17"/>
      <c r="AC919" s="32"/>
      <c r="AD919" s="33"/>
      <c r="AE919" s="34" t="str">
        <f aca="false">IF(G919&lt;&gt;"",HYPERLINK("https://www.tradingview.com/chart/?symbol="&amp;G919&amp;"&amp;interval=60&amp;from="&amp;(AG919-10*3600)&amp;"&amp;to="&amp;(AG919+50*3600),"📈 1H"),"")</f>
        <v/>
      </c>
      <c r="AF919" s="35" t="str">
        <f aca="false">IF(G919&lt;&gt;"",HYPERLINK("https://www.tradingview.com/chart/?symbol="&amp;G919&amp;"&amp;interval=240&amp;from="&amp;(AG919-10*14400)&amp;"&amp;to="&amp;(AG919+50*14400),"📈 4H"),"")</f>
        <v/>
      </c>
      <c r="AG919" s="36" t="str">
        <f aca="false">IF(C919&lt;&gt;"",INT((C919+IF(D919&lt;&gt;"",D919,0)-DATE(1970,1,1))*86400),"")</f>
        <v/>
      </c>
    </row>
    <row r="920" customFormat="false" ht="19.5" hidden="false" customHeight="true" outlineLevel="0" collapsed="false">
      <c r="A920" s="37" t="n">
        <f aca="false">ROW()-4</f>
        <v>916</v>
      </c>
      <c r="B920" s="38"/>
      <c r="C920" s="39"/>
      <c r="D920" s="40"/>
      <c r="E920" s="39"/>
      <c r="F920" s="40"/>
      <c r="G920" s="41"/>
      <c r="H920" s="42"/>
      <c r="I920" s="43"/>
      <c r="J920" s="44"/>
      <c r="K920" s="39"/>
      <c r="L920" s="42"/>
      <c r="M920" s="44"/>
      <c r="N920" s="45"/>
      <c r="O920" s="44"/>
      <c r="P920" s="46"/>
      <c r="Q920" s="47" t="str">
        <f aca="false">IF(L920="","",IF(M920&lt;&gt;"",M920*L920*100,IF(AND(O920&lt;&gt;"",B920&lt;&gt;""),IFERROR(AVERAGEIF($B$5:$B$1004,B920,$M$5:$M$1004)*L920*100,""),"")))</f>
        <v/>
      </c>
      <c r="R920" s="47" t="str">
        <f aca="false">IF(AND(O920&lt;&gt;"",L920&lt;&gt;""),O920*L920*100,"")</f>
        <v/>
      </c>
      <c r="S920" s="48" t="str">
        <f aca="false">IF(AND(P920&lt;&gt;"",L920&lt;&gt;""),P920*L920*100,"")</f>
        <v/>
      </c>
      <c r="T920" s="49" t="str">
        <f aca="false">IF(AND(Q920&lt;&gt;"",R920&lt;&gt;""),R920-Q920,"")</f>
        <v/>
      </c>
      <c r="U920" s="50" t="str">
        <f aca="false">IF(AND(Q920&lt;&gt;"",Q920&lt;&gt;0,T920&lt;&gt;""),T920/Q920,"")</f>
        <v/>
      </c>
      <c r="V920" s="51" t="str">
        <f aca="false">IF(AND(S920&lt;&gt;"",Q920&lt;&gt;""),S920-Q920,"")</f>
        <v/>
      </c>
      <c r="W920" s="52" t="str">
        <f aca="false">IF(AND(Q920&lt;&gt;"",Q920&lt;&gt;0,V920&lt;&gt;""),V920/Q920,"")</f>
        <v/>
      </c>
      <c r="X920" s="53" t="s">
        <v>37</v>
      </c>
      <c r="Y920" s="54" t="str">
        <f aca="false">IF(AND(O920&lt;&gt;"",M920&lt;&gt;"",O920&gt;M920),CONCATENATE("1 : ",TEXT((O920-M920)/M920,"0.00")),IF(AND(O920&lt;&gt;"",M920&lt;&gt;"",O920&lt;M920),CONCATENATE("-1 : ",TEXT((M920-O920)/M920,"0.00")),"—"))</f>
        <v>—</v>
      </c>
      <c r="Z920" s="55" t="str">
        <f aca="false">IF(AND(P920&lt;&gt;"",M920&lt;&gt;"",P920&gt;M920),CONCATENATE("1 : ",TEXT((P920-M920)/M920,"0.00")),"—")</f>
        <v>—</v>
      </c>
      <c r="AA920" s="56" t="str">
        <f aca="false">IF(AND(C920&lt;&gt;"",E920&lt;&gt;""),E920-C920,"")</f>
        <v/>
      </c>
      <c r="AB920" s="42"/>
      <c r="AC920" s="57"/>
      <c r="AD920" s="58"/>
      <c r="AE920" s="59" t="str">
        <f aca="false">IF(G920&lt;&gt;"",HYPERLINK("https://www.tradingview.com/chart/?symbol="&amp;G920&amp;"&amp;interval=60&amp;from="&amp;(AG920-10*3600)&amp;"&amp;to="&amp;(AG920+50*3600),"📈 1H"),"")</f>
        <v/>
      </c>
      <c r="AF920" s="60" t="str">
        <f aca="false">IF(G920&lt;&gt;"",HYPERLINK("https://www.tradingview.com/chart/?symbol="&amp;G920&amp;"&amp;interval=240&amp;from="&amp;(AG920-10*14400)&amp;"&amp;to="&amp;(AG920+50*14400),"📈 4H"),"")</f>
        <v/>
      </c>
      <c r="AG920" s="36" t="str">
        <f aca="false">IF(C920&lt;&gt;"",INT((C920+IF(D920&lt;&gt;"",D920,0)-DATE(1970,1,1))*86400),"")</f>
        <v/>
      </c>
    </row>
    <row r="921" customFormat="false" ht="19.5" hidden="false" customHeight="true" outlineLevel="0" collapsed="false">
      <c r="A921" s="12" t="n">
        <f aca="false">ROW()-4</f>
        <v>917</v>
      </c>
      <c r="B921" s="13"/>
      <c r="C921" s="14"/>
      <c r="D921" s="15"/>
      <c r="E921" s="14"/>
      <c r="F921" s="15"/>
      <c r="G921" s="16"/>
      <c r="H921" s="17"/>
      <c r="I921" s="18"/>
      <c r="J921" s="19"/>
      <c r="K921" s="14"/>
      <c r="L921" s="17"/>
      <c r="M921" s="19"/>
      <c r="N921" s="20"/>
      <c r="O921" s="19"/>
      <c r="P921" s="21"/>
      <c r="Q921" s="22" t="str">
        <f aca="false">IF(L921="","",IF(M921&lt;&gt;"",M921*L921*100,IF(AND(O921&lt;&gt;"",B921&lt;&gt;""),IFERROR(AVERAGEIF($B$5:$B$1004,B921,$M$5:$M$1004)*L921*100,""),"")))</f>
        <v/>
      </c>
      <c r="R921" s="22" t="str">
        <f aca="false">IF(AND(O921&lt;&gt;"",L921&lt;&gt;""),O921*L921*100,"")</f>
        <v/>
      </c>
      <c r="S921" s="23" t="str">
        <f aca="false">IF(AND(P921&lt;&gt;"",L921&lt;&gt;""),P921*L921*100,"")</f>
        <v/>
      </c>
      <c r="T921" s="24" t="str">
        <f aca="false">IF(AND(Q921&lt;&gt;"",R921&lt;&gt;""),R921-Q921,"")</f>
        <v/>
      </c>
      <c r="U921" s="25" t="str">
        <f aca="false">IF(AND(Q921&lt;&gt;"",Q921&lt;&gt;0,T921&lt;&gt;""),T921/Q921,"")</f>
        <v/>
      </c>
      <c r="V921" s="26" t="str">
        <f aca="false">IF(AND(S921&lt;&gt;"",Q921&lt;&gt;""),S921-Q921,"")</f>
        <v/>
      </c>
      <c r="W921" s="27" t="str">
        <f aca="false">IF(AND(Q921&lt;&gt;"",Q921&lt;&gt;0,V921&lt;&gt;""),V921/Q921,"")</f>
        <v/>
      </c>
      <c r="X921" s="28" t="s">
        <v>37</v>
      </c>
      <c r="Y921" s="29" t="str">
        <f aca="false">IF(AND(O921&lt;&gt;"",M921&lt;&gt;"",O921&gt;M921),CONCATENATE("1 : ",TEXT((O921-M921)/M921,"0.00")),IF(AND(O921&lt;&gt;"",M921&lt;&gt;"",O921&lt;M921),CONCATENATE("-1 : ",TEXT((M921-O921)/M921,"0.00")),"—"))</f>
        <v>—</v>
      </c>
      <c r="Z921" s="30" t="str">
        <f aca="false">IF(AND(P921&lt;&gt;"",M921&lt;&gt;"",P921&gt;M921),CONCATENATE("1 : ",TEXT((P921-M921)/M921,"0.00")),"—")</f>
        <v>—</v>
      </c>
      <c r="AA921" s="31" t="str">
        <f aca="false">IF(AND(C921&lt;&gt;"",E921&lt;&gt;""),E921-C921,"")</f>
        <v/>
      </c>
      <c r="AB921" s="17"/>
      <c r="AC921" s="32"/>
      <c r="AD921" s="33"/>
      <c r="AE921" s="34" t="str">
        <f aca="false">IF(G921&lt;&gt;"",HYPERLINK("https://www.tradingview.com/chart/?symbol="&amp;G921&amp;"&amp;interval=60&amp;from="&amp;(AG921-10*3600)&amp;"&amp;to="&amp;(AG921+50*3600),"📈 1H"),"")</f>
        <v/>
      </c>
      <c r="AF921" s="35" t="str">
        <f aca="false">IF(G921&lt;&gt;"",HYPERLINK("https://www.tradingview.com/chart/?symbol="&amp;G921&amp;"&amp;interval=240&amp;from="&amp;(AG921-10*14400)&amp;"&amp;to="&amp;(AG921+50*14400),"📈 4H"),"")</f>
        <v/>
      </c>
      <c r="AG921" s="36" t="str">
        <f aca="false">IF(C921&lt;&gt;"",INT((C921+IF(D921&lt;&gt;"",D921,0)-DATE(1970,1,1))*86400),"")</f>
        <v/>
      </c>
    </row>
    <row r="922" customFormat="false" ht="19.5" hidden="false" customHeight="true" outlineLevel="0" collapsed="false">
      <c r="A922" s="37" t="n">
        <f aca="false">ROW()-4</f>
        <v>918</v>
      </c>
      <c r="B922" s="38"/>
      <c r="C922" s="39"/>
      <c r="D922" s="40"/>
      <c r="E922" s="39"/>
      <c r="F922" s="40"/>
      <c r="G922" s="41"/>
      <c r="H922" s="42"/>
      <c r="I922" s="43"/>
      <c r="J922" s="44"/>
      <c r="K922" s="39"/>
      <c r="L922" s="42"/>
      <c r="M922" s="44"/>
      <c r="N922" s="45"/>
      <c r="O922" s="44"/>
      <c r="P922" s="46"/>
      <c r="Q922" s="47" t="str">
        <f aca="false">IF(L922="","",IF(M922&lt;&gt;"",M922*L922*100,IF(AND(O922&lt;&gt;"",B922&lt;&gt;""),IFERROR(AVERAGEIF($B$5:$B$1004,B922,$M$5:$M$1004)*L922*100,""),"")))</f>
        <v/>
      </c>
      <c r="R922" s="47" t="str">
        <f aca="false">IF(AND(O922&lt;&gt;"",L922&lt;&gt;""),O922*L922*100,"")</f>
        <v/>
      </c>
      <c r="S922" s="48" t="str">
        <f aca="false">IF(AND(P922&lt;&gt;"",L922&lt;&gt;""),P922*L922*100,"")</f>
        <v/>
      </c>
      <c r="T922" s="49" t="str">
        <f aca="false">IF(AND(Q922&lt;&gt;"",R922&lt;&gt;""),R922-Q922,"")</f>
        <v/>
      </c>
      <c r="U922" s="50" t="str">
        <f aca="false">IF(AND(Q922&lt;&gt;"",Q922&lt;&gt;0,T922&lt;&gt;""),T922/Q922,"")</f>
        <v/>
      </c>
      <c r="V922" s="51" t="str">
        <f aca="false">IF(AND(S922&lt;&gt;"",Q922&lt;&gt;""),S922-Q922,"")</f>
        <v/>
      </c>
      <c r="W922" s="52" t="str">
        <f aca="false">IF(AND(Q922&lt;&gt;"",Q922&lt;&gt;0,V922&lt;&gt;""),V922/Q922,"")</f>
        <v/>
      </c>
      <c r="X922" s="53" t="s">
        <v>37</v>
      </c>
      <c r="Y922" s="54" t="str">
        <f aca="false">IF(AND(O922&lt;&gt;"",M922&lt;&gt;"",O922&gt;M922),CONCATENATE("1 : ",TEXT((O922-M922)/M922,"0.00")),IF(AND(O922&lt;&gt;"",M922&lt;&gt;"",O922&lt;M922),CONCATENATE("-1 : ",TEXT((M922-O922)/M922,"0.00")),"—"))</f>
        <v>—</v>
      </c>
      <c r="Z922" s="55" t="str">
        <f aca="false">IF(AND(P922&lt;&gt;"",M922&lt;&gt;"",P922&gt;M922),CONCATENATE("1 : ",TEXT((P922-M922)/M922,"0.00")),"—")</f>
        <v>—</v>
      </c>
      <c r="AA922" s="56" t="str">
        <f aca="false">IF(AND(C922&lt;&gt;"",E922&lt;&gt;""),E922-C922,"")</f>
        <v/>
      </c>
      <c r="AB922" s="42"/>
      <c r="AC922" s="57"/>
      <c r="AD922" s="58"/>
      <c r="AE922" s="59" t="str">
        <f aca="false">IF(G922&lt;&gt;"",HYPERLINK("https://www.tradingview.com/chart/?symbol="&amp;G922&amp;"&amp;interval=60&amp;from="&amp;(AG922-10*3600)&amp;"&amp;to="&amp;(AG922+50*3600),"📈 1H"),"")</f>
        <v/>
      </c>
      <c r="AF922" s="60" t="str">
        <f aca="false">IF(G922&lt;&gt;"",HYPERLINK("https://www.tradingview.com/chart/?symbol="&amp;G922&amp;"&amp;interval=240&amp;from="&amp;(AG922-10*14400)&amp;"&amp;to="&amp;(AG922+50*14400),"📈 4H"),"")</f>
        <v/>
      </c>
      <c r="AG922" s="36" t="str">
        <f aca="false">IF(C922&lt;&gt;"",INT((C922+IF(D922&lt;&gt;"",D922,0)-DATE(1970,1,1))*86400),"")</f>
        <v/>
      </c>
    </row>
    <row r="923" customFormat="false" ht="19.5" hidden="false" customHeight="true" outlineLevel="0" collapsed="false">
      <c r="A923" s="12" t="n">
        <f aca="false">ROW()-4</f>
        <v>919</v>
      </c>
      <c r="B923" s="13"/>
      <c r="C923" s="14"/>
      <c r="D923" s="15"/>
      <c r="E923" s="14"/>
      <c r="F923" s="15"/>
      <c r="G923" s="16"/>
      <c r="H923" s="17"/>
      <c r="I923" s="18"/>
      <c r="J923" s="19"/>
      <c r="K923" s="14"/>
      <c r="L923" s="17"/>
      <c r="M923" s="19"/>
      <c r="N923" s="20"/>
      <c r="O923" s="19"/>
      <c r="P923" s="21"/>
      <c r="Q923" s="22" t="str">
        <f aca="false">IF(L923="","",IF(M923&lt;&gt;"",M923*L923*100,IF(AND(O923&lt;&gt;"",B923&lt;&gt;""),IFERROR(AVERAGEIF($B$5:$B$1004,B923,$M$5:$M$1004)*L923*100,""),"")))</f>
        <v/>
      </c>
      <c r="R923" s="22" t="str">
        <f aca="false">IF(AND(O923&lt;&gt;"",L923&lt;&gt;""),O923*L923*100,"")</f>
        <v/>
      </c>
      <c r="S923" s="23" t="str">
        <f aca="false">IF(AND(P923&lt;&gt;"",L923&lt;&gt;""),P923*L923*100,"")</f>
        <v/>
      </c>
      <c r="T923" s="24" t="str">
        <f aca="false">IF(AND(Q923&lt;&gt;"",R923&lt;&gt;""),R923-Q923,"")</f>
        <v/>
      </c>
      <c r="U923" s="25" t="str">
        <f aca="false">IF(AND(Q923&lt;&gt;"",Q923&lt;&gt;0,T923&lt;&gt;""),T923/Q923,"")</f>
        <v/>
      </c>
      <c r="V923" s="26" t="str">
        <f aca="false">IF(AND(S923&lt;&gt;"",Q923&lt;&gt;""),S923-Q923,"")</f>
        <v/>
      </c>
      <c r="W923" s="27" t="str">
        <f aca="false">IF(AND(Q923&lt;&gt;"",Q923&lt;&gt;0,V923&lt;&gt;""),V923/Q923,"")</f>
        <v/>
      </c>
      <c r="X923" s="28" t="s">
        <v>37</v>
      </c>
      <c r="Y923" s="29" t="str">
        <f aca="false">IF(AND(O923&lt;&gt;"",M923&lt;&gt;"",O923&gt;M923),CONCATENATE("1 : ",TEXT((O923-M923)/M923,"0.00")),IF(AND(O923&lt;&gt;"",M923&lt;&gt;"",O923&lt;M923),CONCATENATE("-1 : ",TEXT((M923-O923)/M923,"0.00")),"—"))</f>
        <v>—</v>
      </c>
      <c r="Z923" s="30" t="str">
        <f aca="false">IF(AND(P923&lt;&gt;"",M923&lt;&gt;"",P923&gt;M923),CONCATENATE("1 : ",TEXT((P923-M923)/M923,"0.00")),"—")</f>
        <v>—</v>
      </c>
      <c r="AA923" s="31" t="str">
        <f aca="false">IF(AND(C923&lt;&gt;"",E923&lt;&gt;""),E923-C923,"")</f>
        <v/>
      </c>
      <c r="AB923" s="17"/>
      <c r="AC923" s="32"/>
      <c r="AD923" s="33"/>
      <c r="AE923" s="34" t="str">
        <f aca="false">IF(G923&lt;&gt;"",HYPERLINK("https://www.tradingview.com/chart/?symbol="&amp;G923&amp;"&amp;interval=60&amp;from="&amp;(AG923-10*3600)&amp;"&amp;to="&amp;(AG923+50*3600),"📈 1H"),"")</f>
        <v/>
      </c>
      <c r="AF923" s="35" t="str">
        <f aca="false">IF(G923&lt;&gt;"",HYPERLINK("https://www.tradingview.com/chart/?symbol="&amp;G923&amp;"&amp;interval=240&amp;from="&amp;(AG923-10*14400)&amp;"&amp;to="&amp;(AG923+50*14400),"📈 4H"),"")</f>
        <v/>
      </c>
      <c r="AG923" s="36" t="str">
        <f aca="false">IF(C923&lt;&gt;"",INT((C923+IF(D923&lt;&gt;"",D923,0)-DATE(1970,1,1))*86400),"")</f>
        <v/>
      </c>
    </row>
    <row r="924" customFormat="false" ht="19.5" hidden="false" customHeight="true" outlineLevel="0" collapsed="false">
      <c r="A924" s="37" t="n">
        <f aca="false">ROW()-4</f>
        <v>920</v>
      </c>
      <c r="B924" s="38"/>
      <c r="C924" s="39"/>
      <c r="D924" s="40"/>
      <c r="E924" s="39"/>
      <c r="F924" s="40"/>
      <c r="G924" s="41"/>
      <c r="H924" s="42"/>
      <c r="I924" s="43"/>
      <c r="J924" s="44"/>
      <c r="K924" s="39"/>
      <c r="L924" s="42"/>
      <c r="M924" s="44"/>
      <c r="N924" s="45"/>
      <c r="O924" s="44"/>
      <c r="P924" s="46"/>
      <c r="Q924" s="47" t="str">
        <f aca="false">IF(L924="","",IF(M924&lt;&gt;"",M924*L924*100,IF(AND(O924&lt;&gt;"",B924&lt;&gt;""),IFERROR(AVERAGEIF($B$5:$B$1004,B924,$M$5:$M$1004)*L924*100,""),"")))</f>
        <v/>
      </c>
      <c r="R924" s="47" t="str">
        <f aca="false">IF(AND(O924&lt;&gt;"",L924&lt;&gt;""),O924*L924*100,"")</f>
        <v/>
      </c>
      <c r="S924" s="48" t="str">
        <f aca="false">IF(AND(P924&lt;&gt;"",L924&lt;&gt;""),P924*L924*100,"")</f>
        <v/>
      </c>
      <c r="T924" s="49" t="str">
        <f aca="false">IF(AND(Q924&lt;&gt;"",R924&lt;&gt;""),R924-Q924,"")</f>
        <v/>
      </c>
      <c r="U924" s="50" t="str">
        <f aca="false">IF(AND(Q924&lt;&gt;"",Q924&lt;&gt;0,T924&lt;&gt;""),T924/Q924,"")</f>
        <v/>
      </c>
      <c r="V924" s="51" t="str">
        <f aca="false">IF(AND(S924&lt;&gt;"",Q924&lt;&gt;""),S924-Q924,"")</f>
        <v/>
      </c>
      <c r="W924" s="52" t="str">
        <f aca="false">IF(AND(Q924&lt;&gt;"",Q924&lt;&gt;0,V924&lt;&gt;""),V924/Q924,"")</f>
        <v/>
      </c>
      <c r="X924" s="53" t="s">
        <v>37</v>
      </c>
      <c r="Y924" s="54" t="str">
        <f aca="false">IF(AND(O924&lt;&gt;"",M924&lt;&gt;"",O924&gt;M924),CONCATENATE("1 : ",TEXT((O924-M924)/M924,"0.00")),IF(AND(O924&lt;&gt;"",M924&lt;&gt;"",O924&lt;M924),CONCATENATE("-1 : ",TEXT((M924-O924)/M924,"0.00")),"—"))</f>
        <v>—</v>
      </c>
      <c r="Z924" s="55" t="str">
        <f aca="false">IF(AND(P924&lt;&gt;"",M924&lt;&gt;"",P924&gt;M924),CONCATENATE("1 : ",TEXT((P924-M924)/M924,"0.00")),"—")</f>
        <v>—</v>
      </c>
      <c r="AA924" s="56" t="str">
        <f aca="false">IF(AND(C924&lt;&gt;"",E924&lt;&gt;""),E924-C924,"")</f>
        <v/>
      </c>
      <c r="AB924" s="42"/>
      <c r="AC924" s="57"/>
      <c r="AD924" s="58"/>
      <c r="AE924" s="59" t="str">
        <f aca="false">IF(G924&lt;&gt;"",HYPERLINK("https://www.tradingview.com/chart/?symbol="&amp;G924&amp;"&amp;interval=60&amp;from="&amp;(AG924-10*3600)&amp;"&amp;to="&amp;(AG924+50*3600),"📈 1H"),"")</f>
        <v/>
      </c>
      <c r="AF924" s="60" t="str">
        <f aca="false">IF(G924&lt;&gt;"",HYPERLINK("https://www.tradingview.com/chart/?symbol="&amp;G924&amp;"&amp;interval=240&amp;from="&amp;(AG924-10*14400)&amp;"&amp;to="&amp;(AG924+50*14400),"📈 4H"),"")</f>
        <v/>
      </c>
      <c r="AG924" s="36" t="str">
        <f aca="false">IF(C924&lt;&gt;"",INT((C924+IF(D924&lt;&gt;"",D924,0)-DATE(1970,1,1))*86400),"")</f>
        <v/>
      </c>
    </row>
    <row r="925" customFormat="false" ht="19.5" hidden="false" customHeight="true" outlineLevel="0" collapsed="false">
      <c r="A925" s="12" t="n">
        <f aca="false">ROW()-4</f>
        <v>921</v>
      </c>
      <c r="B925" s="13"/>
      <c r="C925" s="14"/>
      <c r="D925" s="15"/>
      <c r="E925" s="14"/>
      <c r="F925" s="15"/>
      <c r="G925" s="16"/>
      <c r="H925" s="17"/>
      <c r="I925" s="18"/>
      <c r="J925" s="19"/>
      <c r="K925" s="14"/>
      <c r="L925" s="17"/>
      <c r="M925" s="19"/>
      <c r="N925" s="20"/>
      <c r="O925" s="19"/>
      <c r="P925" s="21"/>
      <c r="Q925" s="22" t="str">
        <f aca="false">IF(L925="","",IF(M925&lt;&gt;"",M925*L925*100,IF(AND(O925&lt;&gt;"",B925&lt;&gt;""),IFERROR(AVERAGEIF($B$5:$B$1004,B925,$M$5:$M$1004)*L925*100,""),"")))</f>
        <v/>
      </c>
      <c r="R925" s="22" t="str">
        <f aca="false">IF(AND(O925&lt;&gt;"",L925&lt;&gt;""),O925*L925*100,"")</f>
        <v/>
      </c>
      <c r="S925" s="23" t="str">
        <f aca="false">IF(AND(P925&lt;&gt;"",L925&lt;&gt;""),P925*L925*100,"")</f>
        <v/>
      </c>
      <c r="T925" s="24" t="str">
        <f aca="false">IF(AND(Q925&lt;&gt;"",R925&lt;&gt;""),R925-Q925,"")</f>
        <v/>
      </c>
      <c r="U925" s="25" t="str">
        <f aca="false">IF(AND(Q925&lt;&gt;"",Q925&lt;&gt;0,T925&lt;&gt;""),T925/Q925,"")</f>
        <v/>
      </c>
      <c r="V925" s="26" t="str">
        <f aca="false">IF(AND(S925&lt;&gt;"",Q925&lt;&gt;""),S925-Q925,"")</f>
        <v/>
      </c>
      <c r="W925" s="27" t="str">
        <f aca="false">IF(AND(Q925&lt;&gt;"",Q925&lt;&gt;0,V925&lt;&gt;""),V925/Q925,"")</f>
        <v/>
      </c>
      <c r="X925" s="28" t="s">
        <v>37</v>
      </c>
      <c r="Y925" s="29" t="str">
        <f aca="false">IF(AND(O925&lt;&gt;"",M925&lt;&gt;"",O925&gt;M925),CONCATENATE("1 : ",TEXT((O925-M925)/M925,"0.00")),IF(AND(O925&lt;&gt;"",M925&lt;&gt;"",O925&lt;M925),CONCATENATE("-1 : ",TEXT((M925-O925)/M925,"0.00")),"—"))</f>
        <v>—</v>
      </c>
      <c r="Z925" s="30" t="str">
        <f aca="false">IF(AND(P925&lt;&gt;"",M925&lt;&gt;"",P925&gt;M925),CONCATENATE("1 : ",TEXT((P925-M925)/M925,"0.00")),"—")</f>
        <v>—</v>
      </c>
      <c r="AA925" s="31" t="str">
        <f aca="false">IF(AND(C925&lt;&gt;"",E925&lt;&gt;""),E925-C925,"")</f>
        <v/>
      </c>
      <c r="AB925" s="17"/>
      <c r="AC925" s="32"/>
      <c r="AD925" s="33"/>
      <c r="AE925" s="34" t="str">
        <f aca="false">IF(G925&lt;&gt;"",HYPERLINK("https://www.tradingview.com/chart/?symbol="&amp;G925&amp;"&amp;interval=60&amp;from="&amp;(AG925-10*3600)&amp;"&amp;to="&amp;(AG925+50*3600),"📈 1H"),"")</f>
        <v/>
      </c>
      <c r="AF925" s="35" t="str">
        <f aca="false">IF(G925&lt;&gt;"",HYPERLINK("https://www.tradingview.com/chart/?symbol="&amp;G925&amp;"&amp;interval=240&amp;from="&amp;(AG925-10*14400)&amp;"&amp;to="&amp;(AG925+50*14400),"📈 4H"),"")</f>
        <v/>
      </c>
      <c r="AG925" s="36" t="str">
        <f aca="false">IF(C925&lt;&gt;"",INT((C925+IF(D925&lt;&gt;"",D925,0)-DATE(1970,1,1))*86400),"")</f>
        <v/>
      </c>
    </row>
    <row r="926" customFormat="false" ht="19.5" hidden="false" customHeight="true" outlineLevel="0" collapsed="false">
      <c r="A926" s="37" t="n">
        <f aca="false">ROW()-4</f>
        <v>922</v>
      </c>
      <c r="B926" s="38"/>
      <c r="C926" s="39"/>
      <c r="D926" s="40"/>
      <c r="E926" s="39"/>
      <c r="F926" s="40"/>
      <c r="G926" s="41"/>
      <c r="H926" s="42"/>
      <c r="I926" s="43"/>
      <c r="J926" s="44"/>
      <c r="K926" s="39"/>
      <c r="L926" s="42"/>
      <c r="M926" s="44"/>
      <c r="N926" s="45"/>
      <c r="O926" s="44"/>
      <c r="P926" s="46"/>
      <c r="Q926" s="47" t="str">
        <f aca="false">IF(L926="","",IF(M926&lt;&gt;"",M926*L926*100,IF(AND(O926&lt;&gt;"",B926&lt;&gt;""),IFERROR(AVERAGEIF($B$5:$B$1004,B926,$M$5:$M$1004)*L926*100,""),"")))</f>
        <v/>
      </c>
      <c r="R926" s="47" t="str">
        <f aca="false">IF(AND(O926&lt;&gt;"",L926&lt;&gt;""),O926*L926*100,"")</f>
        <v/>
      </c>
      <c r="S926" s="48" t="str">
        <f aca="false">IF(AND(P926&lt;&gt;"",L926&lt;&gt;""),P926*L926*100,"")</f>
        <v/>
      </c>
      <c r="T926" s="49" t="str">
        <f aca="false">IF(AND(Q926&lt;&gt;"",R926&lt;&gt;""),R926-Q926,"")</f>
        <v/>
      </c>
      <c r="U926" s="50" t="str">
        <f aca="false">IF(AND(Q926&lt;&gt;"",Q926&lt;&gt;0,T926&lt;&gt;""),T926/Q926,"")</f>
        <v/>
      </c>
      <c r="V926" s="51" t="str">
        <f aca="false">IF(AND(S926&lt;&gt;"",Q926&lt;&gt;""),S926-Q926,"")</f>
        <v/>
      </c>
      <c r="W926" s="52" t="str">
        <f aca="false">IF(AND(Q926&lt;&gt;"",Q926&lt;&gt;0,V926&lt;&gt;""),V926/Q926,"")</f>
        <v/>
      </c>
      <c r="X926" s="53" t="s">
        <v>37</v>
      </c>
      <c r="Y926" s="54" t="str">
        <f aca="false">IF(AND(O926&lt;&gt;"",M926&lt;&gt;"",O926&gt;M926),CONCATENATE("1 : ",TEXT((O926-M926)/M926,"0.00")),IF(AND(O926&lt;&gt;"",M926&lt;&gt;"",O926&lt;M926),CONCATENATE("-1 : ",TEXT((M926-O926)/M926,"0.00")),"—"))</f>
        <v>—</v>
      </c>
      <c r="Z926" s="55" t="str">
        <f aca="false">IF(AND(P926&lt;&gt;"",M926&lt;&gt;"",P926&gt;M926),CONCATENATE("1 : ",TEXT((P926-M926)/M926,"0.00")),"—")</f>
        <v>—</v>
      </c>
      <c r="AA926" s="56" t="str">
        <f aca="false">IF(AND(C926&lt;&gt;"",E926&lt;&gt;""),E926-C926,"")</f>
        <v/>
      </c>
      <c r="AB926" s="42"/>
      <c r="AC926" s="57"/>
      <c r="AD926" s="58"/>
      <c r="AE926" s="59" t="str">
        <f aca="false">IF(G926&lt;&gt;"",HYPERLINK("https://www.tradingview.com/chart/?symbol="&amp;G926&amp;"&amp;interval=60&amp;from="&amp;(AG926-10*3600)&amp;"&amp;to="&amp;(AG926+50*3600),"📈 1H"),"")</f>
        <v/>
      </c>
      <c r="AF926" s="60" t="str">
        <f aca="false">IF(G926&lt;&gt;"",HYPERLINK("https://www.tradingview.com/chart/?symbol="&amp;G926&amp;"&amp;interval=240&amp;from="&amp;(AG926-10*14400)&amp;"&amp;to="&amp;(AG926+50*14400),"📈 4H"),"")</f>
        <v/>
      </c>
      <c r="AG926" s="36" t="str">
        <f aca="false">IF(C926&lt;&gt;"",INT((C926+IF(D926&lt;&gt;"",D926,0)-DATE(1970,1,1))*86400),"")</f>
        <v/>
      </c>
    </row>
    <row r="927" customFormat="false" ht="19.5" hidden="false" customHeight="true" outlineLevel="0" collapsed="false">
      <c r="A927" s="12" t="n">
        <f aca="false">ROW()-4</f>
        <v>923</v>
      </c>
      <c r="B927" s="13"/>
      <c r="C927" s="14"/>
      <c r="D927" s="15"/>
      <c r="E927" s="14"/>
      <c r="F927" s="15"/>
      <c r="G927" s="16"/>
      <c r="H927" s="17"/>
      <c r="I927" s="18"/>
      <c r="J927" s="19"/>
      <c r="K927" s="14"/>
      <c r="L927" s="17"/>
      <c r="M927" s="19"/>
      <c r="N927" s="20"/>
      <c r="O927" s="19"/>
      <c r="P927" s="21"/>
      <c r="Q927" s="22" t="str">
        <f aca="false">IF(L927="","",IF(M927&lt;&gt;"",M927*L927*100,IF(AND(O927&lt;&gt;"",B927&lt;&gt;""),IFERROR(AVERAGEIF($B$5:$B$1004,B927,$M$5:$M$1004)*L927*100,""),"")))</f>
        <v/>
      </c>
      <c r="R927" s="22" t="str">
        <f aca="false">IF(AND(O927&lt;&gt;"",L927&lt;&gt;""),O927*L927*100,"")</f>
        <v/>
      </c>
      <c r="S927" s="23" t="str">
        <f aca="false">IF(AND(P927&lt;&gt;"",L927&lt;&gt;""),P927*L927*100,"")</f>
        <v/>
      </c>
      <c r="T927" s="24" t="str">
        <f aca="false">IF(AND(Q927&lt;&gt;"",R927&lt;&gt;""),R927-Q927,"")</f>
        <v/>
      </c>
      <c r="U927" s="25" t="str">
        <f aca="false">IF(AND(Q927&lt;&gt;"",Q927&lt;&gt;0,T927&lt;&gt;""),T927/Q927,"")</f>
        <v/>
      </c>
      <c r="V927" s="26" t="str">
        <f aca="false">IF(AND(S927&lt;&gt;"",Q927&lt;&gt;""),S927-Q927,"")</f>
        <v/>
      </c>
      <c r="W927" s="27" t="str">
        <f aca="false">IF(AND(Q927&lt;&gt;"",Q927&lt;&gt;0,V927&lt;&gt;""),V927/Q927,"")</f>
        <v/>
      </c>
      <c r="X927" s="28" t="s">
        <v>37</v>
      </c>
      <c r="Y927" s="29" t="str">
        <f aca="false">IF(AND(O927&lt;&gt;"",M927&lt;&gt;"",O927&gt;M927),CONCATENATE("1 : ",TEXT((O927-M927)/M927,"0.00")),IF(AND(O927&lt;&gt;"",M927&lt;&gt;"",O927&lt;M927),CONCATENATE("-1 : ",TEXT((M927-O927)/M927,"0.00")),"—"))</f>
        <v>—</v>
      </c>
      <c r="Z927" s="30" t="str">
        <f aca="false">IF(AND(P927&lt;&gt;"",M927&lt;&gt;"",P927&gt;M927),CONCATENATE("1 : ",TEXT((P927-M927)/M927,"0.00")),"—")</f>
        <v>—</v>
      </c>
      <c r="AA927" s="31" t="str">
        <f aca="false">IF(AND(C927&lt;&gt;"",E927&lt;&gt;""),E927-C927,"")</f>
        <v/>
      </c>
      <c r="AB927" s="17"/>
      <c r="AC927" s="32"/>
      <c r="AD927" s="33"/>
      <c r="AE927" s="34" t="str">
        <f aca="false">IF(G927&lt;&gt;"",HYPERLINK("https://www.tradingview.com/chart/?symbol="&amp;G927&amp;"&amp;interval=60&amp;from="&amp;(AG927-10*3600)&amp;"&amp;to="&amp;(AG927+50*3600),"📈 1H"),"")</f>
        <v/>
      </c>
      <c r="AF927" s="35" t="str">
        <f aca="false">IF(G927&lt;&gt;"",HYPERLINK("https://www.tradingview.com/chart/?symbol="&amp;G927&amp;"&amp;interval=240&amp;from="&amp;(AG927-10*14400)&amp;"&amp;to="&amp;(AG927+50*14400),"📈 4H"),"")</f>
        <v/>
      </c>
      <c r="AG927" s="36" t="str">
        <f aca="false">IF(C927&lt;&gt;"",INT((C927+IF(D927&lt;&gt;"",D927,0)-DATE(1970,1,1))*86400),"")</f>
        <v/>
      </c>
    </row>
    <row r="928" customFormat="false" ht="19.5" hidden="false" customHeight="true" outlineLevel="0" collapsed="false">
      <c r="A928" s="37" t="n">
        <f aca="false">ROW()-4</f>
        <v>924</v>
      </c>
      <c r="B928" s="38"/>
      <c r="C928" s="39"/>
      <c r="D928" s="40"/>
      <c r="E928" s="39"/>
      <c r="F928" s="40"/>
      <c r="G928" s="41"/>
      <c r="H928" s="42"/>
      <c r="I928" s="43"/>
      <c r="J928" s="44"/>
      <c r="K928" s="39"/>
      <c r="L928" s="42"/>
      <c r="M928" s="44"/>
      <c r="N928" s="45"/>
      <c r="O928" s="44"/>
      <c r="P928" s="46"/>
      <c r="Q928" s="47" t="str">
        <f aca="false">IF(L928="","",IF(M928&lt;&gt;"",M928*L928*100,IF(AND(O928&lt;&gt;"",B928&lt;&gt;""),IFERROR(AVERAGEIF($B$5:$B$1004,B928,$M$5:$M$1004)*L928*100,""),"")))</f>
        <v/>
      </c>
      <c r="R928" s="47" t="str">
        <f aca="false">IF(AND(O928&lt;&gt;"",L928&lt;&gt;""),O928*L928*100,"")</f>
        <v/>
      </c>
      <c r="S928" s="48" t="str">
        <f aca="false">IF(AND(P928&lt;&gt;"",L928&lt;&gt;""),P928*L928*100,"")</f>
        <v/>
      </c>
      <c r="T928" s="49" t="str">
        <f aca="false">IF(AND(Q928&lt;&gt;"",R928&lt;&gt;""),R928-Q928,"")</f>
        <v/>
      </c>
      <c r="U928" s="50" t="str">
        <f aca="false">IF(AND(Q928&lt;&gt;"",Q928&lt;&gt;0,T928&lt;&gt;""),T928/Q928,"")</f>
        <v/>
      </c>
      <c r="V928" s="51" t="str">
        <f aca="false">IF(AND(S928&lt;&gt;"",Q928&lt;&gt;""),S928-Q928,"")</f>
        <v/>
      </c>
      <c r="W928" s="52" t="str">
        <f aca="false">IF(AND(Q928&lt;&gt;"",Q928&lt;&gt;0,V928&lt;&gt;""),V928/Q928,"")</f>
        <v/>
      </c>
      <c r="X928" s="53" t="s">
        <v>37</v>
      </c>
      <c r="Y928" s="54" t="str">
        <f aca="false">IF(AND(O928&lt;&gt;"",M928&lt;&gt;"",O928&gt;M928),CONCATENATE("1 : ",TEXT((O928-M928)/M928,"0.00")),IF(AND(O928&lt;&gt;"",M928&lt;&gt;"",O928&lt;M928),CONCATENATE("-1 : ",TEXT((M928-O928)/M928,"0.00")),"—"))</f>
        <v>—</v>
      </c>
      <c r="Z928" s="55" t="str">
        <f aca="false">IF(AND(P928&lt;&gt;"",M928&lt;&gt;"",P928&gt;M928),CONCATENATE("1 : ",TEXT((P928-M928)/M928,"0.00")),"—")</f>
        <v>—</v>
      </c>
      <c r="AA928" s="56" t="str">
        <f aca="false">IF(AND(C928&lt;&gt;"",E928&lt;&gt;""),E928-C928,"")</f>
        <v/>
      </c>
      <c r="AB928" s="42"/>
      <c r="AC928" s="57"/>
      <c r="AD928" s="58"/>
      <c r="AE928" s="59" t="str">
        <f aca="false">IF(G928&lt;&gt;"",HYPERLINK("https://www.tradingview.com/chart/?symbol="&amp;G928&amp;"&amp;interval=60&amp;from="&amp;(AG928-10*3600)&amp;"&amp;to="&amp;(AG928+50*3600),"📈 1H"),"")</f>
        <v/>
      </c>
      <c r="AF928" s="60" t="str">
        <f aca="false">IF(G928&lt;&gt;"",HYPERLINK("https://www.tradingview.com/chart/?symbol="&amp;G928&amp;"&amp;interval=240&amp;from="&amp;(AG928-10*14400)&amp;"&amp;to="&amp;(AG928+50*14400),"📈 4H"),"")</f>
        <v/>
      </c>
      <c r="AG928" s="36" t="str">
        <f aca="false">IF(C928&lt;&gt;"",INT((C928+IF(D928&lt;&gt;"",D928,0)-DATE(1970,1,1))*86400),"")</f>
        <v/>
      </c>
    </row>
    <row r="929" customFormat="false" ht="19.5" hidden="false" customHeight="true" outlineLevel="0" collapsed="false">
      <c r="A929" s="12" t="n">
        <f aca="false">ROW()-4</f>
        <v>925</v>
      </c>
      <c r="B929" s="13"/>
      <c r="C929" s="14"/>
      <c r="D929" s="15"/>
      <c r="E929" s="14"/>
      <c r="F929" s="15"/>
      <c r="G929" s="16"/>
      <c r="H929" s="17"/>
      <c r="I929" s="18"/>
      <c r="J929" s="19"/>
      <c r="K929" s="14"/>
      <c r="L929" s="17"/>
      <c r="M929" s="19"/>
      <c r="N929" s="20"/>
      <c r="O929" s="19"/>
      <c r="P929" s="21"/>
      <c r="Q929" s="22" t="str">
        <f aca="false">IF(L929="","",IF(M929&lt;&gt;"",M929*L929*100,IF(AND(O929&lt;&gt;"",B929&lt;&gt;""),IFERROR(AVERAGEIF($B$5:$B$1004,B929,$M$5:$M$1004)*L929*100,""),"")))</f>
        <v/>
      </c>
      <c r="R929" s="22" t="str">
        <f aca="false">IF(AND(O929&lt;&gt;"",L929&lt;&gt;""),O929*L929*100,"")</f>
        <v/>
      </c>
      <c r="S929" s="23" t="str">
        <f aca="false">IF(AND(P929&lt;&gt;"",L929&lt;&gt;""),P929*L929*100,"")</f>
        <v/>
      </c>
      <c r="T929" s="24" t="str">
        <f aca="false">IF(AND(Q929&lt;&gt;"",R929&lt;&gt;""),R929-Q929,"")</f>
        <v/>
      </c>
      <c r="U929" s="25" t="str">
        <f aca="false">IF(AND(Q929&lt;&gt;"",Q929&lt;&gt;0,T929&lt;&gt;""),T929/Q929,"")</f>
        <v/>
      </c>
      <c r="V929" s="26" t="str">
        <f aca="false">IF(AND(S929&lt;&gt;"",Q929&lt;&gt;""),S929-Q929,"")</f>
        <v/>
      </c>
      <c r="W929" s="27" t="str">
        <f aca="false">IF(AND(Q929&lt;&gt;"",Q929&lt;&gt;0,V929&lt;&gt;""),V929/Q929,"")</f>
        <v/>
      </c>
      <c r="X929" s="28" t="s">
        <v>37</v>
      </c>
      <c r="Y929" s="29" t="str">
        <f aca="false">IF(AND(O929&lt;&gt;"",M929&lt;&gt;"",O929&gt;M929),CONCATENATE("1 : ",TEXT((O929-M929)/M929,"0.00")),IF(AND(O929&lt;&gt;"",M929&lt;&gt;"",O929&lt;M929),CONCATENATE("-1 : ",TEXT((M929-O929)/M929,"0.00")),"—"))</f>
        <v>—</v>
      </c>
      <c r="Z929" s="30" t="str">
        <f aca="false">IF(AND(P929&lt;&gt;"",M929&lt;&gt;"",P929&gt;M929),CONCATENATE("1 : ",TEXT((P929-M929)/M929,"0.00")),"—")</f>
        <v>—</v>
      </c>
      <c r="AA929" s="31" t="str">
        <f aca="false">IF(AND(C929&lt;&gt;"",E929&lt;&gt;""),E929-C929,"")</f>
        <v/>
      </c>
      <c r="AB929" s="17"/>
      <c r="AC929" s="32"/>
      <c r="AD929" s="33"/>
      <c r="AE929" s="34" t="str">
        <f aca="false">IF(G929&lt;&gt;"",HYPERLINK("https://www.tradingview.com/chart/?symbol="&amp;G929&amp;"&amp;interval=60&amp;from="&amp;(AG929-10*3600)&amp;"&amp;to="&amp;(AG929+50*3600),"📈 1H"),"")</f>
        <v/>
      </c>
      <c r="AF929" s="35" t="str">
        <f aca="false">IF(G929&lt;&gt;"",HYPERLINK("https://www.tradingview.com/chart/?symbol="&amp;G929&amp;"&amp;interval=240&amp;from="&amp;(AG929-10*14400)&amp;"&amp;to="&amp;(AG929+50*14400),"📈 4H"),"")</f>
        <v/>
      </c>
      <c r="AG929" s="36" t="str">
        <f aca="false">IF(C929&lt;&gt;"",INT((C929+IF(D929&lt;&gt;"",D929,0)-DATE(1970,1,1))*86400),"")</f>
        <v/>
      </c>
    </row>
    <row r="930" customFormat="false" ht="19.5" hidden="false" customHeight="true" outlineLevel="0" collapsed="false">
      <c r="A930" s="37" t="n">
        <f aca="false">ROW()-4</f>
        <v>926</v>
      </c>
      <c r="B930" s="38"/>
      <c r="C930" s="39"/>
      <c r="D930" s="40"/>
      <c r="E930" s="39"/>
      <c r="F930" s="40"/>
      <c r="G930" s="41"/>
      <c r="H930" s="42"/>
      <c r="I930" s="43"/>
      <c r="J930" s="44"/>
      <c r="K930" s="39"/>
      <c r="L930" s="42"/>
      <c r="M930" s="44"/>
      <c r="N930" s="45"/>
      <c r="O930" s="44"/>
      <c r="P930" s="46"/>
      <c r="Q930" s="47" t="str">
        <f aca="false">IF(L930="","",IF(M930&lt;&gt;"",M930*L930*100,IF(AND(O930&lt;&gt;"",B930&lt;&gt;""),IFERROR(AVERAGEIF($B$5:$B$1004,B930,$M$5:$M$1004)*L930*100,""),"")))</f>
        <v/>
      </c>
      <c r="R930" s="47" t="str">
        <f aca="false">IF(AND(O930&lt;&gt;"",L930&lt;&gt;""),O930*L930*100,"")</f>
        <v/>
      </c>
      <c r="S930" s="48" t="str">
        <f aca="false">IF(AND(P930&lt;&gt;"",L930&lt;&gt;""),P930*L930*100,"")</f>
        <v/>
      </c>
      <c r="T930" s="49" t="str">
        <f aca="false">IF(AND(Q930&lt;&gt;"",R930&lt;&gt;""),R930-Q930,"")</f>
        <v/>
      </c>
      <c r="U930" s="50" t="str">
        <f aca="false">IF(AND(Q930&lt;&gt;"",Q930&lt;&gt;0,T930&lt;&gt;""),T930/Q930,"")</f>
        <v/>
      </c>
      <c r="V930" s="51" t="str">
        <f aca="false">IF(AND(S930&lt;&gt;"",Q930&lt;&gt;""),S930-Q930,"")</f>
        <v/>
      </c>
      <c r="W930" s="52" t="str">
        <f aca="false">IF(AND(Q930&lt;&gt;"",Q930&lt;&gt;0,V930&lt;&gt;""),V930/Q930,"")</f>
        <v/>
      </c>
      <c r="X930" s="53" t="s">
        <v>37</v>
      </c>
      <c r="Y930" s="54" t="str">
        <f aca="false">IF(AND(O930&lt;&gt;"",M930&lt;&gt;"",O930&gt;M930),CONCATENATE("1 : ",TEXT((O930-M930)/M930,"0.00")),IF(AND(O930&lt;&gt;"",M930&lt;&gt;"",O930&lt;M930),CONCATENATE("-1 : ",TEXT((M930-O930)/M930,"0.00")),"—"))</f>
        <v>—</v>
      </c>
      <c r="Z930" s="55" t="str">
        <f aca="false">IF(AND(P930&lt;&gt;"",M930&lt;&gt;"",P930&gt;M930),CONCATENATE("1 : ",TEXT((P930-M930)/M930,"0.00")),"—")</f>
        <v>—</v>
      </c>
      <c r="AA930" s="56" t="str">
        <f aca="false">IF(AND(C930&lt;&gt;"",E930&lt;&gt;""),E930-C930,"")</f>
        <v/>
      </c>
      <c r="AB930" s="42"/>
      <c r="AC930" s="57"/>
      <c r="AD930" s="58"/>
      <c r="AE930" s="59" t="str">
        <f aca="false">IF(G930&lt;&gt;"",HYPERLINK("https://www.tradingview.com/chart/?symbol="&amp;G930&amp;"&amp;interval=60&amp;from="&amp;(AG930-10*3600)&amp;"&amp;to="&amp;(AG930+50*3600),"📈 1H"),"")</f>
        <v/>
      </c>
      <c r="AF930" s="60" t="str">
        <f aca="false">IF(G930&lt;&gt;"",HYPERLINK("https://www.tradingview.com/chart/?symbol="&amp;G930&amp;"&amp;interval=240&amp;from="&amp;(AG930-10*14400)&amp;"&amp;to="&amp;(AG930+50*14400),"📈 4H"),"")</f>
        <v/>
      </c>
      <c r="AG930" s="36" t="str">
        <f aca="false">IF(C930&lt;&gt;"",INT((C930+IF(D930&lt;&gt;"",D930,0)-DATE(1970,1,1))*86400),"")</f>
        <v/>
      </c>
    </row>
    <row r="931" customFormat="false" ht="19.5" hidden="false" customHeight="true" outlineLevel="0" collapsed="false">
      <c r="A931" s="12" t="n">
        <f aca="false">ROW()-4</f>
        <v>927</v>
      </c>
      <c r="B931" s="13"/>
      <c r="C931" s="14"/>
      <c r="D931" s="15"/>
      <c r="E931" s="14"/>
      <c r="F931" s="15"/>
      <c r="G931" s="16"/>
      <c r="H931" s="17"/>
      <c r="I931" s="18"/>
      <c r="J931" s="19"/>
      <c r="K931" s="14"/>
      <c r="L931" s="17"/>
      <c r="M931" s="19"/>
      <c r="N931" s="20"/>
      <c r="O931" s="19"/>
      <c r="P931" s="21"/>
      <c r="Q931" s="22" t="str">
        <f aca="false">IF(L931="","",IF(M931&lt;&gt;"",M931*L931*100,IF(AND(O931&lt;&gt;"",B931&lt;&gt;""),IFERROR(AVERAGEIF($B$5:$B$1004,B931,$M$5:$M$1004)*L931*100,""),"")))</f>
        <v/>
      </c>
      <c r="R931" s="22" t="str">
        <f aca="false">IF(AND(O931&lt;&gt;"",L931&lt;&gt;""),O931*L931*100,"")</f>
        <v/>
      </c>
      <c r="S931" s="23" t="str">
        <f aca="false">IF(AND(P931&lt;&gt;"",L931&lt;&gt;""),P931*L931*100,"")</f>
        <v/>
      </c>
      <c r="T931" s="24" t="str">
        <f aca="false">IF(AND(Q931&lt;&gt;"",R931&lt;&gt;""),R931-Q931,"")</f>
        <v/>
      </c>
      <c r="U931" s="25" t="str">
        <f aca="false">IF(AND(Q931&lt;&gt;"",Q931&lt;&gt;0,T931&lt;&gt;""),T931/Q931,"")</f>
        <v/>
      </c>
      <c r="V931" s="26" t="str">
        <f aca="false">IF(AND(S931&lt;&gt;"",Q931&lt;&gt;""),S931-Q931,"")</f>
        <v/>
      </c>
      <c r="W931" s="27" t="str">
        <f aca="false">IF(AND(Q931&lt;&gt;"",Q931&lt;&gt;0,V931&lt;&gt;""),V931/Q931,"")</f>
        <v/>
      </c>
      <c r="X931" s="28" t="s">
        <v>37</v>
      </c>
      <c r="Y931" s="29" t="str">
        <f aca="false">IF(AND(O931&lt;&gt;"",M931&lt;&gt;"",O931&gt;M931),CONCATENATE("1 : ",TEXT((O931-M931)/M931,"0.00")),IF(AND(O931&lt;&gt;"",M931&lt;&gt;"",O931&lt;M931),CONCATENATE("-1 : ",TEXT((M931-O931)/M931,"0.00")),"—"))</f>
        <v>—</v>
      </c>
      <c r="Z931" s="30" t="str">
        <f aca="false">IF(AND(P931&lt;&gt;"",M931&lt;&gt;"",P931&gt;M931),CONCATENATE("1 : ",TEXT((P931-M931)/M931,"0.00")),"—")</f>
        <v>—</v>
      </c>
      <c r="AA931" s="31" t="str">
        <f aca="false">IF(AND(C931&lt;&gt;"",E931&lt;&gt;""),E931-C931,"")</f>
        <v/>
      </c>
      <c r="AB931" s="17"/>
      <c r="AC931" s="32"/>
      <c r="AD931" s="33"/>
      <c r="AE931" s="34" t="str">
        <f aca="false">IF(G931&lt;&gt;"",HYPERLINK("https://www.tradingview.com/chart/?symbol="&amp;G931&amp;"&amp;interval=60&amp;from="&amp;(AG931-10*3600)&amp;"&amp;to="&amp;(AG931+50*3600),"📈 1H"),"")</f>
        <v/>
      </c>
      <c r="AF931" s="35" t="str">
        <f aca="false">IF(G931&lt;&gt;"",HYPERLINK("https://www.tradingview.com/chart/?symbol="&amp;G931&amp;"&amp;interval=240&amp;from="&amp;(AG931-10*14400)&amp;"&amp;to="&amp;(AG931+50*14400),"📈 4H"),"")</f>
        <v/>
      </c>
      <c r="AG931" s="36" t="str">
        <f aca="false">IF(C931&lt;&gt;"",INT((C931+IF(D931&lt;&gt;"",D931,0)-DATE(1970,1,1))*86400),"")</f>
        <v/>
      </c>
    </row>
    <row r="932" customFormat="false" ht="19.5" hidden="false" customHeight="true" outlineLevel="0" collapsed="false">
      <c r="A932" s="37" t="n">
        <f aca="false">ROW()-4</f>
        <v>928</v>
      </c>
      <c r="B932" s="38"/>
      <c r="C932" s="39"/>
      <c r="D932" s="40"/>
      <c r="E932" s="39"/>
      <c r="F932" s="40"/>
      <c r="G932" s="41"/>
      <c r="H932" s="42"/>
      <c r="I932" s="43"/>
      <c r="J932" s="44"/>
      <c r="K932" s="39"/>
      <c r="L932" s="42"/>
      <c r="M932" s="44"/>
      <c r="N932" s="45"/>
      <c r="O932" s="44"/>
      <c r="P932" s="46"/>
      <c r="Q932" s="47" t="str">
        <f aca="false">IF(L932="","",IF(M932&lt;&gt;"",M932*L932*100,IF(AND(O932&lt;&gt;"",B932&lt;&gt;""),IFERROR(AVERAGEIF($B$5:$B$1004,B932,$M$5:$M$1004)*L932*100,""),"")))</f>
        <v/>
      </c>
      <c r="R932" s="47" t="str">
        <f aca="false">IF(AND(O932&lt;&gt;"",L932&lt;&gt;""),O932*L932*100,"")</f>
        <v/>
      </c>
      <c r="S932" s="48" t="str">
        <f aca="false">IF(AND(P932&lt;&gt;"",L932&lt;&gt;""),P932*L932*100,"")</f>
        <v/>
      </c>
      <c r="T932" s="49" t="str">
        <f aca="false">IF(AND(Q932&lt;&gt;"",R932&lt;&gt;""),R932-Q932,"")</f>
        <v/>
      </c>
      <c r="U932" s="50" t="str">
        <f aca="false">IF(AND(Q932&lt;&gt;"",Q932&lt;&gt;0,T932&lt;&gt;""),T932/Q932,"")</f>
        <v/>
      </c>
      <c r="V932" s="51" t="str">
        <f aca="false">IF(AND(S932&lt;&gt;"",Q932&lt;&gt;""),S932-Q932,"")</f>
        <v/>
      </c>
      <c r="W932" s="52" t="str">
        <f aca="false">IF(AND(Q932&lt;&gt;"",Q932&lt;&gt;0,V932&lt;&gt;""),V932/Q932,"")</f>
        <v/>
      </c>
      <c r="X932" s="53" t="s">
        <v>37</v>
      </c>
      <c r="Y932" s="54" t="str">
        <f aca="false">IF(AND(O932&lt;&gt;"",M932&lt;&gt;"",O932&gt;M932),CONCATENATE("1 : ",TEXT((O932-M932)/M932,"0.00")),IF(AND(O932&lt;&gt;"",M932&lt;&gt;"",O932&lt;M932),CONCATENATE("-1 : ",TEXT((M932-O932)/M932,"0.00")),"—"))</f>
        <v>—</v>
      </c>
      <c r="Z932" s="55" t="str">
        <f aca="false">IF(AND(P932&lt;&gt;"",M932&lt;&gt;"",P932&gt;M932),CONCATENATE("1 : ",TEXT((P932-M932)/M932,"0.00")),"—")</f>
        <v>—</v>
      </c>
      <c r="AA932" s="56" t="str">
        <f aca="false">IF(AND(C932&lt;&gt;"",E932&lt;&gt;""),E932-C932,"")</f>
        <v/>
      </c>
      <c r="AB932" s="42"/>
      <c r="AC932" s="57"/>
      <c r="AD932" s="58"/>
      <c r="AE932" s="59" t="str">
        <f aca="false">IF(G932&lt;&gt;"",HYPERLINK("https://www.tradingview.com/chart/?symbol="&amp;G932&amp;"&amp;interval=60&amp;from="&amp;(AG932-10*3600)&amp;"&amp;to="&amp;(AG932+50*3600),"📈 1H"),"")</f>
        <v/>
      </c>
      <c r="AF932" s="60" t="str">
        <f aca="false">IF(G932&lt;&gt;"",HYPERLINK("https://www.tradingview.com/chart/?symbol="&amp;G932&amp;"&amp;interval=240&amp;from="&amp;(AG932-10*14400)&amp;"&amp;to="&amp;(AG932+50*14400),"📈 4H"),"")</f>
        <v/>
      </c>
      <c r="AG932" s="36" t="str">
        <f aca="false">IF(C932&lt;&gt;"",INT((C932+IF(D932&lt;&gt;"",D932,0)-DATE(1970,1,1))*86400),"")</f>
        <v/>
      </c>
    </row>
    <row r="933" customFormat="false" ht="19.5" hidden="false" customHeight="true" outlineLevel="0" collapsed="false">
      <c r="A933" s="12" t="n">
        <f aca="false">ROW()-4</f>
        <v>929</v>
      </c>
      <c r="B933" s="13"/>
      <c r="C933" s="14"/>
      <c r="D933" s="15"/>
      <c r="E933" s="14"/>
      <c r="F933" s="15"/>
      <c r="G933" s="16"/>
      <c r="H933" s="17"/>
      <c r="I933" s="18"/>
      <c r="J933" s="19"/>
      <c r="K933" s="14"/>
      <c r="L933" s="17"/>
      <c r="M933" s="19"/>
      <c r="N933" s="20"/>
      <c r="O933" s="19"/>
      <c r="P933" s="21"/>
      <c r="Q933" s="22" t="str">
        <f aca="false">IF(L933="","",IF(M933&lt;&gt;"",M933*L933*100,IF(AND(O933&lt;&gt;"",B933&lt;&gt;""),IFERROR(AVERAGEIF($B$5:$B$1004,B933,$M$5:$M$1004)*L933*100,""),"")))</f>
        <v/>
      </c>
      <c r="R933" s="22" t="str">
        <f aca="false">IF(AND(O933&lt;&gt;"",L933&lt;&gt;""),O933*L933*100,"")</f>
        <v/>
      </c>
      <c r="S933" s="23" t="str">
        <f aca="false">IF(AND(P933&lt;&gt;"",L933&lt;&gt;""),P933*L933*100,"")</f>
        <v/>
      </c>
      <c r="T933" s="24" t="str">
        <f aca="false">IF(AND(Q933&lt;&gt;"",R933&lt;&gt;""),R933-Q933,"")</f>
        <v/>
      </c>
      <c r="U933" s="25" t="str">
        <f aca="false">IF(AND(Q933&lt;&gt;"",Q933&lt;&gt;0,T933&lt;&gt;""),T933/Q933,"")</f>
        <v/>
      </c>
      <c r="V933" s="26" t="str">
        <f aca="false">IF(AND(S933&lt;&gt;"",Q933&lt;&gt;""),S933-Q933,"")</f>
        <v/>
      </c>
      <c r="W933" s="27" t="str">
        <f aca="false">IF(AND(Q933&lt;&gt;"",Q933&lt;&gt;0,V933&lt;&gt;""),V933/Q933,"")</f>
        <v/>
      </c>
      <c r="X933" s="28" t="s">
        <v>37</v>
      </c>
      <c r="Y933" s="29" t="str">
        <f aca="false">IF(AND(O933&lt;&gt;"",M933&lt;&gt;"",O933&gt;M933),CONCATENATE("1 : ",TEXT((O933-M933)/M933,"0.00")),IF(AND(O933&lt;&gt;"",M933&lt;&gt;"",O933&lt;M933),CONCATENATE("-1 : ",TEXT((M933-O933)/M933,"0.00")),"—"))</f>
        <v>—</v>
      </c>
      <c r="Z933" s="30" t="str">
        <f aca="false">IF(AND(P933&lt;&gt;"",M933&lt;&gt;"",P933&gt;M933),CONCATENATE("1 : ",TEXT((P933-M933)/M933,"0.00")),"—")</f>
        <v>—</v>
      </c>
      <c r="AA933" s="31" t="str">
        <f aca="false">IF(AND(C933&lt;&gt;"",E933&lt;&gt;""),E933-C933,"")</f>
        <v/>
      </c>
      <c r="AB933" s="17"/>
      <c r="AC933" s="32"/>
      <c r="AD933" s="33"/>
      <c r="AE933" s="34" t="str">
        <f aca="false">IF(G933&lt;&gt;"",HYPERLINK("https://www.tradingview.com/chart/?symbol="&amp;G933&amp;"&amp;interval=60&amp;from="&amp;(AG933-10*3600)&amp;"&amp;to="&amp;(AG933+50*3600),"📈 1H"),"")</f>
        <v/>
      </c>
      <c r="AF933" s="35" t="str">
        <f aca="false">IF(G933&lt;&gt;"",HYPERLINK("https://www.tradingview.com/chart/?symbol="&amp;G933&amp;"&amp;interval=240&amp;from="&amp;(AG933-10*14400)&amp;"&amp;to="&amp;(AG933+50*14400),"📈 4H"),"")</f>
        <v/>
      </c>
      <c r="AG933" s="36" t="str">
        <f aca="false">IF(C933&lt;&gt;"",INT((C933+IF(D933&lt;&gt;"",D933,0)-DATE(1970,1,1))*86400),"")</f>
        <v/>
      </c>
    </row>
    <row r="934" customFormat="false" ht="19.5" hidden="false" customHeight="true" outlineLevel="0" collapsed="false">
      <c r="A934" s="37" t="n">
        <f aca="false">ROW()-4</f>
        <v>930</v>
      </c>
      <c r="B934" s="38"/>
      <c r="C934" s="39"/>
      <c r="D934" s="40"/>
      <c r="E934" s="39"/>
      <c r="F934" s="40"/>
      <c r="G934" s="41"/>
      <c r="H934" s="42"/>
      <c r="I934" s="43"/>
      <c r="J934" s="44"/>
      <c r="K934" s="39"/>
      <c r="L934" s="42"/>
      <c r="M934" s="44"/>
      <c r="N934" s="45"/>
      <c r="O934" s="44"/>
      <c r="P934" s="46"/>
      <c r="Q934" s="47" t="str">
        <f aca="false">IF(L934="","",IF(M934&lt;&gt;"",M934*L934*100,IF(AND(O934&lt;&gt;"",B934&lt;&gt;""),IFERROR(AVERAGEIF($B$5:$B$1004,B934,$M$5:$M$1004)*L934*100,""),"")))</f>
        <v/>
      </c>
      <c r="R934" s="47" t="str">
        <f aca="false">IF(AND(O934&lt;&gt;"",L934&lt;&gt;""),O934*L934*100,"")</f>
        <v/>
      </c>
      <c r="S934" s="48" t="str">
        <f aca="false">IF(AND(P934&lt;&gt;"",L934&lt;&gt;""),P934*L934*100,"")</f>
        <v/>
      </c>
      <c r="T934" s="49" t="str">
        <f aca="false">IF(AND(Q934&lt;&gt;"",R934&lt;&gt;""),R934-Q934,"")</f>
        <v/>
      </c>
      <c r="U934" s="50" t="str">
        <f aca="false">IF(AND(Q934&lt;&gt;"",Q934&lt;&gt;0,T934&lt;&gt;""),T934/Q934,"")</f>
        <v/>
      </c>
      <c r="V934" s="51" t="str">
        <f aca="false">IF(AND(S934&lt;&gt;"",Q934&lt;&gt;""),S934-Q934,"")</f>
        <v/>
      </c>
      <c r="W934" s="52" t="str">
        <f aca="false">IF(AND(Q934&lt;&gt;"",Q934&lt;&gt;0,V934&lt;&gt;""),V934/Q934,"")</f>
        <v/>
      </c>
      <c r="X934" s="53" t="s">
        <v>37</v>
      </c>
      <c r="Y934" s="54" t="str">
        <f aca="false">IF(AND(O934&lt;&gt;"",M934&lt;&gt;"",O934&gt;M934),CONCATENATE("1 : ",TEXT((O934-M934)/M934,"0.00")),IF(AND(O934&lt;&gt;"",M934&lt;&gt;"",O934&lt;M934),CONCATENATE("-1 : ",TEXT((M934-O934)/M934,"0.00")),"—"))</f>
        <v>—</v>
      </c>
      <c r="Z934" s="55" t="str">
        <f aca="false">IF(AND(P934&lt;&gt;"",M934&lt;&gt;"",P934&gt;M934),CONCATENATE("1 : ",TEXT((P934-M934)/M934,"0.00")),"—")</f>
        <v>—</v>
      </c>
      <c r="AA934" s="56" t="str">
        <f aca="false">IF(AND(C934&lt;&gt;"",E934&lt;&gt;""),E934-C934,"")</f>
        <v/>
      </c>
      <c r="AB934" s="42"/>
      <c r="AC934" s="57"/>
      <c r="AD934" s="58"/>
      <c r="AE934" s="59" t="str">
        <f aca="false">IF(G934&lt;&gt;"",HYPERLINK("https://www.tradingview.com/chart/?symbol="&amp;G934&amp;"&amp;interval=60&amp;from="&amp;(AG934-10*3600)&amp;"&amp;to="&amp;(AG934+50*3600),"📈 1H"),"")</f>
        <v/>
      </c>
      <c r="AF934" s="60" t="str">
        <f aca="false">IF(G934&lt;&gt;"",HYPERLINK("https://www.tradingview.com/chart/?symbol="&amp;G934&amp;"&amp;interval=240&amp;from="&amp;(AG934-10*14400)&amp;"&amp;to="&amp;(AG934+50*14400),"📈 4H"),"")</f>
        <v/>
      </c>
      <c r="AG934" s="36" t="str">
        <f aca="false">IF(C934&lt;&gt;"",INT((C934+IF(D934&lt;&gt;"",D934,0)-DATE(1970,1,1))*86400),"")</f>
        <v/>
      </c>
    </row>
    <row r="935" customFormat="false" ht="19.5" hidden="false" customHeight="true" outlineLevel="0" collapsed="false">
      <c r="A935" s="12" t="n">
        <f aca="false">ROW()-4</f>
        <v>931</v>
      </c>
      <c r="B935" s="13"/>
      <c r="C935" s="14"/>
      <c r="D935" s="15"/>
      <c r="E935" s="14"/>
      <c r="F935" s="15"/>
      <c r="G935" s="16"/>
      <c r="H935" s="17"/>
      <c r="I935" s="18"/>
      <c r="J935" s="19"/>
      <c r="K935" s="14"/>
      <c r="L935" s="17"/>
      <c r="M935" s="19"/>
      <c r="N935" s="20"/>
      <c r="O935" s="19"/>
      <c r="P935" s="21"/>
      <c r="Q935" s="22" t="str">
        <f aca="false">IF(L935="","",IF(M935&lt;&gt;"",M935*L935*100,IF(AND(O935&lt;&gt;"",B935&lt;&gt;""),IFERROR(AVERAGEIF($B$5:$B$1004,B935,$M$5:$M$1004)*L935*100,""),"")))</f>
        <v/>
      </c>
      <c r="R935" s="22" t="str">
        <f aca="false">IF(AND(O935&lt;&gt;"",L935&lt;&gt;""),O935*L935*100,"")</f>
        <v/>
      </c>
      <c r="S935" s="23" t="str">
        <f aca="false">IF(AND(P935&lt;&gt;"",L935&lt;&gt;""),P935*L935*100,"")</f>
        <v/>
      </c>
      <c r="T935" s="24" t="str">
        <f aca="false">IF(AND(Q935&lt;&gt;"",R935&lt;&gt;""),R935-Q935,"")</f>
        <v/>
      </c>
      <c r="U935" s="25" t="str">
        <f aca="false">IF(AND(Q935&lt;&gt;"",Q935&lt;&gt;0,T935&lt;&gt;""),T935/Q935,"")</f>
        <v/>
      </c>
      <c r="V935" s="26" t="str">
        <f aca="false">IF(AND(S935&lt;&gt;"",Q935&lt;&gt;""),S935-Q935,"")</f>
        <v/>
      </c>
      <c r="W935" s="27" t="str">
        <f aca="false">IF(AND(Q935&lt;&gt;"",Q935&lt;&gt;0,V935&lt;&gt;""),V935/Q935,"")</f>
        <v/>
      </c>
      <c r="X935" s="28" t="s">
        <v>37</v>
      </c>
      <c r="Y935" s="29" t="str">
        <f aca="false">IF(AND(O935&lt;&gt;"",M935&lt;&gt;"",O935&gt;M935),CONCATENATE("1 : ",TEXT((O935-M935)/M935,"0.00")),IF(AND(O935&lt;&gt;"",M935&lt;&gt;"",O935&lt;M935),CONCATENATE("-1 : ",TEXT((M935-O935)/M935,"0.00")),"—"))</f>
        <v>—</v>
      </c>
      <c r="Z935" s="30" t="str">
        <f aca="false">IF(AND(P935&lt;&gt;"",M935&lt;&gt;"",P935&gt;M935),CONCATENATE("1 : ",TEXT((P935-M935)/M935,"0.00")),"—")</f>
        <v>—</v>
      </c>
      <c r="AA935" s="31" t="str">
        <f aca="false">IF(AND(C935&lt;&gt;"",E935&lt;&gt;""),E935-C935,"")</f>
        <v/>
      </c>
      <c r="AB935" s="17"/>
      <c r="AC935" s="32"/>
      <c r="AD935" s="33"/>
      <c r="AE935" s="34" t="str">
        <f aca="false">IF(G935&lt;&gt;"",HYPERLINK("https://www.tradingview.com/chart/?symbol="&amp;G935&amp;"&amp;interval=60&amp;from="&amp;(AG935-10*3600)&amp;"&amp;to="&amp;(AG935+50*3600),"📈 1H"),"")</f>
        <v/>
      </c>
      <c r="AF935" s="35" t="str">
        <f aca="false">IF(G935&lt;&gt;"",HYPERLINK("https://www.tradingview.com/chart/?symbol="&amp;G935&amp;"&amp;interval=240&amp;from="&amp;(AG935-10*14400)&amp;"&amp;to="&amp;(AG935+50*14400),"📈 4H"),"")</f>
        <v/>
      </c>
      <c r="AG935" s="36" t="str">
        <f aca="false">IF(C935&lt;&gt;"",INT((C935+IF(D935&lt;&gt;"",D935,0)-DATE(1970,1,1))*86400),"")</f>
        <v/>
      </c>
    </row>
    <row r="936" customFormat="false" ht="19.5" hidden="false" customHeight="true" outlineLevel="0" collapsed="false">
      <c r="A936" s="37" t="n">
        <f aca="false">ROW()-4</f>
        <v>932</v>
      </c>
      <c r="B936" s="38"/>
      <c r="C936" s="39"/>
      <c r="D936" s="40"/>
      <c r="E936" s="39"/>
      <c r="F936" s="40"/>
      <c r="G936" s="41"/>
      <c r="H936" s="42"/>
      <c r="I936" s="43"/>
      <c r="J936" s="44"/>
      <c r="K936" s="39"/>
      <c r="L936" s="42"/>
      <c r="M936" s="44"/>
      <c r="N936" s="45"/>
      <c r="O936" s="44"/>
      <c r="P936" s="46"/>
      <c r="Q936" s="47" t="str">
        <f aca="false">IF(L936="","",IF(M936&lt;&gt;"",M936*L936*100,IF(AND(O936&lt;&gt;"",B936&lt;&gt;""),IFERROR(AVERAGEIF($B$5:$B$1004,B936,$M$5:$M$1004)*L936*100,""),"")))</f>
        <v/>
      </c>
      <c r="R936" s="47" t="str">
        <f aca="false">IF(AND(O936&lt;&gt;"",L936&lt;&gt;""),O936*L936*100,"")</f>
        <v/>
      </c>
      <c r="S936" s="48" t="str">
        <f aca="false">IF(AND(P936&lt;&gt;"",L936&lt;&gt;""),P936*L936*100,"")</f>
        <v/>
      </c>
      <c r="T936" s="49" t="str">
        <f aca="false">IF(AND(Q936&lt;&gt;"",R936&lt;&gt;""),R936-Q936,"")</f>
        <v/>
      </c>
      <c r="U936" s="50" t="str">
        <f aca="false">IF(AND(Q936&lt;&gt;"",Q936&lt;&gt;0,T936&lt;&gt;""),T936/Q936,"")</f>
        <v/>
      </c>
      <c r="V936" s="51" t="str">
        <f aca="false">IF(AND(S936&lt;&gt;"",Q936&lt;&gt;""),S936-Q936,"")</f>
        <v/>
      </c>
      <c r="W936" s="52" t="str">
        <f aca="false">IF(AND(Q936&lt;&gt;"",Q936&lt;&gt;0,V936&lt;&gt;""),V936/Q936,"")</f>
        <v/>
      </c>
      <c r="X936" s="53" t="s">
        <v>37</v>
      </c>
      <c r="Y936" s="54" t="str">
        <f aca="false">IF(AND(O936&lt;&gt;"",M936&lt;&gt;"",O936&gt;M936),CONCATENATE("1 : ",TEXT((O936-M936)/M936,"0.00")),IF(AND(O936&lt;&gt;"",M936&lt;&gt;"",O936&lt;M936),CONCATENATE("-1 : ",TEXT((M936-O936)/M936,"0.00")),"—"))</f>
        <v>—</v>
      </c>
      <c r="Z936" s="55" t="str">
        <f aca="false">IF(AND(P936&lt;&gt;"",M936&lt;&gt;"",P936&gt;M936),CONCATENATE("1 : ",TEXT((P936-M936)/M936,"0.00")),"—")</f>
        <v>—</v>
      </c>
      <c r="AA936" s="56" t="str">
        <f aca="false">IF(AND(C936&lt;&gt;"",E936&lt;&gt;""),E936-C936,"")</f>
        <v/>
      </c>
      <c r="AB936" s="42"/>
      <c r="AC936" s="57"/>
      <c r="AD936" s="58"/>
      <c r="AE936" s="59" t="str">
        <f aca="false">IF(G936&lt;&gt;"",HYPERLINK("https://www.tradingview.com/chart/?symbol="&amp;G936&amp;"&amp;interval=60&amp;from="&amp;(AG936-10*3600)&amp;"&amp;to="&amp;(AG936+50*3600),"📈 1H"),"")</f>
        <v/>
      </c>
      <c r="AF936" s="60" t="str">
        <f aca="false">IF(G936&lt;&gt;"",HYPERLINK("https://www.tradingview.com/chart/?symbol="&amp;G936&amp;"&amp;interval=240&amp;from="&amp;(AG936-10*14400)&amp;"&amp;to="&amp;(AG936+50*14400),"📈 4H"),"")</f>
        <v/>
      </c>
      <c r="AG936" s="36" t="str">
        <f aca="false">IF(C936&lt;&gt;"",INT((C936+IF(D936&lt;&gt;"",D936,0)-DATE(1970,1,1))*86400),"")</f>
        <v/>
      </c>
    </row>
    <row r="937" customFormat="false" ht="19.5" hidden="false" customHeight="true" outlineLevel="0" collapsed="false">
      <c r="A937" s="12" t="n">
        <f aca="false">ROW()-4</f>
        <v>933</v>
      </c>
      <c r="B937" s="13"/>
      <c r="C937" s="14"/>
      <c r="D937" s="15"/>
      <c r="E937" s="14"/>
      <c r="F937" s="15"/>
      <c r="G937" s="16"/>
      <c r="H937" s="17"/>
      <c r="I937" s="18"/>
      <c r="J937" s="19"/>
      <c r="K937" s="14"/>
      <c r="L937" s="17"/>
      <c r="M937" s="19"/>
      <c r="N937" s="20"/>
      <c r="O937" s="19"/>
      <c r="P937" s="21"/>
      <c r="Q937" s="22" t="str">
        <f aca="false">IF(L937="","",IF(M937&lt;&gt;"",M937*L937*100,IF(AND(O937&lt;&gt;"",B937&lt;&gt;""),IFERROR(AVERAGEIF($B$5:$B$1004,B937,$M$5:$M$1004)*L937*100,""),"")))</f>
        <v/>
      </c>
      <c r="R937" s="22" t="str">
        <f aca="false">IF(AND(O937&lt;&gt;"",L937&lt;&gt;""),O937*L937*100,"")</f>
        <v/>
      </c>
      <c r="S937" s="23" t="str">
        <f aca="false">IF(AND(P937&lt;&gt;"",L937&lt;&gt;""),P937*L937*100,"")</f>
        <v/>
      </c>
      <c r="T937" s="24" t="str">
        <f aca="false">IF(AND(Q937&lt;&gt;"",R937&lt;&gt;""),R937-Q937,"")</f>
        <v/>
      </c>
      <c r="U937" s="25" t="str">
        <f aca="false">IF(AND(Q937&lt;&gt;"",Q937&lt;&gt;0,T937&lt;&gt;""),T937/Q937,"")</f>
        <v/>
      </c>
      <c r="V937" s="26" t="str">
        <f aca="false">IF(AND(S937&lt;&gt;"",Q937&lt;&gt;""),S937-Q937,"")</f>
        <v/>
      </c>
      <c r="W937" s="27" t="str">
        <f aca="false">IF(AND(Q937&lt;&gt;"",Q937&lt;&gt;0,V937&lt;&gt;""),V937/Q937,"")</f>
        <v/>
      </c>
      <c r="X937" s="28" t="s">
        <v>37</v>
      </c>
      <c r="Y937" s="29" t="str">
        <f aca="false">IF(AND(O937&lt;&gt;"",M937&lt;&gt;"",O937&gt;M937),CONCATENATE("1 : ",TEXT((O937-M937)/M937,"0.00")),IF(AND(O937&lt;&gt;"",M937&lt;&gt;"",O937&lt;M937),CONCATENATE("-1 : ",TEXT((M937-O937)/M937,"0.00")),"—"))</f>
        <v>—</v>
      </c>
      <c r="Z937" s="30" t="str">
        <f aca="false">IF(AND(P937&lt;&gt;"",M937&lt;&gt;"",P937&gt;M937),CONCATENATE("1 : ",TEXT((P937-M937)/M937,"0.00")),"—")</f>
        <v>—</v>
      </c>
      <c r="AA937" s="31" t="str">
        <f aca="false">IF(AND(C937&lt;&gt;"",E937&lt;&gt;""),E937-C937,"")</f>
        <v/>
      </c>
      <c r="AB937" s="17"/>
      <c r="AC937" s="32"/>
      <c r="AD937" s="33"/>
      <c r="AE937" s="34" t="str">
        <f aca="false">IF(G937&lt;&gt;"",HYPERLINK("https://www.tradingview.com/chart/?symbol="&amp;G937&amp;"&amp;interval=60&amp;from="&amp;(AG937-10*3600)&amp;"&amp;to="&amp;(AG937+50*3600),"📈 1H"),"")</f>
        <v/>
      </c>
      <c r="AF937" s="35" t="str">
        <f aca="false">IF(G937&lt;&gt;"",HYPERLINK("https://www.tradingview.com/chart/?symbol="&amp;G937&amp;"&amp;interval=240&amp;from="&amp;(AG937-10*14400)&amp;"&amp;to="&amp;(AG937+50*14400),"📈 4H"),"")</f>
        <v/>
      </c>
      <c r="AG937" s="36" t="str">
        <f aca="false">IF(C937&lt;&gt;"",INT((C937+IF(D937&lt;&gt;"",D937,0)-DATE(1970,1,1))*86400),"")</f>
        <v/>
      </c>
    </row>
    <row r="938" customFormat="false" ht="19.5" hidden="false" customHeight="true" outlineLevel="0" collapsed="false">
      <c r="A938" s="37" t="n">
        <f aca="false">ROW()-4</f>
        <v>934</v>
      </c>
      <c r="B938" s="38"/>
      <c r="C938" s="39"/>
      <c r="D938" s="40"/>
      <c r="E938" s="39"/>
      <c r="F938" s="40"/>
      <c r="G938" s="41"/>
      <c r="H938" s="42"/>
      <c r="I938" s="43"/>
      <c r="J938" s="44"/>
      <c r="K938" s="39"/>
      <c r="L938" s="42"/>
      <c r="M938" s="44"/>
      <c r="N938" s="45"/>
      <c r="O938" s="44"/>
      <c r="P938" s="46"/>
      <c r="Q938" s="47" t="str">
        <f aca="false">IF(L938="","",IF(M938&lt;&gt;"",M938*L938*100,IF(AND(O938&lt;&gt;"",B938&lt;&gt;""),IFERROR(AVERAGEIF($B$5:$B$1004,B938,$M$5:$M$1004)*L938*100,""),"")))</f>
        <v/>
      </c>
      <c r="R938" s="47" t="str">
        <f aca="false">IF(AND(O938&lt;&gt;"",L938&lt;&gt;""),O938*L938*100,"")</f>
        <v/>
      </c>
      <c r="S938" s="48" t="str">
        <f aca="false">IF(AND(P938&lt;&gt;"",L938&lt;&gt;""),P938*L938*100,"")</f>
        <v/>
      </c>
      <c r="T938" s="49" t="str">
        <f aca="false">IF(AND(Q938&lt;&gt;"",R938&lt;&gt;""),R938-Q938,"")</f>
        <v/>
      </c>
      <c r="U938" s="50" t="str">
        <f aca="false">IF(AND(Q938&lt;&gt;"",Q938&lt;&gt;0,T938&lt;&gt;""),T938/Q938,"")</f>
        <v/>
      </c>
      <c r="V938" s="51" t="str">
        <f aca="false">IF(AND(S938&lt;&gt;"",Q938&lt;&gt;""),S938-Q938,"")</f>
        <v/>
      </c>
      <c r="W938" s="52" t="str">
        <f aca="false">IF(AND(Q938&lt;&gt;"",Q938&lt;&gt;0,V938&lt;&gt;""),V938/Q938,"")</f>
        <v/>
      </c>
      <c r="X938" s="53" t="s">
        <v>37</v>
      </c>
      <c r="Y938" s="54" t="str">
        <f aca="false">IF(AND(O938&lt;&gt;"",M938&lt;&gt;"",O938&gt;M938),CONCATENATE("1 : ",TEXT((O938-M938)/M938,"0.00")),IF(AND(O938&lt;&gt;"",M938&lt;&gt;"",O938&lt;M938),CONCATENATE("-1 : ",TEXT((M938-O938)/M938,"0.00")),"—"))</f>
        <v>—</v>
      </c>
      <c r="Z938" s="55" t="str">
        <f aca="false">IF(AND(P938&lt;&gt;"",M938&lt;&gt;"",P938&gt;M938),CONCATENATE("1 : ",TEXT((P938-M938)/M938,"0.00")),"—")</f>
        <v>—</v>
      </c>
      <c r="AA938" s="56" t="str">
        <f aca="false">IF(AND(C938&lt;&gt;"",E938&lt;&gt;""),E938-C938,"")</f>
        <v/>
      </c>
      <c r="AB938" s="42"/>
      <c r="AC938" s="57"/>
      <c r="AD938" s="58"/>
      <c r="AE938" s="59" t="str">
        <f aca="false">IF(G938&lt;&gt;"",HYPERLINK("https://www.tradingview.com/chart/?symbol="&amp;G938&amp;"&amp;interval=60&amp;from="&amp;(AG938-10*3600)&amp;"&amp;to="&amp;(AG938+50*3600),"📈 1H"),"")</f>
        <v/>
      </c>
      <c r="AF938" s="60" t="str">
        <f aca="false">IF(G938&lt;&gt;"",HYPERLINK("https://www.tradingview.com/chart/?symbol="&amp;G938&amp;"&amp;interval=240&amp;from="&amp;(AG938-10*14400)&amp;"&amp;to="&amp;(AG938+50*14400),"📈 4H"),"")</f>
        <v/>
      </c>
      <c r="AG938" s="36" t="str">
        <f aca="false">IF(C938&lt;&gt;"",INT((C938+IF(D938&lt;&gt;"",D938,0)-DATE(1970,1,1))*86400),"")</f>
        <v/>
      </c>
    </row>
    <row r="939" customFormat="false" ht="19.5" hidden="false" customHeight="true" outlineLevel="0" collapsed="false">
      <c r="A939" s="12" t="n">
        <f aca="false">ROW()-4</f>
        <v>935</v>
      </c>
      <c r="B939" s="13"/>
      <c r="C939" s="14"/>
      <c r="D939" s="15"/>
      <c r="E939" s="14"/>
      <c r="F939" s="15"/>
      <c r="G939" s="16"/>
      <c r="H939" s="17"/>
      <c r="I939" s="18"/>
      <c r="J939" s="19"/>
      <c r="K939" s="14"/>
      <c r="L939" s="17"/>
      <c r="M939" s="19"/>
      <c r="N939" s="20"/>
      <c r="O939" s="19"/>
      <c r="P939" s="21"/>
      <c r="Q939" s="22" t="str">
        <f aca="false">IF(L939="","",IF(M939&lt;&gt;"",M939*L939*100,IF(AND(O939&lt;&gt;"",B939&lt;&gt;""),IFERROR(AVERAGEIF($B$5:$B$1004,B939,$M$5:$M$1004)*L939*100,""),"")))</f>
        <v/>
      </c>
      <c r="R939" s="22" t="str">
        <f aca="false">IF(AND(O939&lt;&gt;"",L939&lt;&gt;""),O939*L939*100,"")</f>
        <v/>
      </c>
      <c r="S939" s="23" t="str">
        <f aca="false">IF(AND(P939&lt;&gt;"",L939&lt;&gt;""),P939*L939*100,"")</f>
        <v/>
      </c>
      <c r="T939" s="24" t="str">
        <f aca="false">IF(AND(Q939&lt;&gt;"",R939&lt;&gt;""),R939-Q939,"")</f>
        <v/>
      </c>
      <c r="U939" s="25" t="str">
        <f aca="false">IF(AND(Q939&lt;&gt;"",Q939&lt;&gt;0,T939&lt;&gt;""),T939/Q939,"")</f>
        <v/>
      </c>
      <c r="V939" s="26" t="str">
        <f aca="false">IF(AND(S939&lt;&gt;"",Q939&lt;&gt;""),S939-Q939,"")</f>
        <v/>
      </c>
      <c r="W939" s="27" t="str">
        <f aca="false">IF(AND(Q939&lt;&gt;"",Q939&lt;&gt;0,V939&lt;&gt;""),V939/Q939,"")</f>
        <v/>
      </c>
      <c r="X939" s="28" t="s">
        <v>37</v>
      </c>
      <c r="Y939" s="29" t="str">
        <f aca="false">IF(AND(O939&lt;&gt;"",M939&lt;&gt;"",O939&gt;M939),CONCATENATE("1 : ",TEXT((O939-M939)/M939,"0.00")),IF(AND(O939&lt;&gt;"",M939&lt;&gt;"",O939&lt;M939),CONCATENATE("-1 : ",TEXT((M939-O939)/M939,"0.00")),"—"))</f>
        <v>—</v>
      </c>
      <c r="Z939" s="30" t="str">
        <f aca="false">IF(AND(P939&lt;&gt;"",M939&lt;&gt;"",P939&gt;M939),CONCATENATE("1 : ",TEXT((P939-M939)/M939,"0.00")),"—")</f>
        <v>—</v>
      </c>
      <c r="AA939" s="31" t="str">
        <f aca="false">IF(AND(C939&lt;&gt;"",E939&lt;&gt;""),E939-C939,"")</f>
        <v/>
      </c>
      <c r="AB939" s="17"/>
      <c r="AC939" s="32"/>
      <c r="AD939" s="33"/>
      <c r="AE939" s="34" t="str">
        <f aca="false">IF(G939&lt;&gt;"",HYPERLINK("https://www.tradingview.com/chart/?symbol="&amp;G939&amp;"&amp;interval=60&amp;from="&amp;(AG939-10*3600)&amp;"&amp;to="&amp;(AG939+50*3600),"📈 1H"),"")</f>
        <v/>
      </c>
      <c r="AF939" s="35" t="str">
        <f aca="false">IF(G939&lt;&gt;"",HYPERLINK("https://www.tradingview.com/chart/?symbol="&amp;G939&amp;"&amp;interval=240&amp;from="&amp;(AG939-10*14400)&amp;"&amp;to="&amp;(AG939+50*14400),"📈 4H"),"")</f>
        <v/>
      </c>
      <c r="AG939" s="36" t="str">
        <f aca="false">IF(C939&lt;&gt;"",INT((C939+IF(D939&lt;&gt;"",D939,0)-DATE(1970,1,1))*86400),"")</f>
        <v/>
      </c>
    </row>
    <row r="940" customFormat="false" ht="19.5" hidden="false" customHeight="true" outlineLevel="0" collapsed="false">
      <c r="A940" s="37" t="n">
        <f aca="false">ROW()-4</f>
        <v>936</v>
      </c>
      <c r="B940" s="38"/>
      <c r="C940" s="39"/>
      <c r="D940" s="40"/>
      <c r="E940" s="39"/>
      <c r="F940" s="40"/>
      <c r="G940" s="41"/>
      <c r="H940" s="42"/>
      <c r="I940" s="43"/>
      <c r="J940" s="44"/>
      <c r="K940" s="39"/>
      <c r="L940" s="42"/>
      <c r="M940" s="44"/>
      <c r="N940" s="45"/>
      <c r="O940" s="44"/>
      <c r="P940" s="46"/>
      <c r="Q940" s="47" t="str">
        <f aca="false">IF(L940="","",IF(M940&lt;&gt;"",M940*L940*100,IF(AND(O940&lt;&gt;"",B940&lt;&gt;""),IFERROR(AVERAGEIF($B$5:$B$1004,B940,$M$5:$M$1004)*L940*100,""),"")))</f>
        <v/>
      </c>
      <c r="R940" s="47" t="str">
        <f aca="false">IF(AND(O940&lt;&gt;"",L940&lt;&gt;""),O940*L940*100,"")</f>
        <v/>
      </c>
      <c r="S940" s="48" t="str">
        <f aca="false">IF(AND(P940&lt;&gt;"",L940&lt;&gt;""),P940*L940*100,"")</f>
        <v/>
      </c>
      <c r="T940" s="49" t="str">
        <f aca="false">IF(AND(Q940&lt;&gt;"",R940&lt;&gt;""),R940-Q940,"")</f>
        <v/>
      </c>
      <c r="U940" s="50" t="str">
        <f aca="false">IF(AND(Q940&lt;&gt;"",Q940&lt;&gt;0,T940&lt;&gt;""),T940/Q940,"")</f>
        <v/>
      </c>
      <c r="V940" s="51" t="str">
        <f aca="false">IF(AND(S940&lt;&gt;"",Q940&lt;&gt;""),S940-Q940,"")</f>
        <v/>
      </c>
      <c r="W940" s="52" t="str">
        <f aca="false">IF(AND(Q940&lt;&gt;"",Q940&lt;&gt;0,V940&lt;&gt;""),V940/Q940,"")</f>
        <v/>
      </c>
      <c r="X940" s="53" t="s">
        <v>37</v>
      </c>
      <c r="Y940" s="54" t="str">
        <f aca="false">IF(AND(O940&lt;&gt;"",M940&lt;&gt;"",O940&gt;M940),CONCATENATE("1 : ",TEXT((O940-M940)/M940,"0.00")),IF(AND(O940&lt;&gt;"",M940&lt;&gt;"",O940&lt;M940),CONCATENATE("-1 : ",TEXT((M940-O940)/M940,"0.00")),"—"))</f>
        <v>—</v>
      </c>
      <c r="Z940" s="55" t="str">
        <f aca="false">IF(AND(P940&lt;&gt;"",M940&lt;&gt;"",P940&gt;M940),CONCATENATE("1 : ",TEXT((P940-M940)/M940,"0.00")),"—")</f>
        <v>—</v>
      </c>
      <c r="AA940" s="56" t="str">
        <f aca="false">IF(AND(C940&lt;&gt;"",E940&lt;&gt;""),E940-C940,"")</f>
        <v/>
      </c>
      <c r="AB940" s="42"/>
      <c r="AC940" s="57"/>
      <c r="AD940" s="58"/>
      <c r="AE940" s="59" t="str">
        <f aca="false">IF(G940&lt;&gt;"",HYPERLINK("https://www.tradingview.com/chart/?symbol="&amp;G940&amp;"&amp;interval=60&amp;from="&amp;(AG940-10*3600)&amp;"&amp;to="&amp;(AG940+50*3600),"📈 1H"),"")</f>
        <v/>
      </c>
      <c r="AF940" s="60" t="str">
        <f aca="false">IF(G940&lt;&gt;"",HYPERLINK("https://www.tradingview.com/chart/?symbol="&amp;G940&amp;"&amp;interval=240&amp;from="&amp;(AG940-10*14400)&amp;"&amp;to="&amp;(AG940+50*14400),"📈 4H"),"")</f>
        <v/>
      </c>
      <c r="AG940" s="36" t="str">
        <f aca="false">IF(C940&lt;&gt;"",INT((C940+IF(D940&lt;&gt;"",D940,0)-DATE(1970,1,1))*86400),"")</f>
        <v/>
      </c>
    </row>
    <row r="941" customFormat="false" ht="19.5" hidden="false" customHeight="true" outlineLevel="0" collapsed="false">
      <c r="A941" s="12" t="n">
        <f aca="false">ROW()-4</f>
        <v>937</v>
      </c>
      <c r="B941" s="13"/>
      <c r="C941" s="14"/>
      <c r="D941" s="15"/>
      <c r="E941" s="14"/>
      <c r="F941" s="15"/>
      <c r="G941" s="16"/>
      <c r="H941" s="17"/>
      <c r="I941" s="18"/>
      <c r="J941" s="19"/>
      <c r="K941" s="14"/>
      <c r="L941" s="17"/>
      <c r="M941" s="19"/>
      <c r="N941" s="20"/>
      <c r="O941" s="19"/>
      <c r="P941" s="21"/>
      <c r="Q941" s="22" t="str">
        <f aca="false">IF(L941="","",IF(M941&lt;&gt;"",M941*L941*100,IF(AND(O941&lt;&gt;"",B941&lt;&gt;""),IFERROR(AVERAGEIF($B$5:$B$1004,B941,$M$5:$M$1004)*L941*100,""),"")))</f>
        <v/>
      </c>
      <c r="R941" s="22" t="str">
        <f aca="false">IF(AND(O941&lt;&gt;"",L941&lt;&gt;""),O941*L941*100,"")</f>
        <v/>
      </c>
      <c r="S941" s="23" t="str">
        <f aca="false">IF(AND(P941&lt;&gt;"",L941&lt;&gt;""),P941*L941*100,"")</f>
        <v/>
      </c>
      <c r="T941" s="24" t="str">
        <f aca="false">IF(AND(Q941&lt;&gt;"",R941&lt;&gt;""),R941-Q941,"")</f>
        <v/>
      </c>
      <c r="U941" s="25" t="str">
        <f aca="false">IF(AND(Q941&lt;&gt;"",Q941&lt;&gt;0,T941&lt;&gt;""),T941/Q941,"")</f>
        <v/>
      </c>
      <c r="V941" s="26" t="str">
        <f aca="false">IF(AND(S941&lt;&gt;"",Q941&lt;&gt;""),S941-Q941,"")</f>
        <v/>
      </c>
      <c r="W941" s="27" t="str">
        <f aca="false">IF(AND(Q941&lt;&gt;"",Q941&lt;&gt;0,V941&lt;&gt;""),V941/Q941,"")</f>
        <v/>
      </c>
      <c r="X941" s="28" t="s">
        <v>37</v>
      </c>
      <c r="Y941" s="29" t="str">
        <f aca="false">IF(AND(O941&lt;&gt;"",M941&lt;&gt;"",O941&gt;M941),CONCATENATE("1 : ",TEXT((O941-M941)/M941,"0.00")),IF(AND(O941&lt;&gt;"",M941&lt;&gt;"",O941&lt;M941),CONCATENATE("-1 : ",TEXT((M941-O941)/M941,"0.00")),"—"))</f>
        <v>—</v>
      </c>
      <c r="Z941" s="30" t="str">
        <f aca="false">IF(AND(P941&lt;&gt;"",M941&lt;&gt;"",P941&gt;M941),CONCATENATE("1 : ",TEXT((P941-M941)/M941,"0.00")),"—")</f>
        <v>—</v>
      </c>
      <c r="AA941" s="31" t="str">
        <f aca="false">IF(AND(C941&lt;&gt;"",E941&lt;&gt;""),E941-C941,"")</f>
        <v/>
      </c>
      <c r="AB941" s="17"/>
      <c r="AC941" s="32"/>
      <c r="AD941" s="33"/>
      <c r="AE941" s="34" t="str">
        <f aca="false">IF(G941&lt;&gt;"",HYPERLINK("https://www.tradingview.com/chart/?symbol="&amp;G941&amp;"&amp;interval=60&amp;from="&amp;(AG941-10*3600)&amp;"&amp;to="&amp;(AG941+50*3600),"📈 1H"),"")</f>
        <v/>
      </c>
      <c r="AF941" s="35" t="str">
        <f aca="false">IF(G941&lt;&gt;"",HYPERLINK("https://www.tradingview.com/chart/?symbol="&amp;G941&amp;"&amp;interval=240&amp;from="&amp;(AG941-10*14400)&amp;"&amp;to="&amp;(AG941+50*14400),"📈 4H"),"")</f>
        <v/>
      </c>
      <c r="AG941" s="36" t="str">
        <f aca="false">IF(C941&lt;&gt;"",INT((C941+IF(D941&lt;&gt;"",D941,0)-DATE(1970,1,1))*86400),"")</f>
        <v/>
      </c>
    </row>
    <row r="942" customFormat="false" ht="19.5" hidden="false" customHeight="true" outlineLevel="0" collapsed="false">
      <c r="A942" s="37" t="n">
        <f aca="false">ROW()-4</f>
        <v>938</v>
      </c>
      <c r="B942" s="38"/>
      <c r="C942" s="39"/>
      <c r="D942" s="40"/>
      <c r="E942" s="39"/>
      <c r="F942" s="40"/>
      <c r="G942" s="41"/>
      <c r="H942" s="42"/>
      <c r="I942" s="43"/>
      <c r="J942" s="44"/>
      <c r="K942" s="39"/>
      <c r="L942" s="42"/>
      <c r="M942" s="44"/>
      <c r="N942" s="45"/>
      <c r="O942" s="44"/>
      <c r="P942" s="46"/>
      <c r="Q942" s="47" t="str">
        <f aca="false">IF(L942="","",IF(M942&lt;&gt;"",M942*L942*100,IF(AND(O942&lt;&gt;"",B942&lt;&gt;""),IFERROR(AVERAGEIF($B$5:$B$1004,B942,$M$5:$M$1004)*L942*100,""),"")))</f>
        <v/>
      </c>
      <c r="R942" s="47" t="str">
        <f aca="false">IF(AND(O942&lt;&gt;"",L942&lt;&gt;""),O942*L942*100,"")</f>
        <v/>
      </c>
      <c r="S942" s="48" t="str">
        <f aca="false">IF(AND(P942&lt;&gt;"",L942&lt;&gt;""),P942*L942*100,"")</f>
        <v/>
      </c>
      <c r="T942" s="49" t="str">
        <f aca="false">IF(AND(Q942&lt;&gt;"",R942&lt;&gt;""),R942-Q942,"")</f>
        <v/>
      </c>
      <c r="U942" s="50" t="str">
        <f aca="false">IF(AND(Q942&lt;&gt;"",Q942&lt;&gt;0,T942&lt;&gt;""),T942/Q942,"")</f>
        <v/>
      </c>
      <c r="V942" s="51" t="str">
        <f aca="false">IF(AND(S942&lt;&gt;"",Q942&lt;&gt;""),S942-Q942,"")</f>
        <v/>
      </c>
      <c r="W942" s="52" t="str">
        <f aca="false">IF(AND(Q942&lt;&gt;"",Q942&lt;&gt;0,V942&lt;&gt;""),V942/Q942,"")</f>
        <v/>
      </c>
      <c r="X942" s="53" t="s">
        <v>37</v>
      </c>
      <c r="Y942" s="54" t="str">
        <f aca="false">IF(AND(O942&lt;&gt;"",M942&lt;&gt;"",O942&gt;M942),CONCATENATE("1 : ",TEXT((O942-M942)/M942,"0.00")),IF(AND(O942&lt;&gt;"",M942&lt;&gt;"",O942&lt;M942),CONCATENATE("-1 : ",TEXT((M942-O942)/M942,"0.00")),"—"))</f>
        <v>—</v>
      </c>
      <c r="Z942" s="55" t="str">
        <f aca="false">IF(AND(P942&lt;&gt;"",M942&lt;&gt;"",P942&gt;M942),CONCATENATE("1 : ",TEXT((P942-M942)/M942,"0.00")),"—")</f>
        <v>—</v>
      </c>
      <c r="AA942" s="56" t="str">
        <f aca="false">IF(AND(C942&lt;&gt;"",E942&lt;&gt;""),E942-C942,"")</f>
        <v/>
      </c>
      <c r="AB942" s="42"/>
      <c r="AC942" s="57"/>
      <c r="AD942" s="58"/>
      <c r="AE942" s="59" t="str">
        <f aca="false">IF(G942&lt;&gt;"",HYPERLINK("https://www.tradingview.com/chart/?symbol="&amp;G942&amp;"&amp;interval=60&amp;from="&amp;(AG942-10*3600)&amp;"&amp;to="&amp;(AG942+50*3600),"📈 1H"),"")</f>
        <v/>
      </c>
      <c r="AF942" s="60" t="str">
        <f aca="false">IF(G942&lt;&gt;"",HYPERLINK("https://www.tradingview.com/chart/?symbol="&amp;G942&amp;"&amp;interval=240&amp;from="&amp;(AG942-10*14400)&amp;"&amp;to="&amp;(AG942+50*14400),"📈 4H"),"")</f>
        <v/>
      </c>
      <c r="AG942" s="36" t="str">
        <f aca="false">IF(C942&lt;&gt;"",INT((C942+IF(D942&lt;&gt;"",D942,0)-DATE(1970,1,1))*86400),"")</f>
        <v/>
      </c>
    </row>
    <row r="943" customFormat="false" ht="19.5" hidden="false" customHeight="true" outlineLevel="0" collapsed="false">
      <c r="A943" s="12" t="n">
        <f aca="false">ROW()-4</f>
        <v>939</v>
      </c>
      <c r="B943" s="13"/>
      <c r="C943" s="14"/>
      <c r="D943" s="15"/>
      <c r="E943" s="14"/>
      <c r="F943" s="15"/>
      <c r="G943" s="16"/>
      <c r="H943" s="17"/>
      <c r="I943" s="18"/>
      <c r="J943" s="19"/>
      <c r="K943" s="14"/>
      <c r="L943" s="17"/>
      <c r="M943" s="19"/>
      <c r="N943" s="20"/>
      <c r="O943" s="19"/>
      <c r="P943" s="21"/>
      <c r="Q943" s="22" t="str">
        <f aca="false">IF(L943="","",IF(M943&lt;&gt;"",M943*L943*100,IF(AND(O943&lt;&gt;"",B943&lt;&gt;""),IFERROR(AVERAGEIF($B$5:$B$1004,B943,$M$5:$M$1004)*L943*100,""),"")))</f>
        <v/>
      </c>
      <c r="R943" s="22" t="str">
        <f aca="false">IF(AND(O943&lt;&gt;"",L943&lt;&gt;""),O943*L943*100,"")</f>
        <v/>
      </c>
      <c r="S943" s="23" t="str">
        <f aca="false">IF(AND(P943&lt;&gt;"",L943&lt;&gt;""),P943*L943*100,"")</f>
        <v/>
      </c>
      <c r="T943" s="24" t="str">
        <f aca="false">IF(AND(Q943&lt;&gt;"",R943&lt;&gt;""),R943-Q943,"")</f>
        <v/>
      </c>
      <c r="U943" s="25" t="str">
        <f aca="false">IF(AND(Q943&lt;&gt;"",Q943&lt;&gt;0,T943&lt;&gt;""),T943/Q943,"")</f>
        <v/>
      </c>
      <c r="V943" s="26" t="str">
        <f aca="false">IF(AND(S943&lt;&gt;"",Q943&lt;&gt;""),S943-Q943,"")</f>
        <v/>
      </c>
      <c r="W943" s="27" t="str">
        <f aca="false">IF(AND(Q943&lt;&gt;"",Q943&lt;&gt;0,V943&lt;&gt;""),V943/Q943,"")</f>
        <v/>
      </c>
      <c r="X943" s="28" t="s">
        <v>37</v>
      </c>
      <c r="Y943" s="29" t="str">
        <f aca="false">IF(AND(O943&lt;&gt;"",M943&lt;&gt;"",O943&gt;M943),CONCATENATE("1 : ",TEXT((O943-M943)/M943,"0.00")),IF(AND(O943&lt;&gt;"",M943&lt;&gt;"",O943&lt;M943),CONCATENATE("-1 : ",TEXT((M943-O943)/M943,"0.00")),"—"))</f>
        <v>—</v>
      </c>
      <c r="Z943" s="30" t="str">
        <f aca="false">IF(AND(P943&lt;&gt;"",M943&lt;&gt;"",P943&gt;M943),CONCATENATE("1 : ",TEXT((P943-M943)/M943,"0.00")),"—")</f>
        <v>—</v>
      </c>
      <c r="AA943" s="31" t="str">
        <f aca="false">IF(AND(C943&lt;&gt;"",E943&lt;&gt;""),E943-C943,"")</f>
        <v/>
      </c>
      <c r="AB943" s="17"/>
      <c r="AC943" s="32"/>
      <c r="AD943" s="33"/>
      <c r="AE943" s="34" t="str">
        <f aca="false">IF(G943&lt;&gt;"",HYPERLINK("https://www.tradingview.com/chart/?symbol="&amp;G943&amp;"&amp;interval=60&amp;from="&amp;(AG943-10*3600)&amp;"&amp;to="&amp;(AG943+50*3600),"📈 1H"),"")</f>
        <v/>
      </c>
      <c r="AF943" s="35" t="str">
        <f aca="false">IF(G943&lt;&gt;"",HYPERLINK("https://www.tradingview.com/chart/?symbol="&amp;G943&amp;"&amp;interval=240&amp;from="&amp;(AG943-10*14400)&amp;"&amp;to="&amp;(AG943+50*14400),"📈 4H"),"")</f>
        <v/>
      </c>
      <c r="AG943" s="36" t="str">
        <f aca="false">IF(C943&lt;&gt;"",INT((C943+IF(D943&lt;&gt;"",D943,0)-DATE(1970,1,1))*86400),"")</f>
        <v/>
      </c>
    </row>
    <row r="944" customFormat="false" ht="19.5" hidden="false" customHeight="true" outlineLevel="0" collapsed="false">
      <c r="A944" s="37" t="n">
        <f aca="false">ROW()-4</f>
        <v>940</v>
      </c>
      <c r="B944" s="38"/>
      <c r="C944" s="39"/>
      <c r="D944" s="40"/>
      <c r="E944" s="39"/>
      <c r="F944" s="40"/>
      <c r="G944" s="41"/>
      <c r="H944" s="42"/>
      <c r="I944" s="43"/>
      <c r="J944" s="44"/>
      <c r="K944" s="39"/>
      <c r="L944" s="42"/>
      <c r="M944" s="44"/>
      <c r="N944" s="45"/>
      <c r="O944" s="44"/>
      <c r="P944" s="46"/>
      <c r="Q944" s="47" t="str">
        <f aca="false">IF(L944="","",IF(M944&lt;&gt;"",M944*L944*100,IF(AND(O944&lt;&gt;"",B944&lt;&gt;""),IFERROR(AVERAGEIF($B$5:$B$1004,B944,$M$5:$M$1004)*L944*100,""),"")))</f>
        <v/>
      </c>
      <c r="R944" s="47" t="str">
        <f aca="false">IF(AND(O944&lt;&gt;"",L944&lt;&gt;""),O944*L944*100,"")</f>
        <v/>
      </c>
      <c r="S944" s="48" t="str">
        <f aca="false">IF(AND(P944&lt;&gt;"",L944&lt;&gt;""),P944*L944*100,"")</f>
        <v/>
      </c>
      <c r="T944" s="49" t="str">
        <f aca="false">IF(AND(Q944&lt;&gt;"",R944&lt;&gt;""),R944-Q944,"")</f>
        <v/>
      </c>
      <c r="U944" s="50" t="str">
        <f aca="false">IF(AND(Q944&lt;&gt;"",Q944&lt;&gt;0,T944&lt;&gt;""),T944/Q944,"")</f>
        <v/>
      </c>
      <c r="V944" s="51" t="str">
        <f aca="false">IF(AND(S944&lt;&gt;"",Q944&lt;&gt;""),S944-Q944,"")</f>
        <v/>
      </c>
      <c r="W944" s="52" t="str">
        <f aca="false">IF(AND(Q944&lt;&gt;"",Q944&lt;&gt;0,V944&lt;&gt;""),V944/Q944,"")</f>
        <v/>
      </c>
      <c r="X944" s="53" t="s">
        <v>37</v>
      </c>
      <c r="Y944" s="54" t="str">
        <f aca="false">IF(AND(O944&lt;&gt;"",M944&lt;&gt;"",O944&gt;M944),CONCATENATE("1 : ",TEXT((O944-M944)/M944,"0.00")),IF(AND(O944&lt;&gt;"",M944&lt;&gt;"",O944&lt;M944),CONCATENATE("-1 : ",TEXT((M944-O944)/M944,"0.00")),"—"))</f>
        <v>—</v>
      </c>
      <c r="Z944" s="55" t="str">
        <f aca="false">IF(AND(P944&lt;&gt;"",M944&lt;&gt;"",P944&gt;M944),CONCATENATE("1 : ",TEXT((P944-M944)/M944,"0.00")),"—")</f>
        <v>—</v>
      </c>
      <c r="AA944" s="56" t="str">
        <f aca="false">IF(AND(C944&lt;&gt;"",E944&lt;&gt;""),E944-C944,"")</f>
        <v/>
      </c>
      <c r="AB944" s="42"/>
      <c r="AC944" s="57"/>
      <c r="AD944" s="58"/>
      <c r="AE944" s="59" t="str">
        <f aca="false">IF(G944&lt;&gt;"",HYPERLINK("https://www.tradingview.com/chart/?symbol="&amp;G944&amp;"&amp;interval=60&amp;from="&amp;(AG944-10*3600)&amp;"&amp;to="&amp;(AG944+50*3600),"📈 1H"),"")</f>
        <v/>
      </c>
      <c r="AF944" s="60" t="str">
        <f aca="false">IF(G944&lt;&gt;"",HYPERLINK("https://www.tradingview.com/chart/?symbol="&amp;G944&amp;"&amp;interval=240&amp;from="&amp;(AG944-10*14400)&amp;"&amp;to="&amp;(AG944+50*14400),"📈 4H"),"")</f>
        <v/>
      </c>
      <c r="AG944" s="36" t="str">
        <f aca="false">IF(C944&lt;&gt;"",INT((C944+IF(D944&lt;&gt;"",D944,0)-DATE(1970,1,1))*86400),"")</f>
        <v/>
      </c>
    </row>
    <row r="945" customFormat="false" ht="19.5" hidden="false" customHeight="true" outlineLevel="0" collapsed="false">
      <c r="A945" s="12" t="n">
        <f aca="false">ROW()-4</f>
        <v>941</v>
      </c>
      <c r="B945" s="13"/>
      <c r="C945" s="14"/>
      <c r="D945" s="15"/>
      <c r="E945" s="14"/>
      <c r="F945" s="15"/>
      <c r="G945" s="16"/>
      <c r="H945" s="17"/>
      <c r="I945" s="18"/>
      <c r="J945" s="19"/>
      <c r="K945" s="14"/>
      <c r="L945" s="17"/>
      <c r="M945" s="19"/>
      <c r="N945" s="20"/>
      <c r="O945" s="19"/>
      <c r="P945" s="21"/>
      <c r="Q945" s="22" t="str">
        <f aca="false">IF(L945="","",IF(M945&lt;&gt;"",M945*L945*100,IF(AND(O945&lt;&gt;"",B945&lt;&gt;""),IFERROR(AVERAGEIF($B$5:$B$1004,B945,$M$5:$M$1004)*L945*100,""),"")))</f>
        <v/>
      </c>
      <c r="R945" s="22" t="str">
        <f aca="false">IF(AND(O945&lt;&gt;"",L945&lt;&gt;""),O945*L945*100,"")</f>
        <v/>
      </c>
      <c r="S945" s="23" t="str">
        <f aca="false">IF(AND(P945&lt;&gt;"",L945&lt;&gt;""),P945*L945*100,"")</f>
        <v/>
      </c>
      <c r="T945" s="24" t="str">
        <f aca="false">IF(AND(Q945&lt;&gt;"",R945&lt;&gt;""),R945-Q945,"")</f>
        <v/>
      </c>
      <c r="U945" s="25" t="str">
        <f aca="false">IF(AND(Q945&lt;&gt;"",Q945&lt;&gt;0,T945&lt;&gt;""),T945/Q945,"")</f>
        <v/>
      </c>
      <c r="V945" s="26" t="str">
        <f aca="false">IF(AND(S945&lt;&gt;"",Q945&lt;&gt;""),S945-Q945,"")</f>
        <v/>
      </c>
      <c r="W945" s="27" t="str">
        <f aca="false">IF(AND(Q945&lt;&gt;"",Q945&lt;&gt;0,V945&lt;&gt;""),V945/Q945,"")</f>
        <v/>
      </c>
      <c r="X945" s="28" t="s">
        <v>37</v>
      </c>
      <c r="Y945" s="29" t="str">
        <f aca="false">IF(AND(O945&lt;&gt;"",M945&lt;&gt;"",O945&gt;M945),CONCATENATE("1 : ",TEXT((O945-M945)/M945,"0.00")),IF(AND(O945&lt;&gt;"",M945&lt;&gt;"",O945&lt;M945),CONCATENATE("-1 : ",TEXT((M945-O945)/M945,"0.00")),"—"))</f>
        <v>—</v>
      </c>
      <c r="Z945" s="30" t="str">
        <f aca="false">IF(AND(P945&lt;&gt;"",M945&lt;&gt;"",P945&gt;M945),CONCATENATE("1 : ",TEXT((P945-M945)/M945,"0.00")),"—")</f>
        <v>—</v>
      </c>
      <c r="AA945" s="31" t="str">
        <f aca="false">IF(AND(C945&lt;&gt;"",E945&lt;&gt;""),E945-C945,"")</f>
        <v/>
      </c>
      <c r="AB945" s="17"/>
      <c r="AC945" s="32"/>
      <c r="AD945" s="33"/>
      <c r="AE945" s="34" t="str">
        <f aca="false">IF(G945&lt;&gt;"",HYPERLINK("https://www.tradingview.com/chart/?symbol="&amp;G945&amp;"&amp;interval=60&amp;from="&amp;(AG945-10*3600)&amp;"&amp;to="&amp;(AG945+50*3600),"📈 1H"),"")</f>
        <v/>
      </c>
      <c r="AF945" s="35" t="str">
        <f aca="false">IF(G945&lt;&gt;"",HYPERLINK("https://www.tradingview.com/chart/?symbol="&amp;G945&amp;"&amp;interval=240&amp;from="&amp;(AG945-10*14400)&amp;"&amp;to="&amp;(AG945+50*14400),"📈 4H"),"")</f>
        <v/>
      </c>
      <c r="AG945" s="36" t="str">
        <f aca="false">IF(C945&lt;&gt;"",INT((C945+IF(D945&lt;&gt;"",D945,0)-DATE(1970,1,1))*86400),"")</f>
        <v/>
      </c>
    </row>
    <row r="946" customFormat="false" ht="19.5" hidden="false" customHeight="true" outlineLevel="0" collapsed="false">
      <c r="A946" s="37" t="n">
        <f aca="false">ROW()-4</f>
        <v>942</v>
      </c>
      <c r="B946" s="38"/>
      <c r="C946" s="39"/>
      <c r="D946" s="40"/>
      <c r="E946" s="39"/>
      <c r="F946" s="40"/>
      <c r="G946" s="41"/>
      <c r="H946" s="42"/>
      <c r="I946" s="43"/>
      <c r="J946" s="44"/>
      <c r="K946" s="39"/>
      <c r="L946" s="42"/>
      <c r="M946" s="44"/>
      <c r="N946" s="45"/>
      <c r="O946" s="44"/>
      <c r="P946" s="46"/>
      <c r="Q946" s="47" t="str">
        <f aca="false">IF(L946="","",IF(M946&lt;&gt;"",M946*L946*100,IF(AND(O946&lt;&gt;"",B946&lt;&gt;""),IFERROR(AVERAGEIF($B$5:$B$1004,B946,$M$5:$M$1004)*L946*100,""),"")))</f>
        <v/>
      </c>
      <c r="R946" s="47" t="str">
        <f aca="false">IF(AND(O946&lt;&gt;"",L946&lt;&gt;""),O946*L946*100,"")</f>
        <v/>
      </c>
      <c r="S946" s="48" t="str">
        <f aca="false">IF(AND(P946&lt;&gt;"",L946&lt;&gt;""),P946*L946*100,"")</f>
        <v/>
      </c>
      <c r="T946" s="49" t="str">
        <f aca="false">IF(AND(Q946&lt;&gt;"",R946&lt;&gt;""),R946-Q946,"")</f>
        <v/>
      </c>
      <c r="U946" s="50" t="str">
        <f aca="false">IF(AND(Q946&lt;&gt;"",Q946&lt;&gt;0,T946&lt;&gt;""),T946/Q946,"")</f>
        <v/>
      </c>
      <c r="V946" s="51" t="str">
        <f aca="false">IF(AND(S946&lt;&gt;"",Q946&lt;&gt;""),S946-Q946,"")</f>
        <v/>
      </c>
      <c r="W946" s="52" t="str">
        <f aca="false">IF(AND(Q946&lt;&gt;"",Q946&lt;&gt;0,V946&lt;&gt;""),V946/Q946,"")</f>
        <v/>
      </c>
      <c r="X946" s="53" t="s">
        <v>37</v>
      </c>
      <c r="Y946" s="54" t="str">
        <f aca="false">IF(AND(O946&lt;&gt;"",M946&lt;&gt;"",O946&gt;M946),CONCATENATE("1 : ",TEXT((O946-M946)/M946,"0.00")),IF(AND(O946&lt;&gt;"",M946&lt;&gt;"",O946&lt;M946),CONCATENATE("-1 : ",TEXT((M946-O946)/M946,"0.00")),"—"))</f>
        <v>—</v>
      </c>
      <c r="Z946" s="55" t="str">
        <f aca="false">IF(AND(P946&lt;&gt;"",M946&lt;&gt;"",P946&gt;M946),CONCATENATE("1 : ",TEXT((P946-M946)/M946,"0.00")),"—")</f>
        <v>—</v>
      </c>
      <c r="AA946" s="56" t="str">
        <f aca="false">IF(AND(C946&lt;&gt;"",E946&lt;&gt;""),E946-C946,"")</f>
        <v/>
      </c>
      <c r="AB946" s="42"/>
      <c r="AC946" s="57"/>
      <c r="AD946" s="58"/>
      <c r="AE946" s="59" t="str">
        <f aca="false">IF(G946&lt;&gt;"",HYPERLINK("https://www.tradingview.com/chart/?symbol="&amp;G946&amp;"&amp;interval=60&amp;from="&amp;(AG946-10*3600)&amp;"&amp;to="&amp;(AG946+50*3600),"📈 1H"),"")</f>
        <v/>
      </c>
      <c r="AF946" s="60" t="str">
        <f aca="false">IF(G946&lt;&gt;"",HYPERLINK("https://www.tradingview.com/chart/?symbol="&amp;G946&amp;"&amp;interval=240&amp;from="&amp;(AG946-10*14400)&amp;"&amp;to="&amp;(AG946+50*14400),"📈 4H"),"")</f>
        <v/>
      </c>
      <c r="AG946" s="36" t="str">
        <f aca="false">IF(C946&lt;&gt;"",INT((C946+IF(D946&lt;&gt;"",D946,0)-DATE(1970,1,1))*86400),"")</f>
        <v/>
      </c>
    </row>
    <row r="947" customFormat="false" ht="19.5" hidden="false" customHeight="true" outlineLevel="0" collapsed="false">
      <c r="A947" s="12" t="n">
        <f aca="false">ROW()-4</f>
        <v>943</v>
      </c>
      <c r="B947" s="13"/>
      <c r="C947" s="14"/>
      <c r="D947" s="15"/>
      <c r="E947" s="14"/>
      <c r="F947" s="15"/>
      <c r="G947" s="16"/>
      <c r="H947" s="17"/>
      <c r="I947" s="18"/>
      <c r="J947" s="19"/>
      <c r="K947" s="14"/>
      <c r="L947" s="17"/>
      <c r="M947" s="19"/>
      <c r="N947" s="20"/>
      <c r="O947" s="19"/>
      <c r="P947" s="21"/>
      <c r="Q947" s="22" t="str">
        <f aca="false">IF(L947="","",IF(M947&lt;&gt;"",M947*L947*100,IF(AND(O947&lt;&gt;"",B947&lt;&gt;""),IFERROR(AVERAGEIF($B$5:$B$1004,B947,$M$5:$M$1004)*L947*100,""),"")))</f>
        <v/>
      </c>
      <c r="R947" s="22" t="str">
        <f aca="false">IF(AND(O947&lt;&gt;"",L947&lt;&gt;""),O947*L947*100,"")</f>
        <v/>
      </c>
      <c r="S947" s="23" t="str">
        <f aca="false">IF(AND(P947&lt;&gt;"",L947&lt;&gt;""),P947*L947*100,"")</f>
        <v/>
      </c>
      <c r="T947" s="24" t="str">
        <f aca="false">IF(AND(Q947&lt;&gt;"",R947&lt;&gt;""),R947-Q947,"")</f>
        <v/>
      </c>
      <c r="U947" s="25" t="str">
        <f aca="false">IF(AND(Q947&lt;&gt;"",Q947&lt;&gt;0,T947&lt;&gt;""),T947/Q947,"")</f>
        <v/>
      </c>
      <c r="V947" s="26" t="str">
        <f aca="false">IF(AND(S947&lt;&gt;"",Q947&lt;&gt;""),S947-Q947,"")</f>
        <v/>
      </c>
      <c r="W947" s="27" t="str">
        <f aca="false">IF(AND(Q947&lt;&gt;"",Q947&lt;&gt;0,V947&lt;&gt;""),V947/Q947,"")</f>
        <v/>
      </c>
      <c r="X947" s="28" t="s">
        <v>37</v>
      </c>
      <c r="Y947" s="29" t="str">
        <f aca="false">IF(AND(O947&lt;&gt;"",M947&lt;&gt;"",O947&gt;M947),CONCATENATE("1 : ",TEXT((O947-M947)/M947,"0.00")),IF(AND(O947&lt;&gt;"",M947&lt;&gt;"",O947&lt;M947),CONCATENATE("-1 : ",TEXT((M947-O947)/M947,"0.00")),"—"))</f>
        <v>—</v>
      </c>
      <c r="Z947" s="30" t="str">
        <f aca="false">IF(AND(P947&lt;&gt;"",M947&lt;&gt;"",P947&gt;M947),CONCATENATE("1 : ",TEXT((P947-M947)/M947,"0.00")),"—")</f>
        <v>—</v>
      </c>
      <c r="AA947" s="31" t="str">
        <f aca="false">IF(AND(C947&lt;&gt;"",E947&lt;&gt;""),E947-C947,"")</f>
        <v/>
      </c>
      <c r="AB947" s="17"/>
      <c r="AC947" s="32"/>
      <c r="AD947" s="33"/>
      <c r="AE947" s="34" t="str">
        <f aca="false">IF(G947&lt;&gt;"",HYPERLINK("https://www.tradingview.com/chart/?symbol="&amp;G947&amp;"&amp;interval=60&amp;from="&amp;(AG947-10*3600)&amp;"&amp;to="&amp;(AG947+50*3600),"📈 1H"),"")</f>
        <v/>
      </c>
      <c r="AF947" s="35" t="str">
        <f aca="false">IF(G947&lt;&gt;"",HYPERLINK("https://www.tradingview.com/chart/?symbol="&amp;G947&amp;"&amp;interval=240&amp;from="&amp;(AG947-10*14400)&amp;"&amp;to="&amp;(AG947+50*14400),"📈 4H"),"")</f>
        <v/>
      </c>
      <c r="AG947" s="36" t="str">
        <f aca="false">IF(C947&lt;&gt;"",INT((C947+IF(D947&lt;&gt;"",D947,0)-DATE(1970,1,1))*86400),"")</f>
        <v/>
      </c>
    </row>
    <row r="948" customFormat="false" ht="19.5" hidden="false" customHeight="true" outlineLevel="0" collapsed="false">
      <c r="A948" s="37" t="n">
        <f aca="false">ROW()-4</f>
        <v>944</v>
      </c>
      <c r="B948" s="38"/>
      <c r="C948" s="39"/>
      <c r="D948" s="40"/>
      <c r="E948" s="39"/>
      <c r="F948" s="40"/>
      <c r="G948" s="41"/>
      <c r="H948" s="42"/>
      <c r="I948" s="43"/>
      <c r="J948" s="44"/>
      <c r="K948" s="39"/>
      <c r="L948" s="42"/>
      <c r="M948" s="44"/>
      <c r="N948" s="45"/>
      <c r="O948" s="44"/>
      <c r="P948" s="46"/>
      <c r="Q948" s="47" t="str">
        <f aca="false">IF(L948="","",IF(M948&lt;&gt;"",M948*L948*100,IF(AND(O948&lt;&gt;"",B948&lt;&gt;""),IFERROR(AVERAGEIF($B$5:$B$1004,B948,$M$5:$M$1004)*L948*100,""),"")))</f>
        <v/>
      </c>
      <c r="R948" s="47" t="str">
        <f aca="false">IF(AND(O948&lt;&gt;"",L948&lt;&gt;""),O948*L948*100,"")</f>
        <v/>
      </c>
      <c r="S948" s="48" t="str">
        <f aca="false">IF(AND(P948&lt;&gt;"",L948&lt;&gt;""),P948*L948*100,"")</f>
        <v/>
      </c>
      <c r="T948" s="49" t="str">
        <f aca="false">IF(AND(Q948&lt;&gt;"",R948&lt;&gt;""),R948-Q948,"")</f>
        <v/>
      </c>
      <c r="U948" s="50" t="str">
        <f aca="false">IF(AND(Q948&lt;&gt;"",Q948&lt;&gt;0,T948&lt;&gt;""),T948/Q948,"")</f>
        <v/>
      </c>
      <c r="V948" s="51" t="str">
        <f aca="false">IF(AND(S948&lt;&gt;"",Q948&lt;&gt;""),S948-Q948,"")</f>
        <v/>
      </c>
      <c r="W948" s="52" t="str">
        <f aca="false">IF(AND(Q948&lt;&gt;"",Q948&lt;&gt;0,V948&lt;&gt;""),V948/Q948,"")</f>
        <v/>
      </c>
      <c r="X948" s="53" t="s">
        <v>37</v>
      </c>
      <c r="Y948" s="54" t="str">
        <f aca="false">IF(AND(O948&lt;&gt;"",M948&lt;&gt;"",O948&gt;M948),CONCATENATE("1 : ",TEXT((O948-M948)/M948,"0.00")),IF(AND(O948&lt;&gt;"",M948&lt;&gt;"",O948&lt;M948),CONCATENATE("-1 : ",TEXT((M948-O948)/M948,"0.00")),"—"))</f>
        <v>—</v>
      </c>
      <c r="Z948" s="55" t="str">
        <f aca="false">IF(AND(P948&lt;&gt;"",M948&lt;&gt;"",P948&gt;M948),CONCATENATE("1 : ",TEXT((P948-M948)/M948,"0.00")),"—")</f>
        <v>—</v>
      </c>
      <c r="AA948" s="56" t="str">
        <f aca="false">IF(AND(C948&lt;&gt;"",E948&lt;&gt;""),E948-C948,"")</f>
        <v/>
      </c>
      <c r="AB948" s="42"/>
      <c r="AC948" s="57"/>
      <c r="AD948" s="58"/>
      <c r="AE948" s="59" t="str">
        <f aca="false">IF(G948&lt;&gt;"",HYPERLINK("https://www.tradingview.com/chart/?symbol="&amp;G948&amp;"&amp;interval=60&amp;from="&amp;(AG948-10*3600)&amp;"&amp;to="&amp;(AG948+50*3600),"📈 1H"),"")</f>
        <v/>
      </c>
      <c r="AF948" s="60" t="str">
        <f aca="false">IF(G948&lt;&gt;"",HYPERLINK("https://www.tradingview.com/chart/?symbol="&amp;G948&amp;"&amp;interval=240&amp;from="&amp;(AG948-10*14400)&amp;"&amp;to="&amp;(AG948+50*14400),"📈 4H"),"")</f>
        <v/>
      </c>
      <c r="AG948" s="36" t="str">
        <f aca="false">IF(C948&lt;&gt;"",INT((C948+IF(D948&lt;&gt;"",D948,0)-DATE(1970,1,1))*86400),"")</f>
        <v/>
      </c>
    </row>
    <row r="949" customFormat="false" ht="19.5" hidden="false" customHeight="true" outlineLevel="0" collapsed="false">
      <c r="A949" s="12" t="n">
        <f aca="false">ROW()-4</f>
        <v>945</v>
      </c>
      <c r="B949" s="13"/>
      <c r="C949" s="14"/>
      <c r="D949" s="15"/>
      <c r="E949" s="14"/>
      <c r="F949" s="15"/>
      <c r="G949" s="16"/>
      <c r="H949" s="17"/>
      <c r="I949" s="18"/>
      <c r="J949" s="19"/>
      <c r="K949" s="14"/>
      <c r="L949" s="17"/>
      <c r="M949" s="19"/>
      <c r="N949" s="20"/>
      <c r="O949" s="19"/>
      <c r="P949" s="21"/>
      <c r="Q949" s="22" t="str">
        <f aca="false">IF(L949="","",IF(M949&lt;&gt;"",M949*L949*100,IF(AND(O949&lt;&gt;"",B949&lt;&gt;""),IFERROR(AVERAGEIF($B$5:$B$1004,B949,$M$5:$M$1004)*L949*100,""),"")))</f>
        <v/>
      </c>
      <c r="R949" s="22" t="str">
        <f aca="false">IF(AND(O949&lt;&gt;"",L949&lt;&gt;""),O949*L949*100,"")</f>
        <v/>
      </c>
      <c r="S949" s="23" t="str">
        <f aca="false">IF(AND(P949&lt;&gt;"",L949&lt;&gt;""),P949*L949*100,"")</f>
        <v/>
      </c>
      <c r="T949" s="24" t="str">
        <f aca="false">IF(AND(Q949&lt;&gt;"",R949&lt;&gt;""),R949-Q949,"")</f>
        <v/>
      </c>
      <c r="U949" s="25" t="str">
        <f aca="false">IF(AND(Q949&lt;&gt;"",Q949&lt;&gt;0,T949&lt;&gt;""),T949/Q949,"")</f>
        <v/>
      </c>
      <c r="V949" s="26" t="str">
        <f aca="false">IF(AND(S949&lt;&gt;"",Q949&lt;&gt;""),S949-Q949,"")</f>
        <v/>
      </c>
      <c r="W949" s="27" t="str">
        <f aca="false">IF(AND(Q949&lt;&gt;"",Q949&lt;&gt;0,V949&lt;&gt;""),V949/Q949,"")</f>
        <v/>
      </c>
      <c r="X949" s="28" t="s">
        <v>37</v>
      </c>
      <c r="Y949" s="29" t="str">
        <f aca="false">IF(AND(O949&lt;&gt;"",M949&lt;&gt;"",O949&gt;M949),CONCATENATE("1 : ",TEXT((O949-M949)/M949,"0.00")),IF(AND(O949&lt;&gt;"",M949&lt;&gt;"",O949&lt;M949),CONCATENATE("-1 : ",TEXT((M949-O949)/M949,"0.00")),"—"))</f>
        <v>—</v>
      </c>
      <c r="Z949" s="30" t="str">
        <f aca="false">IF(AND(P949&lt;&gt;"",M949&lt;&gt;"",P949&gt;M949),CONCATENATE("1 : ",TEXT((P949-M949)/M949,"0.00")),"—")</f>
        <v>—</v>
      </c>
      <c r="AA949" s="31" t="str">
        <f aca="false">IF(AND(C949&lt;&gt;"",E949&lt;&gt;""),E949-C949,"")</f>
        <v/>
      </c>
      <c r="AB949" s="17"/>
      <c r="AC949" s="32"/>
      <c r="AD949" s="33"/>
      <c r="AE949" s="34" t="str">
        <f aca="false">IF(G949&lt;&gt;"",HYPERLINK("https://www.tradingview.com/chart/?symbol="&amp;G949&amp;"&amp;interval=60&amp;from="&amp;(AG949-10*3600)&amp;"&amp;to="&amp;(AG949+50*3600),"📈 1H"),"")</f>
        <v/>
      </c>
      <c r="AF949" s="35" t="str">
        <f aca="false">IF(G949&lt;&gt;"",HYPERLINK("https://www.tradingview.com/chart/?symbol="&amp;G949&amp;"&amp;interval=240&amp;from="&amp;(AG949-10*14400)&amp;"&amp;to="&amp;(AG949+50*14400),"📈 4H"),"")</f>
        <v/>
      </c>
      <c r="AG949" s="36" t="str">
        <f aca="false">IF(C949&lt;&gt;"",INT((C949+IF(D949&lt;&gt;"",D949,0)-DATE(1970,1,1))*86400),"")</f>
        <v/>
      </c>
    </row>
    <row r="950" customFormat="false" ht="19.5" hidden="false" customHeight="true" outlineLevel="0" collapsed="false">
      <c r="A950" s="37" t="n">
        <f aca="false">ROW()-4</f>
        <v>946</v>
      </c>
      <c r="B950" s="38"/>
      <c r="C950" s="39"/>
      <c r="D950" s="40"/>
      <c r="E950" s="39"/>
      <c r="F950" s="40"/>
      <c r="G950" s="41"/>
      <c r="H950" s="42"/>
      <c r="I950" s="43"/>
      <c r="J950" s="44"/>
      <c r="K950" s="39"/>
      <c r="L950" s="42"/>
      <c r="M950" s="44"/>
      <c r="N950" s="45"/>
      <c r="O950" s="44"/>
      <c r="P950" s="46"/>
      <c r="Q950" s="47" t="str">
        <f aca="false">IF(L950="","",IF(M950&lt;&gt;"",M950*L950*100,IF(AND(O950&lt;&gt;"",B950&lt;&gt;""),IFERROR(AVERAGEIF($B$5:$B$1004,B950,$M$5:$M$1004)*L950*100,""),"")))</f>
        <v/>
      </c>
      <c r="R950" s="47" t="str">
        <f aca="false">IF(AND(O950&lt;&gt;"",L950&lt;&gt;""),O950*L950*100,"")</f>
        <v/>
      </c>
      <c r="S950" s="48" t="str">
        <f aca="false">IF(AND(P950&lt;&gt;"",L950&lt;&gt;""),P950*L950*100,"")</f>
        <v/>
      </c>
      <c r="T950" s="49" t="str">
        <f aca="false">IF(AND(Q950&lt;&gt;"",R950&lt;&gt;""),R950-Q950,"")</f>
        <v/>
      </c>
      <c r="U950" s="50" t="str">
        <f aca="false">IF(AND(Q950&lt;&gt;"",Q950&lt;&gt;0,T950&lt;&gt;""),T950/Q950,"")</f>
        <v/>
      </c>
      <c r="V950" s="51" t="str">
        <f aca="false">IF(AND(S950&lt;&gt;"",Q950&lt;&gt;""),S950-Q950,"")</f>
        <v/>
      </c>
      <c r="W950" s="52" t="str">
        <f aca="false">IF(AND(Q950&lt;&gt;"",Q950&lt;&gt;0,V950&lt;&gt;""),V950/Q950,"")</f>
        <v/>
      </c>
      <c r="X950" s="53" t="s">
        <v>37</v>
      </c>
      <c r="Y950" s="54" t="str">
        <f aca="false">IF(AND(O950&lt;&gt;"",M950&lt;&gt;"",O950&gt;M950),CONCATENATE("1 : ",TEXT((O950-M950)/M950,"0.00")),IF(AND(O950&lt;&gt;"",M950&lt;&gt;"",O950&lt;M950),CONCATENATE("-1 : ",TEXT((M950-O950)/M950,"0.00")),"—"))</f>
        <v>—</v>
      </c>
      <c r="Z950" s="55" t="str">
        <f aca="false">IF(AND(P950&lt;&gt;"",M950&lt;&gt;"",P950&gt;M950),CONCATENATE("1 : ",TEXT((P950-M950)/M950,"0.00")),"—")</f>
        <v>—</v>
      </c>
      <c r="AA950" s="56" t="str">
        <f aca="false">IF(AND(C950&lt;&gt;"",E950&lt;&gt;""),E950-C950,"")</f>
        <v/>
      </c>
      <c r="AB950" s="42"/>
      <c r="AC950" s="57"/>
      <c r="AD950" s="58"/>
      <c r="AE950" s="59" t="str">
        <f aca="false">IF(G950&lt;&gt;"",HYPERLINK("https://www.tradingview.com/chart/?symbol="&amp;G950&amp;"&amp;interval=60&amp;from="&amp;(AG950-10*3600)&amp;"&amp;to="&amp;(AG950+50*3600),"📈 1H"),"")</f>
        <v/>
      </c>
      <c r="AF950" s="60" t="str">
        <f aca="false">IF(G950&lt;&gt;"",HYPERLINK("https://www.tradingview.com/chart/?symbol="&amp;G950&amp;"&amp;interval=240&amp;from="&amp;(AG950-10*14400)&amp;"&amp;to="&amp;(AG950+50*14400),"📈 4H"),"")</f>
        <v/>
      </c>
      <c r="AG950" s="36" t="str">
        <f aca="false">IF(C950&lt;&gt;"",INT((C950+IF(D950&lt;&gt;"",D950,0)-DATE(1970,1,1))*86400),"")</f>
        <v/>
      </c>
    </row>
    <row r="951" customFormat="false" ht="19.5" hidden="false" customHeight="true" outlineLevel="0" collapsed="false">
      <c r="A951" s="12" t="n">
        <f aca="false">ROW()-4</f>
        <v>947</v>
      </c>
      <c r="B951" s="13"/>
      <c r="C951" s="14"/>
      <c r="D951" s="15"/>
      <c r="E951" s="14"/>
      <c r="F951" s="15"/>
      <c r="G951" s="16"/>
      <c r="H951" s="17"/>
      <c r="I951" s="18"/>
      <c r="J951" s="19"/>
      <c r="K951" s="14"/>
      <c r="L951" s="17"/>
      <c r="M951" s="19"/>
      <c r="N951" s="20"/>
      <c r="O951" s="19"/>
      <c r="P951" s="21"/>
      <c r="Q951" s="22" t="str">
        <f aca="false">IF(L951="","",IF(M951&lt;&gt;"",M951*L951*100,IF(AND(O951&lt;&gt;"",B951&lt;&gt;""),IFERROR(AVERAGEIF($B$5:$B$1004,B951,$M$5:$M$1004)*L951*100,""),"")))</f>
        <v/>
      </c>
      <c r="R951" s="22" t="str">
        <f aca="false">IF(AND(O951&lt;&gt;"",L951&lt;&gt;""),O951*L951*100,"")</f>
        <v/>
      </c>
      <c r="S951" s="23" t="str">
        <f aca="false">IF(AND(P951&lt;&gt;"",L951&lt;&gt;""),P951*L951*100,"")</f>
        <v/>
      </c>
      <c r="T951" s="24" t="str">
        <f aca="false">IF(AND(Q951&lt;&gt;"",R951&lt;&gt;""),R951-Q951,"")</f>
        <v/>
      </c>
      <c r="U951" s="25" t="str">
        <f aca="false">IF(AND(Q951&lt;&gt;"",Q951&lt;&gt;0,T951&lt;&gt;""),T951/Q951,"")</f>
        <v/>
      </c>
      <c r="V951" s="26" t="str">
        <f aca="false">IF(AND(S951&lt;&gt;"",Q951&lt;&gt;""),S951-Q951,"")</f>
        <v/>
      </c>
      <c r="W951" s="27" t="str">
        <f aca="false">IF(AND(Q951&lt;&gt;"",Q951&lt;&gt;0,V951&lt;&gt;""),V951/Q951,"")</f>
        <v/>
      </c>
      <c r="X951" s="28" t="s">
        <v>37</v>
      </c>
      <c r="Y951" s="29" t="str">
        <f aca="false">IF(AND(O951&lt;&gt;"",M951&lt;&gt;"",O951&gt;M951),CONCATENATE("1 : ",TEXT((O951-M951)/M951,"0.00")),IF(AND(O951&lt;&gt;"",M951&lt;&gt;"",O951&lt;M951),CONCATENATE("-1 : ",TEXT((M951-O951)/M951,"0.00")),"—"))</f>
        <v>—</v>
      </c>
      <c r="Z951" s="30" t="str">
        <f aca="false">IF(AND(P951&lt;&gt;"",M951&lt;&gt;"",P951&gt;M951),CONCATENATE("1 : ",TEXT((P951-M951)/M951,"0.00")),"—")</f>
        <v>—</v>
      </c>
      <c r="AA951" s="31" t="str">
        <f aca="false">IF(AND(C951&lt;&gt;"",E951&lt;&gt;""),E951-C951,"")</f>
        <v/>
      </c>
      <c r="AB951" s="17"/>
      <c r="AC951" s="32"/>
      <c r="AD951" s="33"/>
      <c r="AE951" s="34" t="str">
        <f aca="false">IF(G951&lt;&gt;"",HYPERLINK("https://www.tradingview.com/chart/?symbol="&amp;G951&amp;"&amp;interval=60&amp;from="&amp;(AG951-10*3600)&amp;"&amp;to="&amp;(AG951+50*3600),"📈 1H"),"")</f>
        <v/>
      </c>
      <c r="AF951" s="35" t="str">
        <f aca="false">IF(G951&lt;&gt;"",HYPERLINK("https://www.tradingview.com/chart/?symbol="&amp;G951&amp;"&amp;interval=240&amp;from="&amp;(AG951-10*14400)&amp;"&amp;to="&amp;(AG951+50*14400),"📈 4H"),"")</f>
        <v/>
      </c>
      <c r="AG951" s="36" t="str">
        <f aca="false">IF(C951&lt;&gt;"",INT((C951+IF(D951&lt;&gt;"",D951,0)-DATE(1970,1,1))*86400),"")</f>
        <v/>
      </c>
    </row>
    <row r="952" customFormat="false" ht="19.5" hidden="false" customHeight="true" outlineLevel="0" collapsed="false">
      <c r="A952" s="37" t="n">
        <f aca="false">ROW()-4</f>
        <v>948</v>
      </c>
      <c r="B952" s="38"/>
      <c r="C952" s="39"/>
      <c r="D952" s="40"/>
      <c r="E952" s="39"/>
      <c r="F952" s="40"/>
      <c r="G952" s="41"/>
      <c r="H952" s="42"/>
      <c r="I952" s="43"/>
      <c r="J952" s="44"/>
      <c r="K952" s="39"/>
      <c r="L952" s="42"/>
      <c r="M952" s="44"/>
      <c r="N952" s="45"/>
      <c r="O952" s="44"/>
      <c r="P952" s="46"/>
      <c r="Q952" s="47" t="str">
        <f aca="false">IF(L952="","",IF(M952&lt;&gt;"",M952*L952*100,IF(AND(O952&lt;&gt;"",B952&lt;&gt;""),IFERROR(AVERAGEIF($B$5:$B$1004,B952,$M$5:$M$1004)*L952*100,""),"")))</f>
        <v/>
      </c>
      <c r="R952" s="47" t="str">
        <f aca="false">IF(AND(O952&lt;&gt;"",L952&lt;&gt;""),O952*L952*100,"")</f>
        <v/>
      </c>
      <c r="S952" s="48" t="str">
        <f aca="false">IF(AND(P952&lt;&gt;"",L952&lt;&gt;""),P952*L952*100,"")</f>
        <v/>
      </c>
      <c r="T952" s="49" t="str">
        <f aca="false">IF(AND(Q952&lt;&gt;"",R952&lt;&gt;""),R952-Q952,"")</f>
        <v/>
      </c>
      <c r="U952" s="50" t="str">
        <f aca="false">IF(AND(Q952&lt;&gt;"",Q952&lt;&gt;0,T952&lt;&gt;""),T952/Q952,"")</f>
        <v/>
      </c>
      <c r="V952" s="51" t="str">
        <f aca="false">IF(AND(S952&lt;&gt;"",Q952&lt;&gt;""),S952-Q952,"")</f>
        <v/>
      </c>
      <c r="W952" s="52" t="str">
        <f aca="false">IF(AND(Q952&lt;&gt;"",Q952&lt;&gt;0,V952&lt;&gt;""),V952/Q952,"")</f>
        <v/>
      </c>
      <c r="X952" s="53" t="s">
        <v>37</v>
      </c>
      <c r="Y952" s="54" t="str">
        <f aca="false">IF(AND(O952&lt;&gt;"",M952&lt;&gt;"",O952&gt;M952),CONCATENATE("1 : ",TEXT((O952-M952)/M952,"0.00")),IF(AND(O952&lt;&gt;"",M952&lt;&gt;"",O952&lt;M952),CONCATENATE("-1 : ",TEXT((M952-O952)/M952,"0.00")),"—"))</f>
        <v>—</v>
      </c>
      <c r="Z952" s="55" t="str">
        <f aca="false">IF(AND(P952&lt;&gt;"",M952&lt;&gt;"",P952&gt;M952),CONCATENATE("1 : ",TEXT((P952-M952)/M952,"0.00")),"—")</f>
        <v>—</v>
      </c>
      <c r="AA952" s="56" t="str">
        <f aca="false">IF(AND(C952&lt;&gt;"",E952&lt;&gt;""),E952-C952,"")</f>
        <v/>
      </c>
      <c r="AB952" s="42"/>
      <c r="AC952" s="57"/>
      <c r="AD952" s="58"/>
      <c r="AE952" s="59" t="str">
        <f aca="false">IF(G952&lt;&gt;"",HYPERLINK("https://www.tradingview.com/chart/?symbol="&amp;G952&amp;"&amp;interval=60&amp;from="&amp;(AG952-10*3600)&amp;"&amp;to="&amp;(AG952+50*3600),"📈 1H"),"")</f>
        <v/>
      </c>
      <c r="AF952" s="60" t="str">
        <f aca="false">IF(G952&lt;&gt;"",HYPERLINK("https://www.tradingview.com/chart/?symbol="&amp;G952&amp;"&amp;interval=240&amp;from="&amp;(AG952-10*14400)&amp;"&amp;to="&amp;(AG952+50*14400),"📈 4H"),"")</f>
        <v/>
      </c>
      <c r="AG952" s="36" t="str">
        <f aca="false">IF(C952&lt;&gt;"",INT((C952+IF(D952&lt;&gt;"",D952,0)-DATE(1970,1,1))*86400),"")</f>
        <v/>
      </c>
    </row>
    <row r="953" customFormat="false" ht="19.5" hidden="false" customHeight="true" outlineLevel="0" collapsed="false">
      <c r="A953" s="12" t="n">
        <f aca="false">ROW()-4</f>
        <v>949</v>
      </c>
      <c r="B953" s="13"/>
      <c r="C953" s="14"/>
      <c r="D953" s="15"/>
      <c r="E953" s="14"/>
      <c r="F953" s="15"/>
      <c r="G953" s="16"/>
      <c r="H953" s="17"/>
      <c r="I953" s="18"/>
      <c r="J953" s="19"/>
      <c r="K953" s="14"/>
      <c r="L953" s="17"/>
      <c r="M953" s="19"/>
      <c r="N953" s="20"/>
      <c r="O953" s="19"/>
      <c r="P953" s="21"/>
      <c r="Q953" s="22" t="str">
        <f aca="false">IF(L953="","",IF(M953&lt;&gt;"",M953*L953*100,IF(AND(O953&lt;&gt;"",B953&lt;&gt;""),IFERROR(AVERAGEIF($B$5:$B$1004,B953,$M$5:$M$1004)*L953*100,""),"")))</f>
        <v/>
      </c>
      <c r="R953" s="22" t="str">
        <f aca="false">IF(AND(O953&lt;&gt;"",L953&lt;&gt;""),O953*L953*100,"")</f>
        <v/>
      </c>
      <c r="S953" s="23" t="str">
        <f aca="false">IF(AND(P953&lt;&gt;"",L953&lt;&gt;""),P953*L953*100,"")</f>
        <v/>
      </c>
      <c r="T953" s="24" t="str">
        <f aca="false">IF(AND(Q953&lt;&gt;"",R953&lt;&gt;""),R953-Q953,"")</f>
        <v/>
      </c>
      <c r="U953" s="25" t="str">
        <f aca="false">IF(AND(Q953&lt;&gt;"",Q953&lt;&gt;0,T953&lt;&gt;""),T953/Q953,"")</f>
        <v/>
      </c>
      <c r="V953" s="26" t="str">
        <f aca="false">IF(AND(S953&lt;&gt;"",Q953&lt;&gt;""),S953-Q953,"")</f>
        <v/>
      </c>
      <c r="W953" s="27" t="str">
        <f aca="false">IF(AND(Q953&lt;&gt;"",Q953&lt;&gt;0,V953&lt;&gt;""),V953/Q953,"")</f>
        <v/>
      </c>
      <c r="X953" s="28" t="s">
        <v>37</v>
      </c>
      <c r="Y953" s="29" t="str">
        <f aca="false">IF(AND(O953&lt;&gt;"",M953&lt;&gt;"",O953&gt;M953),CONCATENATE("1 : ",TEXT((O953-M953)/M953,"0.00")),IF(AND(O953&lt;&gt;"",M953&lt;&gt;"",O953&lt;M953),CONCATENATE("-1 : ",TEXT((M953-O953)/M953,"0.00")),"—"))</f>
        <v>—</v>
      </c>
      <c r="Z953" s="30" t="str">
        <f aca="false">IF(AND(P953&lt;&gt;"",M953&lt;&gt;"",P953&gt;M953),CONCATENATE("1 : ",TEXT((P953-M953)/M953,"0.00")),"—")</f>
        <v>—</v>
      </c>
      <c r="AA953" s="31" t="str">
        <f aca="false">IF(AND(C953&lt;&gt;"",E953&lt;&gt;""),E953-C953,"")</f>
        <v/>
      </c>
      <c r="AB953" s="17"/>
      <c r="AC953" s="32"/>
      <c r="AD953" s="33"/>
      <c r="AE953" s="34" t="str">
        <f aca="false">IF(G953&lt;&gt;"",HYPERLINK("https://www.tradingview.com/chart/?symbol="&amp;G953&amp;"&amp;interval=60&amp;from="&amp;(AG953-10*3600)&amp;"&amp;to="&amp;(AG953+50*3600),"📈 1H"),"")</f>
        <v/>
      </c>
      <c r="AF953" s="35" t="str">
        <f aca="false">IF(G953&lt;&gt;"",HYPERLINK("https://www.tradingview.com/chart/?symbol="&amp;G953&amp;"&amp;interval=240&amp;from="&amp;(AG953-10*14400)&amp;"&amp;to="&amp;(AG953+50*14400),"📈 4H"),"")</f>
        <v/>
      </c>
      <c r="AG953" s="36" t="str">
        <f aca="false">IF(C953&lt;&gt;"",INT((C953+IF(D953&lt;&gt;"",D953,0)-DATE(1970,1,1))*86400),"")</f>
        <v/>
      </c>
    </row>
    <row r="954" customFormat="false" ht="19.5" hidden="false" customHeight="true" outlineLevel="0" collapsed="false">
      <c r="A954" s="37" t="n">
        <f aca="false">ROW()-4</f>
        <v>950</v>
      </c>
      <c r="B954" s="38"/>
      <c r="C954" s="39"/>
      <c r="D954" s="40"/>
      <c r="E954" s="39"/>
      <c r="F954" s="40"/>
      <c r="G954" s="41"/>
      <c r="H954" s="42"/>
      <c r="I954" s="43"/>
      <c r="J954" s="44"/>
      <c r="K954" s="39"/>
      <c r="L954" s="42"/>
      <c r="M954" s="44"/>
      <c r="N954" s="45"/>
      <c r="O954" s="44"/>
      <c r="P954" s="46"/>
      <c r="Q954" s="47" t="str">
        <f aca="false">IF(L954="","",IF(M954&lt;&gt;"",M954*L954*100,IF(AND(O954&lt;&gt;"",B954&lt;&gt;""),IFERROR(AVERAGEIF($B$5:$B$1004,B954,$M$5:$M$1004)*L954*100,""),"")))</f>
        <v/>
      </c>
      <c r="R954" s="47" t="str">
        <f aca="false">IF(AND(O954&lt;&gt;"",L954&lt;&gt;""),O954*L954*100,"")</f>
        <v/>
      </c>
      <c r="S954" s="48" t="str">
        <f aca="false">IF(AND(P954&lt;&gt;"",L954&lt;&gt;""),P954*L954*100,"")</f>
        <v/>
      </c>
      <c r="T954" s="49" t="str">
        <f aca="false">IF(AND(Q954&lt;&gt;"",R954&lt;&gt;""),R954-Q954,"")</f>
        <v/>
      </c>
      <c r="U954" s="50" t="str">
        <f aca="false">IF(AND(Q954&lt;&gt;"",Q954&lt;&gt;0,T954&lt;&gt;""),T954/Q954,"")</f>
        <v/>
      </c>
      <c r="V954" s="51" t="str">
        <f aca="false">IF(AND(S954&lt;&gt;"",Q954&lt;&gt;""),S954-Q954,"")</f>
        <v/>
      </c>
      <c r="W954" s="52" t="str">
        <f aca="false">IF(AND(Q954&lt;&gt;"",Q954&lt;&gt;0,V954&lt;&gt;""),V954/Q954,"")</f>
        <v/>
      </c>
      <c r="X954" s="53" t="s">
        <v>37</v>
      </c>
      <c r="Y954" s="54" t="str">
        <f aca="false">IF(AND(O954&lt;&gt;"",M954&lt;&gt;"",O954&gt;M954),CONCATENATE("1 : ",TEXT((O954-M954)/M954,"0.00")),IF(AND(O954&lt;&gt;"",M954&lt;&gt;"",O954&lt;M954),CONCATENATE("-1 : ",TEXT((M954-O954)/M954,"0.00")),"—"))</f>
        <v>—</v>
      </c>
      <c r="Z954" s="55" t="str">
        <f aca="false">IF(AND(P954&lt;&gt;"",M954&lt;&gt;"",P954&gt;M954),CONCATENATE("1 : ",TEXT((P954-M954)/M954,"0.00")),"—")</f>
        <v>—</v>
      </c>
      <c r="AA954" s="56" t="str">
        <f aca="false">IF(AND(C954&lt;&gt;"",E954&lt;&gt;""),E954-C954,"")</f>
        <v/>
      </c>
      <c r="AB954" s="42"/>
      <c r="AC954" s="57"/>
      <c r="AD954" s="58"/>
      <c r="AE954" s="59" t="str">
        <f aca="false">IF(G954&lt;&gt;"",HYPERLINK("https://www.tradingview.com/chart/?symbol="&amp;G954&amp;"&amp;interval=60&amp;from="&amp;(AG954-10*3600)&amp;"&amp;to="&amp;(AG954+50*3600),"📈 1H"),"")</f>
        <v/>
      </c>
      <c r="AF954" s="60" t="str">
        <f aca="false">IF(G954&lt;&gt;"",HYPERLINK("https://www.tradingview.com/chart/?symbol="&amp;G954&amp;"&amp;interval=240&amp;from="&amp;(AG954-10*14400)&amp;"&amp;to="&amp;(AG954+50*14400),"📈 4H"),"")</f>
        <v/>
      </c>
      <c r="AG954" s="36" t="str">
        <f aca="false">IF(C954&lt;&gt;"",INT((C954+IF(D954&lt;&gt;"",D954,0)-DATE(1970,1,1))*86400),"")</f>
        <v/>
      </c>
    </row>
    <row r="955" customFormat="false" ht="19.5" hidden="false" customHeight="true" outlineLevel="0" collapsed="false">
      <c r="A955" s="12" t="n">
        <f aca="false">ROW()-4</f>
        <v>951</v>
      </c>
      <c r="B955" s="13"/>
      <c r="C955" s="14"/>
      <c r="D955" s="15"/>
      <c r="E955" s="14"/>
      <c r="F955" s="15"/>
      <c r="G955" s="16"/>
      <c r="H955" s="17"/>
      <c r="I955" s="18"/>
      <c r="J955" s="19"/>
      <c r="K955" s="14"/>
      <c r="L955" s="17"/>
      <c r="M955" s="19"/>
      <c r="N955" s="20"/>
      <c r="O955" s="19"/>
      <c r="P955" s="21"/>
      <c r="Q955" s="22" t="str">
        <f aca="false">IF(L955="","",IF(M955&lt;&gt;"",M955*L955*100,IF(AND(O955&lt;&gt;"",B955&lt;&gt;""),IFERROR(AVERAGEIF($B$5:$B$1004,B955,$M$5:$M$1004)*L955*100,""),"")))</f>
        <v/>
      </c>
      <c r="R955" s="22" t="str">
        <f aca="false">IF(AND(O955&lt;&gt;"",L955&lt;&gt;""),O955*L955*100,"")</f>
        <v/>
      </c>
      <c r="S955" s="23" t="str">
        <f aca="false">IF(AND(P955&lt;&gt;"",L955&lt;&gt;""),P955*L955*100,"")</f>
        <v/>
      </c>
      <c r="T955" s="24" t="str">
        <f aca="false">IF(AND(Q955&lt;&gt;"",R955&lt;&gt;""),R955-Q955,"")</f>
        <v/>
      </c>
      <c r="U955" s="25" t="str">
        <f aca="false">IF(AND(Q955&lt;&gt;"",Q955&lt;&gt;0,T955&lt;&gt;""),T955/Q955,"")</f>
        <v/>
      </c>
      <c r="V955" s="26" t="str">
        <f aca="false">IF(AND(S955&lt;&gt;"",Q955&lt;&gt;""),S955-Q955,"")</f>
        <v/>
      </c>
      <c r="W955" s="27" t="str">
        <f aca="false">IF(AND(Q955&lt;&gt;"",Q955&lt;&gt;0,V955&lt;&gt;""),V955/Q955,"")</f>
        <v/>
      </c>
      <c r="X955" s="28" t="s">
        <v>37</v>
      </c>
      <c r="Y955" s="29" t="str">
        <f aca="false">IF(AND(O955&lt;&gt;"",M955&lt;&gt;"",O955&gt;M955),CONCATENATE("1 : ",TEXT((O955-M955)/M955,"0.00")),IF(AND(O955&lt;&gt;"",M955&lt;&gt;"",O955&lt;M955),CONCATENATE("-1 : ",TEXT((M955-O955)/M955,"0.00")),"—"))</f>
        <v>—</v>
      </c>
      <c r="Z955" s="30" t="str">
        <f aca="false">IF(AND(P955&lt;&gt;"",M955&lt;&gt;"",P955&gt;M955),CONCATENATE("1 : ",TEXT((P955-M955)/M955,"0.00")),"—")</f>
        <v>—</v>
      </c>
      <c r="AA955" s="31" t="str">
        <f aca="false">IF(AND(C955&lt;&gt;"",E955&lt;&gt;""),E955-C955,"")</f>
        <v/>
      </c>
      <c r="AB955" s="17"/>
      <c r="AC955" s="32"/>
      <c r="AD955" s="33"/>
      <c r="AE955" s="34" t="str">
        <f aca="false">IF(G955&lt;&gt;"",HYPERLINK("https://www.tradingview.com/chart/?symbol="&amp;G955&amp;"&amp;interval=60&amp;from="&amp;(AG955-10*3600)&amp;"&amp;to="&amp;(AG955+50*3600),"📈 1H"),"")</f>
        <v/>
      </c>
      <c r="AF955" s="35" t="str">
        <f aca="false">IF(G955&lt;&gt;"",HYPERLINK("https://www.tradingview.com/chart/?symbol="&amp;G955&amp;"&amp;interval=240&amp;from="&amp;(AG955-10*14400)&amp;"&amp;to="&amp;(AG955+50*14400),"📈 4H"),"")</f>
        <v/>
      </c>
      <c r="AG955" s="36" t="str">
        <f aca="false">IF(C955&lt;&gt;"",INT((C955+IF(D955&lt;&gt;"",D955,0)-DATE(1970,1,1))*86400),"")</f>
        <v/>
      </c>
    </row>
    <row r="956" customFormat="false" ht="19.5" hidden="false" customHeight="true" outlineLevel="0" collapsed="false">
      <c r="A956" s="37" t="n">
        <f aca="false">ROW()-4</f>
        <v>952</v>
      </c>
      <c r="B956" s="38"/>
      <c r="C956" s="39"/>
      <c r="D956" s="40"/>
      <c r="E956" s="39"/>
      <c r="F956" s="40"/>
      <c r="G956" s="41"/>
      <c r="H956" s="42"/>
      <c r="I956" s="43"/>
      <c r="J956" s="44"/>
      <c r="K956" s="39"/>
      <c r="L956" s="42"/>
      <c r="M956" s="44"/>
      <c r="N956" s="45"/>
      <c r="O956" s="44"/>
      <c r="P956" s="46"/>
      <c r="Q956" s="47" t="str">
        <f aca="false">IF(L956="","",IF(M956&lt;&gt;"",M956*L956*100,IF(AND(O956&lt;&gt;"",B956&lt;&gt;""),IFERROR(AVERAGEIF($B$5:$B$1004,B956,$M$5:$M$1004)*L956*100,""),"")))</f>
        <v/>
      </c>
      <c r="R956" s="47" t="str">
        <f aca="false">IF(AND(O956&lt;&gt;"",L956&lt;&gt;""),O956*L956*100,"")</f>
        <v/>
      </c>
      <c r="S956" s="48" t="str">
        <f aca="false">IF(AND(P956&lt;&gt;"",L956&lt;&gt;""),P956*L956*100,"")</f>
        <v/>
      </c>
      <c r="T956" s="49" t="str">
        <f aca="false">IF(AND(Q956&lt;&gt;"",R956&lt;&gt;""),R956-Q956,"")</f>
        <v/>
      </c>
      <c r="U956" s="50" t="str">
        <f aca="false">IF(AND(Q956&lt;&gt;"",Q956&lt;&gt;0,T956&lt;&gt;""),T956/Q956,"")</f>
        <v/>
      </c>
      <c r="V956" s="51" t="str">
        <f aca="false">IF(AND(S956&lt;&gt;"",Q956&lt;&gt;""),S956-Q956,"")</f>
        <v/>
      </c>
      <c r="W956" s="52" t="str">
        <f aca="false">IF(AND(Q956&lt;&gt;"",Q956&lt;&gt;0,V956&lt;&gt;""),V956/Q956,"")</f>
        <v/>
      </c>
      <c r="X956" s="53" t="s">
        <v>37</v>
      </c>
      <c r="Y956" s="54" t="str">
        <f aca="false">IF(AND(O956&lt;&gt;"",M956&lt;&gt;"",O956&gt;M956),CONCATENATE("1 : ",TEXT((O956-M956)/M956,"0.00")),IF(AND(O956&lt;&gt;"",M956&lt;&gt;"",O956&lt;M956),CONCATENATE("-1 : ",TEXT((M956-O956)/M956,"0.00")),"—"))</f>
        <v>—</v>
      </c>
      <c r="Z956" s="55" t="str">
        <f aca="false">IF(AND(P956&lt;&gt;"",M956&lt;&gt;"",P956&gt;M956),CONCATENATE("1 : ",TEXT((P956-M956)/M956,"0.00")),"—")</f>
        <v>—</v>
      </c>
      <c r="AA956" s="56" t="str">
        <f aca="false">IF(AND(C956&lt;&gt;"",E956&lt;&gt;""),E956-C956,"")</f>
        <v/>
      </c>
      <c r="AB956" s="42"/>
      <c r="AC956" s="57"/>
      <c r="AD956" s="58"/>
      <c r="AE956" s="59" t="str">
        <f aca="false">IF(G956&lt;&gt;"",HYPERLINK("https://www.tradingview.com/chart/?symbol="&amp;G956&amp;"&amp;interval=60&amp;from="&amp;(AG956-10*3600)&amp;"&amp;to="&amp;(AG956+50*3600),"📈 1H"),"")</f>
        <v/>
      </c>
      <c r="AF956" s="60" t="str">
        <f aca="false">IF(G956&lt;&gt;"",HYPERLINK("https://www.tradingview.com/chart/?symbol="&amp;G956&amp;"&amp;interval=240&amp;from="&amp;(AG956-10*14400)&amp;"&amp;to="&amp;(AG956+50*14400),"📈 4H"),"")</f>
        <v/>
      </c>
      <c r="AG956" s="36" t="str">
        <f aca="false">IF(C956&lt;&gt;"",INT((C956+IF(D956&lt;&gt;"",D956,0)-DATE(1970,1,1))*86400),"")</f>
        <v/>
      </c>
    </row>
    <row r="957" customFormat="false" ht="19.5" hidden="false" customHeight="true" outlineLevel="0" collapsed="false">
      <c r="A957" s="12" t="n">
        <f aca="false">ROW()-4</f>
        <v>953</v>
      </c>
      <c r="B957" s="13"/>
      <c r="C957" s="14"/>
      <c r="D957" s="15"/>
      <c r="E957" s="14"/>
      <c r="F957" s="15"/>
      <c r="G957" s="16"/>
      <c r="H957" s="17"/>
      <c r="I957" s="18"/>
      <c r="J957" s="19"/>
      <c r="K957" s="14"/>
      <c r="L957" s="17"/>
      <c r="M957" s="19"/>
      <c r="N957" s="20"/>
      <c r="O957" s="19"/>
      <c r="P957" s="21"/>
      <c r="Q957" s="22" t="str">
        <f aca="false">IF(L957="","",IF(M957&lt;&gt;"",M957*L957*100,IF(AND(O957&lt;&gt;"",B957&lt;&gt;""),IFERROR(AVERAGEIF($B$5:$B$1004,B957,$M$5:$M$1004)*L957*100,""),"")))</f>
        <v/>
      </c>
      <c r="R957" s="22" t="str">
        <f aca="false">IF(AND(O957&lt;&gt;"",L957&lt;&gt;""),O957*L957*100,"")</f>
        <v/>
      </c>
      <c r="S957" s="23" t="str">
        <f aca="false">IF(AND(P957&lt;&gt;"",L957&lt;&gt;""),P957*L957*100,"")</f>
        <v/>
      </c>
      <c r="T957" s="24" t="str">
        <f aca="false">IF(AND(Q957&lt;&gt;"",R957&lt;&gt;""),R957-Q957,"")</f>
        <v/>
      </c>
      <c r="U957" s="25" t="str">
        <f aca="false">IF(AND(Q957&lt;&gt;"",Q957&lt;&gt;0,T957&lt;&gt;""),T957/Q957,"")</f>
        <v/>
      </c>
      <c r="V957" s="26" t="str">
        <f aca="false">IF(AND(S957&lt;&gt;"",Q957&lt;&gt;""),S957-Q957,"")</f>
        <v/>
      </c>
      <c r="W957" s="27" t="str">
        <f aca="false">IF(AND(Q957&lt;&gt;"",Q957&lt;&gt;0,V957&lt;&gt;""),V957/Q957,"")</f>
        <v/>
      </c>
      <c r="X957" s="28" t="s">
        <v>37</v>
      </c>
      <c r="Y957" s="29" t="str">
        <f aca="false">IF(AND(O957&lt;&gt;"",M957&lt;&gt;"",O957&gt;M957),CONCATENATE("1 : ",TEXT((O957-M957)/M957,"0.00")),IF(AND(O957&lt;&gt;"",M957&lt;&gt;"",O957&lt;M957),CONCATENATE("-1 : ",TEXT((M957-O957)/M957,"0.00")),"—"))</f>
        <v>—</v>
      </c>
      <c r="Z957" s="30" t="str">
        <f aca="false">IF(AND(P957&lt;&gt;"",M957&lt;&gt;"",P957&gt;M957),CONCATENATE("1 : ",TEXT((P957-M957)/M957,"0.00")),"—")</f>
        <v>—</v>
      </c>
      <c r="AA957" s="31" t="str">
        <f aca="false">IF(AND(C957&lt;&gt;"",E957&lt;&gt;""),E957-C957,"")</f>
        <v/>
      </c>
      <c r="AB957" s="17"/>
      <c r="AC957" s="32"/>
      <c r="AD957" s="33"/>
      <c r="AE957" s="34" t="str">
        <f aca="false">IF(G957&lt;&gt;"",HYPERLINK("https://www.tradingview.com/chart/?symbol="&amp;G957&amp;"&amp;interval=60&amp;from="&amp;(AG957-10*3600)&amp;"&amp;to="&amp;(AG957+50*3600),"📈 1H"),"")</f>
        <v/>
      </c>
      <c r="AF957" s="35" t="str">
        <f aca="false">IF(G957&lt;&gt;"",HYPERLINK("https://www.tradingview.com/chart/?symbol="&amp;G957&amp;"&amp;interval=240&amp;from="&amp;(AG957-10*14400)&amp;"&amp;to="&amp;(AG957+50*14400),"📈 4H"),"")</f>
        <v/>
      </c>
      <c r="AG957" s="36" t="str">
        <f aca="false">IF(C957&lt;&gt;"",INT((C957+IF(D957&lt;&gt;"",D957,0)-DATE(1970,1,1))*86400),"")</f>
        <v/>
      </c>
    </row>
    <row r="958" customFormat="false" ht="19.5" hidden="false" customHeight="true" outlineLevel="0" collapsed="false">
      <c r="A958" s="37" t="n">
        <f aca="false">ROW()-4</f>
        <v>954</v>
      </c>
      <c r="B958" s="38"/>
      <c r="C958" s="39"/>
      <c r="D958" s="40"/>
      <c r="E958" s="39"/>
      <c r="F958" s="40"/>
      <c r="G958" s="41"/>
      <c r="H958" s="42"/>
      <c r="I958" s="43"/>
      <c r="J958" s="44"/>
      <c r="K958" s="39"/>
      <c r="L958" s="42"/>
      <c r="M958" s="44"/>
      <c r="N958" s="45"/>
      <c r="O958" s="44"/>
      <c r="P958" s="46"/>
      <c r="Q958" s="47" t="str">
        <f aca="false">IF(L958="","",IF(M958&lt;&gt;"",M958*L958*100,IF(AND(O958&lt;&gt;"",B958&lt;&gt;""),IFERROR(AVERAGEIF($B$5:$B$1004,B958,$M$5:$M$1004)*L958*100,""),"")))</f>
        <v/>
      </c>
      <c r="R958" s="47" t="str">
        <f aca="false">IF(AND(O958&lt;&gt;"",L958&lt;&gt;""),O958*L958*100,"")</f>
        <v/>
      </c>
      <c r="S958" s="48" t="str">
        <f aca="false">IF(AND(P958&lt;&gt;"",L958&lt;&gt;""),P958*L958*100,"")</f>
        <v/>
      </c>
      <c r="T958" s="49" t="str">
        <f aca="false">IF(AND(Q958&lt;&gt;"",R958&lt;&gt;""),R958-Q958,"")</f>
        <v/>
      </c>
      <c r="U958" s="50" t="str">
        <f aca="false">IF(AND(Q958&lt;&gt;"",Q958&lt;&gt;0,T958&lt;&gt;""),T958/Q958,"")</f>
        <v/>
      </c>
      <c r="V958" s="51" t="str">
        <f aca="false">IF(AND(S958&lt;&gt;"",Q958&lt;&gt;""),S958-Q958,"")</f>
        <v/>
      </c>
      <c r="W958" s="52" t="str">
        <f aca="false">IF(AND(Q958&lt;&gt;"",Q958&lt;&gt;0,V958&lt;&gt;""),V958/Q958,"")</f>
        <v/>
      </c>
      <c r="X958" s="53" t="s">
        <v>37</v>
      </c>
      <c r="Y958" s="54" t="str">
        <f aca="false">IF(AND(O958&lt;&gt;"",M958&lt;&gt;"",O958&gt;M958),CONCATENATE("1 : ",TEXT((O958-M958)/M958,"0.00")),IF(AND(O958&lt;&gt;"",M958&lt;&gt;"",O958&lt;M958),CONCATENATE("-1 : ",TEXT((M958-O958)/M958,"0.00")),"—"))</f>
        <v>—</v>
      </c>
      <c r="Z958" s="55" t="str">
        <f aca="false">IF(AND(P958&lt;&gt;"",M958&lt;&gt;"",P958&gt;M958),CONCATENATE("1 : ",TEXT((P958-M958)/M958,"0.00")),"—")</f>
        <v>—</v>
      </c>
      <c r="AA958" s="56" t="str">
        <f aca="false">IF(AND(C958&lt;&gt;"",E958&lt;&gt;""),E958-C958,"")</f>
        <v/>
      </c>
      <c r="AB958" s="42"/>
      <c r="AC958" s="57"/>
      <c r="AD958" s="58"/>
      <c r="AE958" s="59" t="str">
        <f aca="false">IF(G958&lt;&gt;"",HYPERLINK("https://www.tradingview.com/chart/?symbol="&amp;G958&amp;"&amp;interval=60&amp;from="&amp;(AG958-10*3600)&amp;"&amp;to="&amp;(AG958+50*3600),"📈 1H"),"")</f>
        <v/>
      </c>
      <c r="AF958" s="60" t="str">
        <f aca="false">IF(G958&lt;&gt;"",HYPERLINK("https://www.tradingview.com/chart/?symbol="&amp;G958&amp;"&amp;interval=240&amp;from="&amp;(AG958-10*14400)&amp;"&amp;to="&amp;(AG958+50*14400),"📈 4H"),"")</f>
        <v/>
      </c>
      <c r="AG958" s="36" t="str">
        <f aca="false">IF(C958&lt;&gt;"",INT((C958+IF(D958&lt;&gt;"",D958,0)-DATE(1970,1,1))*86400),"")</f>
        <v/>
      </c>
    </row>
    <row r="959" customFormat="false" ht="19.5" hidden="false" customHeight="true" outlineLevel="0" collapsed="false">
      <c r="A959" s="12" t="n">
        <f aca="false">ROW()-4</f>
        <v>955</v>
      </c>
      <c r="B959" s="13"/>
      <c r="C959" s="14"/>
      <c r="D959" s="15"/>
      <c r="E959" s="14"/>
      <c r="F959" s="15"/>
      <c r="G959" s="16"/>
      <c r="H959" s="17"/>
      <c r="I959" s="18"/>
      <c r="J959" s="19"/>
      <c r="K959" s="14"/>
      <c r="L959" s="17"/>
      <c r="M959" s="19"/>
      <c r="N959" s="20"/>
      <c r="O959" s="19"/>
      <c r="P959" s="21"/>
      <c r="Q959" s="22" t="str">
        <f aca="false">IF(L959="","",IF(M959&lt;&gt;"",M959*L959*100,IF(AND(O959&lt;&gt;"",B959&lt;&gt;""),IFERROR(AVERAGEIF($B$5:$B$1004,B959,$M$5:$M$1004)*L959*100,""),"")))</f>
        <v/>
      </c>
      <c r="R959" s="22" t="str">
        <f aca="false">IF(AND(O959&lt;&gt;"",L959&lt;&gt;""),O959*L959*100,"")</f>
        <v/>
      </c>
      <c r="S959" s="23" t="str">
        <f aca="false">IF(AND(P959&lt;&gt;"",L959&lt;&gt;""),P959*L959*100,"")</f>
        <v/>
      </c>
      <c r="T959" s="24" t="str">
        <f aca="false">IF(AND(Q959&lt;&gt;"",R959&lt;&gt;""),R959-Q959,"")</f>
        <v/>
      </c>
      <c r="U959" s="25" t="str">
        <f aca="false">IF(AND(Q959&lt;&gt;"",Q959&lt;&gt;0,T959&lt;&gt;""),T959/Q959,"")</f>
        <v/>
      </c>
      <c r="V959" s="26" t="str">
        <f aca="false">IF(AND(S959&lt;&gt;"",Q959&lt;&gt;""),S959-Q959,"")</f>
        <v/>
      </c>
      <c r="W959" s="27" t="str">
        <f aca="false">IF(AND(Q959&lt;&gt;"",Q959&lt;&gt;0,V959&lt;&gt;""),V959/Q959,"")</f>
        <v/>
      </c>
      <c r="X959" s="28" t="s">
        <v>37</v>
      </c>
      <c r="Y959" s="29" t="str">
        <f aca="false">IF(AND(O959&lt;&gt;"",M959&lt;&gt;"",O959&gt;M959),CONCATENATE("1 : ",TEXT((O959-M959)/M959,"0.00")),IF(AND(O959&lt;&gt;"",M959&lt;&gt;"",O959&lt;M959),CONCATENATE("-1 : ",TEXT((M959-O959)/M959,"0.00")),"—"))</f>
        <v>—</v>
      </c>
      <c r="Z959" s="30" t="str">
        <f aca="false">IF(AND(P959&lt;&gt;"",M959&lt;&gt;"",P959&gt;M959),CONCATENATE("1 : ",TEXT((P959-M959)/M959,"0.00")),"—")</f>
        <v>—</v>
      </c>
      <c r="AA959" s="31" t="str">
        <f aca="false">IF(AND(C959&lt;&gt;"",E959&lt;&gt;""),E959-C959,"")</f>
        <v/>
      </c>
      <c r="AB959" s="17"/>
      <c r="AC959" s="32"/>
      <c r="AD959" s="33"/>
      <c r="AE959" s="34" t="str">
        <f aca="false">IF(G959&lt;&gt;"",HYPERLINK("https://www.tradingview.com/chart/?symbol="&amp;G959&amp;"&amp;interval=60&amp;from="&amp;(AG959-10*3600)&amp;"&amp;to="&amp;(AG959+50*3600),"📈 1H"),"")</f>
        <v/>
      </c>
      <c r="AF959" s="35" t="str">
        <f aca="false">IF(G959&lt;&gt;"",HYPERLINK("https://www.tradingview.com/chart/?symbol="&amp;G959&amp;"&amp;interval=240&amp;from="&amp;(AG959-10*14400)&amp;"&amp;to="&amp;(AG959+50*14400),"📈 4H"),"")</f>
        <v/>
      </c>
      <c r="AG959" s="36" t="str">
        <f aca="false">IF(C959&lt;&gt;"",INT((C959+IF(D959&lt;&gt;"",D959,0)-DATE(1970,1,1))*86400),"")</f>
        <v/>
      </c>
    </row>
    <row r="960" customFormat="false" ht="19.5" hidden="false" customHeight="true" outlineLevel="0" collapsed="false">
      <c r="A960" s="37" t="n">
        <f aca="false">ROW()-4</f>
        <v>956</v>
      </c>
      <c r="B960" s="38"/>
      <c r="C960" s="39"/>
      <c r="D960" s="40"/>
      <c r="E960" s="39"/>
      <c r="F960" s="40"/>
      <c r="G960" s="41"/>
      <c r="H960" s="42"/>
      <c r="I960" s="43"/>
      <c r="J960" s="44"/>
      <c r="K960" s="39"/>
      <c r="L960" s="42"/>
      <c r="M960" s="44"/>
      <c r="N960" s="45"/>
      <c r="O960" s="44"/>
      <c r="P960" s="46"/>
      <c r="Q960" s="47" t="str">
        <f aca="false">IF(L960="","",IF(M960&lt;&gt;"",M960*L960*100,IF(AND(O960&lt;&gt;"",B960&lt;&gt;""),IFERROR(AVERAGEIF($B$5:$B$1004,B960,$M$5:$M$1004)*L960*100,""),"")))</f>
        <v/>
      </c>
      <c r="R960" s="47" t="str">
        <f aca="false">IF(AND(O960&lt;&gt;"",L960&lt;&gt;""),O960*L960*100,"")</f>
        <v/>
      </c>
      <c r="S960" s="48" t="str">
        <f aca="false">IF(AND(P960&lt;&gt;"",L960&lt;&gt;""),P960*L960*100,"")</f>
        <v/>
      </c>
      <c r="T960" s="49" t="str">
        <f aca="false">IF(AND(Q960&lt;&gt;"",R960&lt;&gt;""),R960-Q960,"")</f>
        <v/>
      </c>
      <c r="U960" s="50" t="str">
        <f aca="false">IF(AND(Q960&lt;&gt;"",Q960&lt;&gt;0,T960&lt;&gt;""),T960/Q960,"")</f>
        <v/>
      </c>
      <c r="V960" s="51" t="str">
        <f aca="false">IF(AND(S960&lt;&gt;"",Q960&lt;&gt;""),S960-Q960,"")</f>
        <v/>
      </c>
      <c r="W960" s="52" t="str">
        <f aca="false">IF(AND(Q960&lt;&gt;"",Q960&lt;&gt;0,V960&lt;&gt;""),V960/Q960,"")</f>
        <v/>
      </c>
      <c r="X960" s="53" t="s">
        <v>37</v>
      </c>
      <c r="Y960" s="54" t="str">
        <f aca="false">IF(AND(O960&lt;&gt;"",M960&lt;&gt;"",O960&gt;M960),CONCATENATE("1 : ",TEXT((O960-M960)/M960,"0.00")),IF(AND(O960&lt;&gt;"",M960&lt;&gt;"",O960&lt;M960),CONCATENATE("-1 : ",TEXT((M960-O960)/M960,"0.00")),"—"))</f>
        <v>—</v>
      </c>
      <c r="Z960" s="55" t="str">
        <f aca="false">IF(AND(P960&lt;&gt;"",M960&lt;&gt;"",P960&gt;M960),CONCATENATE("1 : ",TEXT((P960-M960)/M960,"0.00")),"—")</f>
        <v>—</v>
      </c>
      <c r="AA960" s="56" t="str">
        <f aca="false">IF(AND(C960&lt;&gt;"",E960&lt;&gt;""),E960-C960,"")</f>
        <v/>
      </c>
      <c r="AB960" s="42"/>
      <c r="AC960" s="57"/>
      <c r="AD960" s="58"/>
      <c r="AE960" s="59" t="str">
        <f aca="false">IF(G960&lt;&gt;"",HYPERLINK("https://www.tradingview.com/chart/?symbol="&amp;G960&amp;"&amp;interval=60&amp;from="&amp;(AG960-10*3600)&amp;"&amp;to="&amp;(AG960+50*3600),"📈 1H"),"")</f>
        <v/>
      </c>
      <c r="AF960" s="60" t="str">
        <f aca="false">IF(G960&lt;&gt;"",HYPERLINK("https://www.tradingview.com/chart/?symbol="&amp;G960&amp;"&amp;interval=240&amp;from="&amp;(AG960-10*14400)&amp;"&amp;to="&amp;(AG960+50*14400),"📈 4H"),"")</f>
        <v/>
      </c>
      <c r="AG960" s="36" t="str">
        <f aca="false">IF(C960&lt;&gt;"",INT((C960+IF(D960&lt;&gt;"",D960,0)-DATE(1970,1,1))*86400),"")</f>
        <v/>
      </c>
    </row>
    <row r="961" customFormat="false" ht="19.5" hidden="false" customHeight="true" outlineLevel="0" collapsed="false">
      <c r="A961" s="12" t="n">
        <f aca="false">ROW()-4</f>
        <v>957</v>
      </c>
      <c r="B961" s="13"/>
      <c r="C961" s="14"/>
      <c r="D961" s="15"/>
      <c r="E961" s="14"/>
      <c r="F961" s="15"/>
      <c r="G961" s="16"/>
      <c r="H961" s="17"/>
      <c r="I961" s="18"/>
      <c r="J961" s="19"/>
      <c r="K961" s="14"/>
      <c r="L961" s="17"/>
      <c r="M961" s="19"/>
      <c r="N961" s="20"/>
      <c r="O961" s="19"/>
      <c r="P961" s="21"/>
      <c r="Q961" s="22" t="str">
        <f aca="false">IF(L961="","",IF(M961&lt;&gt;"",M961*L961*100,IF(AND(O961&lt;&gt;"",B961&lt;&gt;""),IFERROR(AVERAGEIF($B$5:$B$1004,B961,$M$5:$M$1004)*L961*100,""),"")))</f>
        <v/>
      </c>
      <c r="R961" s="22" t="str">
        <f aca="false">IF(AND(O961&lt;&gt;"",L961&lt;&gt;""),O961*L961*100,"")</f>
        <v/>
      </c>
      <c r="S961" s="23" t="str">
        <f aca="false">IF(AND(P961&lt;&gt;"",L961&lt;&gt;""),P961*L961*100,"")</f>
        <v/>
      </c>
      <c r="T961" s="24" t="str">
        <f aca="false">IF(AND(Q961&lt;&gt;"",R961&lt;&gt;""),R961-Q961,"")</f>
        <v/>
      </c>
      <c r="U961" s="25" t="str">
        <f aca="false">IF(AND(Q961&lt;&gt;"",Q961&lt;&gt;0,T961&lt;&gt;""),T961/Q961,"")</f>
        <v/>
      </c>
      <c r="V961" s="26" t="str">
        <f aca="false">IF(AND(S961&lt;&gt;"",Q961&lt;&gt;""),S961-Q961,"")</f>
        <v/>
      </c>
      <c r="W961" s="27" t="str">
        <f aca="false">IF(AND(Q961&lt;&gt;"",Q961&lt;&gt;0,V961&lt;&gt;""),V961/Q961,"")</f>
        <v/>
      </c>
      <c r="X961" s="28" t="s">
        <v>37</v>
      </c>
      <c r="Y961" s="29" t="str">
        <f aca="false">IF(AND(O961&lt;&gt;"",M961&lt;&gt;"",O961&gt;M961),CONCATENATE("1 : ",TEXT((O961-M961)/M961,"0.00")),IF(AND(O961&lt;&gt;"",M961&lt;&gt;"",O961&lt;M961),CONCATENATE("-1 : ",TEXT((M961-O961)/M961,"0.00")),"—"))</f>
        <v>—</v>
      </c>
      <c r="Z961" s="30" t="str">
        <f aca="false">IF(AND(P961&lt;&gt;"",M961&lt;&gt;"",P961&gt;M961),CONCATENATE("1 : ",TEXT((P961-M961)/M961,"0.00")),"—")</f>
        <v>—</v>
      </c>
      <c r="AA961" s="31" t="str">
        <f aca="false">IF(AND(C961&lt;&gt;"",E961&lt;&gt;""),E961-C961,"")</f>
        <v/>
      </c>
      <c r="AB961" s="17"/>
      <c r="AC961" s="32"/>
      <c r="AD961" s="33"/>
      <c r="AE961" s="34" t="str">
        <f aca="false">IF(G961&lt;&gt;"",HYPERLINK("https://www.tradingview.com/chart/?symbol="&amp;G961&amp;"&amp;interval=60&amp;from="&amp;(AG961-10*3600)&amp;"&amp;to="&amp;(AG961+50*3600),"📈 1H"),"")</f>
        <v/>
      </c>
      <c r="AF961" s="35" t="str">
        <f aca="false">IF(G961&lt;&gt;"",HYPERLINK("https://www.tradingview.com/chart/?symbol="&amp;G961&amp;"&amp;interval=240&amp;from="&amp;(AG961-10*14400)&amp;"&amp;to="&amp;(AG961+50*14400),"📈 4H"),"")</f>
        <v/>
      </c>
      <c r="AG961" s="36" t="str">
        <f aca="false">IF(C961&lt;&gt;"",INT((C961+IF(D961&lt;&gt;"",D961,0)-DATE(1970,1,1))*86400),"")</f>
        <v/>
      </c>
    </row>
    <row r="962" customFormat="false" ht="19.5" hidden="false" customHeight="true" outlineLevel="0" collapsed="false">
      <c r="A962" s="37" t="n">
        <f aca="false">ROW()-4</f>
        <v>958</v>
      </c>
      <c r="B962" s="38"/>
      <c r="C962" s="39"/>
      <c r="D962" s="40"/>
      <c r="E962" s="39"/>
      <c r="F962" s="40"/>
      <c r="G962" s="41"/>
      <c r="H962" s="42"/>
      <c r="I962" s="43"/>
      <c r="J962" s="44"/>
      <c r="K962" s="39"/>
      <c r="L962" s="42"/>
      <c r="M962" s="44"/>
      <c r="N962" s="45"/>
      <c r="O962" s="44"/>
      <c r="P962" s="46"/>
      <c r="Q962" s="47" t="str">
        <f aca="false">IF(L962="","",IF(M962&lt;&gt;"",M962*L962*100,IF(AND(O962&lt;&gt;"",B962&lt;&gt;""),IFERROR(AVERAGEIF($B$5:$B$1004,B962,$M$5:$M$1004)*L962*100,""),"")))</f>
        <v/>
      </c>
      <c r="R962" s="47" t="str">
        <f aca="false">IF(AND(O962&lt;&gt;"",L962&lt;&gt;""),O962*L962*100,"")</f>
        <v/>
      </c>
      <c r="S962" s="48" t="str">
        <f aca="false">IF(AND(P962&lt;&gt;"",L962&lt;&gt;""),P962*L962*100,"")</f>
        <v/>
      </c>
      <c r="T962" s="49" t="str">
        <f aca="false">IF(AND(Q962&lt;&gt;"",R962&lt;&gt;""),R962-Q962,"")</f>
        <v/>
      </c>
      <c r="U962" s="50" t="str">
        <f aca="false">IF(AND(Q962&lt;&gt;"",Q962&lt;&gt;0,T962&lt;&gt;""),T962/Q962,"")</f>
        <v/>
      </c>
      <c r="V962" s="51" t="str">
        <f aca="false">IF(AND(S962&lt;&gt;"",Q962&lt;&gt;""),S962-Q962,"")</f>
        <v/>
      </c>
      <c r="W962" s="52" t="str">
        <f aca="false">IF(AND(Q962&lt;&gt;"",Q962&lt;&gt;0,V962&lt;&gt;""),V962/Q962,"")</f>
        <v/>
      </c>
      <c r="X962" s="53" t="s">
        <v>37</v>
      </c>
      <c r="Y962" s="54" t="str">
        <f aca="false">IF(AND(O962&lt;&gt;"",M962&lt;&gt;"",O962&gt;M962),CONCATENATE("1 : ",TEXT((O962-M962)/M962,"0.00")),IF(AND(O962&lt;&gt;"",M962&lt;&gt;"",O962&lt;M962),CONCATENATE("-1 : ",TEXT((M962-O962)/M962,"0.00")),"—"))</f>
        <v>—</v>
      </c>
      <c r="Z962" s="55" t="str">
        <f aca="false">IF(AND(P962&lt;&gt;"",M962&lt;&gt;"",P962&gt;M962),CONCATENATE("1 : ",TEXT((P962-M962)/M962,"0.00")),"—")</f>
        <v>—</v>
      </c>
      <c r="AA962" s="56" t="str">
        <f aca="false">IF(AND(C962&lt;&gt;"",E962&lt;&gt;""),E962-C962,"")</f>
        <v/>
      </c>
      <c r="AB962" s="42"/>
      <c r="AC962" s="57"/>
      <c r="AD962" s="58"/>
      <c r="AE962" s="59" t="str">
        <f aca="false">IF(G962&lt;&gt;"",HYPERLINK("https://www.tradingview.com/chart/?symbol="&amp;G962&amp;"&amp;interval=60&amp;from="&amp;(AG962-10*3600)&amp;"&amp;to="&amp;(AG962+50*3600),"📈 1H"),"")</f>
        <v/>
      </c>
      <c r="AF962" s="60" t="str">
        <f aca="false">IF(G962&lt;&gt;"",HYPERLINK("https://www.tradingview.com/chart/?symbol="&amp;G962&amp;"&amp;interval=240&amp;from="&amp;(AG962-10*14400)&amp;"&amp;to="&amp;(AG962+50*14400),"📈 4H"),"")</f>
        <v/>
      </c>
      <c r="AG962" s="36" t="str">
        <f aca="false">IF(C962&lt;&gt;"",INT((C962+IF(D962&lt;&gt;"",D962,0)-DATE(1970,1,1))*86400),"")</f>
        <v/>
      </c>
    </row>
    <row r="963" customFormat="false" ht="19.5" hidden="false" customHeight="true" outlineLevel="0" collapsed="false">
      <c r="A963" s="12" t="n">
        <f aca="false">ROW()-4</f>
        <v>959</v>
      </c>
      <c r="B963" s="13"/>
      <c r="C963" s="14"/>
      <c r="D963" s="15"/>
      <c r="E963" s="14"/>
      <c r="F963" s="15"/>
      <c r="G963" s="16"/>
      <c r="H963" s="17"/>
      <c r="I963" s="18"/>
      <c r="J963" s="19"/>
      <c r="K963" s="14"/>
      <c r="L963" s="17"/>
      <c r="M963" s="19"/>
      <c r="N963" s="20"/>
      <c r="O963" s="19"/>
      <c r="P963" s="21"/>
      <c r="Q963" s="22" t="str">
        <f aca="false">IF(L963="","",IF(M963&lt;&gt;"",M963*L963*100,IF(AND(O963&lt;&gt;"",B963&lt;&gt;""),IFERROR(AVERAGEIF($B$5:$B$1004,B963,$M$5:$M$1004)*L963*100,""),"")))</f>
        <v/>
      </c>
      <c r="R963" s="22" t="str">
        <f aca="false">IF(AND(O963&lt;&gt;"",L963&lt;&gt;""),O963*L963*100,"")</f>
        <v/>
      </c>
      <c r="S963" s="23" t="str">
        <f aca="false">IF(AND(P963&lt;&gt;"",L963&lt;&gt;""),P963*L963*100,"")</f>
        <v/>
      </c>
      <c r="T963" s="24" t="str">
        <f aca="false">IF(AND(Q963&lt;&gt;"",R963&lt;&gt;""),R963-Q963,"")</f>
        <v/>
      </c>
      <c r="U963" s="25" t="str">
        <f aca="false">IF(AND(Q963&lt;&gt;"",Q963&lt;&gt;0,T963&lt;&gt;""),T963/Q963,"")</f>
        <v/>
      </c>
      <c r="V963" s="26" t="str">
        <f aca="false">IF(AND(S963&lt;&gt;"",Q963&lt;&gt;""),S963-Q963,"")</f>
        <v/>
      </c>
      <c r="W963" s="27" t="str">
        <f aca="false">IF(AND(Q963&lt;&gt;"",Q963&lt;&gt;0,V963&lt;&gt;""),V963/Q963,"")</f>
        <v/>
      </c>
      <c r="X963" s="28" t="s">
        <v>37</v>
      </c>
      <c r="Y963" s="29" t="str">
        <f aca="false">IF(AND(O963&lt;&gt;"",M963&lt;&gt;"",O963&gt;M963),CONCATENATE("1 : ",TEXT((O963-M963)/M963,"0.00")),IF(AND(O963&lt;&gt;"",M963&lt;&gt;"",O963&lt;M963),CONCATENATE("-1 : ",TEXT((M963-O963)/M963,"0.00")),"—"))</f>
        <v>—</v>
      </c>
      <c r="Z963" s="30" t="str">
        <f aca="false">IF(AND(P963&lt;&gt;"",M963&lt;&gt;"",P963&gt;M963),CONCATENATE("1 : ",TEXT((P963-M963)/M963,"0.00")),"—")</f>
        <v>—</v>
      </c>
      <c r="AA963" s="31" t="str">
        <f aca="false">IF(AND(C963&lt;&gt;"",E963&lt;&gt;""),E963-C963,"")</f>
        <v/>
      </c>
      <c r="AB963" s="17"/>
      <c r="AC963" s="32"/>
      <c r="AD963" s="33"/>
      <c r="AE963" s="34" t="str">
        <f aca="false">IF(G963&lt;&gt;"",HYPERLINK("https://www.tradingview.com/chart/?symbol="&amp;G963&amp;"&amp;interval=60&amp;from="&amp;(AG963-10*3600)&amp;"&amp;to="&amp;(AG963+50*3600),"📈 1H"),"")</f>
        <v/>
      </c>
      <c r="AF963" s="35" t="str">
        <f aca="false">IF(G963&lt;&gt;"",HYPERLINK("https://www.tradingview.com/chart/?symbol="&amp;G963&amp;"&amp;interval=240&amp;from="&amp;(AG963-10*14400)&amp;"&amp;to="&amp;(AG963+50*14400),"📈 4H"),"")</f>
        <v/>
      </c>
      <c r="AG963" s="36" t="str">
        <f aca="false">IF(C963&lt;&gt;"",INT((C963+IF(D963&lt;&gt;"",D963,0)-DATE(1970,1,1))*86400),"")</f>
        <v/>
      </c>
    </row>
    <row r="964" customFormat="false" ht="19.5" hidden="false" customHeight="true" outlineLevel="0" collapsed="false">
      <c r="A964" s="37" t="n">
        <f aca="false">ROW()-4</f>
        <v>960</v>
      </c>
      <c r="B964" s="38"/>
      <c r="C964" s="39"/>
      <c r="D964" s="40"/>
      <c r="E964" s="39"/>
      <c r="F964" s="40"/>
      <c r="G964" s="41"/>
      <c r="H964" s="42"/>
      <c r="I964" s="43"/>
      <c r="J964" s="44"/>
      <c r="K964" s="39"/>
      <c r="L964" s="42"/>
      <c r="M964" s="44"/>
      <c r="N964" s="45"/>
      <c r="O964" s="44"/>
      <c r="P964" s="46"/>
      <c r="Q964" s="47" t="str">
        <f aca="false">IF(L964="","",IF(M964&lt;&gt;"",M964*L964*100,IF(AND(O964&lt;&gt;"",B964&lt;&gt;""),IFERROR(AVERAGEIF($B$5:$B$1004,B964,$M$5:$M$1004)*L964*100,""),"")))</f>
        <v/>
      </c>
      <c r="R964" s="47" t="str">
        <f aca="false">IF(AND(O964&lt;&gt;"",L964&lt;&gt;""),O964*L964*100,"")</f>
        <v/>
      </c>
      <c r="S964" s="48" t="str">
        <f aca="false">IF(AND(P964&lt;&gt;"",L964&lt;&gt;""),P964*L964*100,"")</f>
        <v/>
      </c>
      <c r="T964" s="49" t="str">
        <f aca="false">IF(AND(Q964&lt;&gt;"",R964&lt;&gt;""),R964-Q964,"")</f>
        <v/>
      </c>
      <c r="U964" s="50" t="str">
        <f aca="false">IF(AND(Q964&lt;&gt;"",Q964&lt;&gt;0,T964&lt;&gt;""),T964/Q964,"")</f>
        <v/>
      </c>
      <c r="V964" s="51" t="str">
        <f aca="false">IF(AND(S964&lt;&gt;"",Q964&lt;&gt;""),S964-Q964,"")</f>
        <v/>
      </c>
      <c r="W964" s="52" t="str">
        <f aca="false">IF(AND(Q964&lt;&gt;"",Q964&lt;&gt;0,V964&lt;&gt;""),V964/Q964,"")</f>
        <v/>
      </c>
      <c r="X964" s="53" t="s">
        <v>37</v>
      </c>
      <c r="Y964" s="54" t="str">
        <f aca="false">IF(AND(O964&lt;&gt;"",M964&lt;&gt;"",O964&gt;M964),CONCATENATE("1 : ",TEXT((O964-M964)/M964,"0.00")),IF(AND(O964&lt;&gt;"",M964&lt;&gt;"",O964&lt;M964),CONCATENATE("-1 : ",TEXT((M964-O964)/M964,"0.00")),"—"))</f>
        <v>—</v>
      </c>
      <c r="Z964" s="55" t="str">
        <f aca="false">IF(AND(P964&lt;&gt;"",M964&lt;&gt;"",P964&gt;M964),CONCATENATE("1 : ",TEXT((P964-M964)/M964,"0.00")),"—")</f>
        <v>—</v>
      </c>
      <c r="AA964" s="56" t="str">
        <f aca="false">IF(AND(C964&lt;&gt;"",E964&lt;&gt;""),E964-C964,"")</f>
        <v/>
      </c>
      <c r="AB964" s="42"/>
      <c r="AC964" s="57"/>
      <c r="AD964" s="58"/>
      <c r="AE964" s="59" t="str">
        <f aca="false">IF(G964&lt;&gt;"",HYPERLINK("https://www.tradingview.com/chart/?symbol="&amp;G964&amp;"&amp;interval=60&amp;from="&amp;(AG964-10*3600)&amp;"&amp;to="&amp;(AG964+50*3600),"📈 1H"),"")</f>
        <v/>
      </c>
      <c r="AF964" s="60" t="str">
        <f aca="false">IF(G964&lt;&gt;"",HYPERLINK("https://www.tradingview.com/chart/?symbol="&amp;G964&amp;"&amp;interval=240&amp;from="&amp;(AG964-10*14400)&amp;"&amp;to="&amp;(AG964+50*14400),"📈 4H"),"")</f>
        <v/>
      </c>
      <c r="AG964" s="36" t="str">
        <f aca="false">IF(C964&lt;&gt;"",INT((C964+IF(D964&lt;&gt;"",D964,0)-DATE(1970,1,1))*86400),"")</f>
        <v/>
      </c>
    </row>
    <row r="965" customFormat="false" ht="19.5" hidden="false" customHeight="true" outlineLevel="0" collapsed="false">
      <c r="A965" s="12" t="n">
        <f aca="false">ROW()-4</f>
        <v>961</v>
      </c>
      <c r="B965" s="13"/>
      <c r="C965" s="14"/>
      <c r="D965" s="15"/>
      <c r="E965" s="14"/>
      <c r="F965" s="15"/>
      <c r="G965" s="16"/>
      <c r="H965" s="17"/>
      <c r="I965" s="18"/>
      <c r="J965" s="19"/>
      <c r="K965" s="14"/>
      <c r="L965" s="17"/>
      <c r="M965" s="19"/>
      <c r="N965" s="20"/>
      <c r="O965" s="19"/>
      <c r="P965" s="21"/>
      <c r="Q965" s="22" t="str">
        <f aca="false">IF(L965="","",IF(M965&lt;&gt;"",M965*L965*100,IF(AND(O965&lt;&gt;"",B965&lt;&gt;""),IFERROR(AVERAGEIF($B$5:$B$1004,B965,$M$5:$M$1004)*L965*100,""),"")))</f>
        <v/>
      </c>
      <c r="R965" s="22" t="str">
        <f aca="false">IF(AND(O965&lt;&gt;"",L965&lt;&gt;""),O965*L965*100,"")</f>
        <v/>
      </c>
      <c r="S965" s="23" t="str">
        <f aca="false">IF(AND(P965&lt;&gt;"",L965&lt;&gt;""),P965*L965*100,"")</f>
        <v/>
      </c>
      <c r="T965" s="24" t="str">
        <f aca="false">IF(AND(Q965&lt;&gt;"",R965&lt;&gt;""),R965-Q965,"")</f>
        <v/>
      </c>
      <c r="U965" s="25" t="str">
        <f aca="false">IF(AND(Q965&lt;&gt;"",Q965&lt;&gt;0,T965&lt;&gt;""),T965/Q965,"")</f>
        <v/>
      </c>
      <c r="V965" s="26" t="str">
        <f aca="false">IF(AND(S965&lt;&gt;"",Q965&lt;&gt;""),S965-Q965,"")</f>
        <v/>
      </c>
      <c r="W965" s="27" t="str">
        <f aca="false">IF(AND(Q965&lt;&gt;"",Q965&lt;&gt;0,V965&lt;&gt;""),V965/Q965,"")</f>
        <v/>
      </c>
      <c r="X965" s="28" t="s">
        <v>37</v>
      </c>
      <c r="Y965" s="29" t="str">
        <f aca="false">IF(AND(O965&lt;&gt;"",M965&lt;&gt;"",O965&gt;M965),CONCATENATE("1 : ",TEXT((O965-M965)/M965,"0.00")),IF(AND(O965&lt;&gt;"",M965&lt;&gt;"",O965&lt;M965),CONCATENATE("-1 : ",TEXT((M965-O965)/M965,"0.00")),"—"))</f>
        <v>—</v>
      </c>
      <c r="Z965" s="30" t="str">
        <f aca="false">IF(AND(P965&lt;&gt;"",M965&lt;&gt;"",P965&gt;M965),CONCATENATE("1 : ",TEXT((P965-M965)/M965,"0.00")),"—")</f>
        <v>—</v>
      </c>
      <c r="AA965" s="31" t="str">
        <f aca="false">IF(AND(C965&lt;&gt;"",E965&lt;&gt;""),E965-C965,"")</f>
        <v/>
      </c>
      <c r="AB965" s="17"/>
      <c r="AC965" s="32"/>
      <c r="AD965" s="33"/>
      <c r="AE965" s="34" t="str">
        <f aca="false">IF(G965&lt;&gt;"",HYPERLINK("https://www.tradingview.com/chart/?symbol="&amp;G965&amp;"&amp;interval=60&amp;from="&amp;(AG965-10*3600)&amp;"&amp;to="&amp;(AG965+50*3600),"📈 1H"),"")</f>
        <v/>
      </c>
      <c r="AF965" s="35" t="str">
        <f aca="false">IF(G965&lt;&gt;"",HYPERLINK("https://www.tradingview.com/chart/?symbol="&amp;G965&amp;"&amp;interval=240&amp;from="&amp;(AG965-10*14400)&amp;"&amp;to="&amp;(AG965+50*14400),"📈 4H"),"")</f>
        <v/>
      </c>
      <c r="AG965" s="36" t="str">
        <f aca="false">IF(C965&lt;&gt;"",INT((C965+IF(D965&lt;&gt;"",D965,0)-DATE(1970,1,1))*86400),"")</f>
        <v/>
      </c>
    </row>
    <row r="966" customFormat="false" ht="19.5" hidden="false" customHeight="true" outlineLevel="0" collapsed="false">
      <c r="A966" s="37" t="n">
        <f aca="false">ROW()-4</f>
        <v>962</v>
      </c>
      <c r="B966" s="38"/>
      <c r="C966" s="39"/>
      <c r="D966" s="40"/>
      <c r="E966" s="39"/>
      <c r="F966" s="40"/>
      <c r="G966" s="41"/>
      <c r="H966" s="42"/>
      <c r="I966" s="43"/>
      <c r="J966" s="44"/>
      <c r="K966" s="39"/>
      <c r="L966" s="42"/>
      <c r="M966" s="44"/>
      <c r="N966" s="45"/>
      <c r="O966" s="44"/>
      <c r="P966" s="46"/>
      <c r="Q966" s="47" t="str">
        <f aca="false">IF(L966="","",IF(M966&lt;&gt;"",M966*L966*100,IF(AND(O966&lt;&gt;"",B966&lt;&gt;""),IFERROR(AVERAGEIF($B$5:$B$1004,B966,$M$5:$M$1004)*L966*100,""),"")))</f>
        <v/>
      </c>
      <c r="R966" s="47" t="str">
        <f aca="false">IF(AND(O966&lt;&gt;"",L966&lt;&gt;""),O966*L966*100,"")</f>
        <v/>
      </c>
      <c r="S966" s="48" t="str">
        <f aca="false">IF(AND(P966&lt;&gt;"",L966&lt;&gt;""),P966*L966*100,"")</f>
        <v/>
      </c>
      <c r="T966" s="49" t="str">
        <f aca="false">IF(AND(Q966&lt;&gt;"",R966&lt;&gt;""),R966-Q966,"")</f>
        <v/>
      </c>
      <c r="U966" s="50" t="str">
        <f aca="false">IF(AND(Q966&lt;&gt;"",Q966&lt;&gt;0,T966&lt;&gt;""),T966/Q966,"")</f>
        <v/>
      </c>
      <c r="V966" s="51" t="str">
        <f aca="false">IF(AND(S966&lt;&gt;"",Q966&lt;&gt;""),S966-Q966,"")</f>
        <v/>
      </c>
      <c r="W966" s="52" t="str">
        <f aca="false">IF(AND(Q966&lt;&gt;"",Q966&lt;&gt;0,V966&lt;&gt;""),V966/Q966,"")</f>
        <v/>
      </c>
      <c r="X966" s="53" t="s">
        <v>37</v>
      </c>
      <c r="Y966" s="54" t="str">
        <f aca="false">IF(AND(O966&lt;&gt;"",M966&lt;&gt;"",O966&gt;M966),CONCATENATE("1 : ",TEXT((O966-M966)/M966,"0.00")),IF(AND(O966&lt;&gt;"",M966&lt;&gt;"",O966&lt;M966),CONCATENATE("-1 : ",TEXT((M966-O966)/M966,"0.00")),"—"))</f>
        <v>—</v>
      </c>
      <c r="Z966" s="55" t="str">
        <f aca="false">IF(AND(P966&lt;&gt;"",M966&lt;&gt;"",P966&gt;M966),CONCATENATE("1 : ",TEXT((P966-M966)/M966,"0.00")),"—")</f>
        <v>—</v>
      </c>
      <c r="AA966" s="56" t="str">
        <f aca="false">IF(AND(C966&lt;&gt;"",E966&lt;&gt;""),E966-C966,"")</f>
        <v/>
      </c>
      <c r="AB966" s="42"/>
      <c r="AC966" s="57"/>
      <c r="AD966" s="58"/>
      <c r="AE966" s="59" t="str">
        <f aca="false">IF(G966&lt;&gt;"",HYPERLINK("https://www.tradingview.com/chart/?symbol="&amp;G966&amp;"&amp;interval=60&amp;from="&amp;(AG966-10*3600)&amp;"&amp;to="&amp;(AG966+50*3600),"📈 1H"),"")</f>
        <v/>
      </c>
      <c r="AF966" s="60" t="str">
        <f aca="false">IF(G966&lt;&gt;"",HYPERLINK("https://www.tradingview.com/chart/?symbol="&amp;G966&amp;"&amp;interval=240&amp;from="&amp;(AG966-10*14400)&amp;"&amp;to="&amp;(AG966+50*14400),"📈 4H"),"")</f>
        <v/>
      </c>
      <c r="AG966" s="36" t="str">
        <f aca="false">IF(C966&lt;&gt;"",INT((C966+IF(D966&lt;&gt;"",D966,0)-DATE(1970,1,1))*86400),"")</f>
        <v/>
      </c>
    </row>
    <row r="967" customFormat="false" ht="19.5" hidden="false" customHeight="true" outlineLevel="0" collapsed="false">
      <c r="A967" s="12" t="n">
        <f aca="false">ROW()-4</f>
        <v>963</v>
      </c>
      <c r="B967" s="13"/>
      <c r="C967" s="14"/>
      <c r="D967" s="15"/>
      <c r="E967" s="14"/>
      <c r="F967" s="15"/>
      <c r="G967" s="16"/>
      <c r="H967" s="17"/>
      <c r="I967" s="18"/>
      <c r="J967" s="19"/>
      <c r="K967" s="14"/>
      <c r="L967" s="17"/>
      <c r="M967" s="19"/>
      <c r="N967" s="20"/>
      <c r="O967" s="19"/>
      <c r="P967" s="21"/>
      <c r="Q967" s="22" t="str">
        <f aca="false">IF(L967="","",IF(M967&lt;&gt;"",M967*L967*100,IF(AND(O967&lt;&gt;"",B967&lt;&gt;""),IFERROR(AVERAGEIF($B$5:$B$1004,B967,$M$5:$M$1004)*L967*100,""),"")))</f>
        <v/>
      </c>
      <c r="R967" s="22" t="str">
        <f aca="false">IF(AND(O967&lt;&gt;"",L967&lt;&gt;""),O967*L967*100,"")</f>
        <v/>
      </c>
      <c r="S967" s="23" t="str">
        <f aca="false">IF(AND(P967&lt;&gt;"",L967&lt;&gt;""),P967*L967*100,"")</f>
        <v/>
      </c>
      <c r="T967" s="24" t="str">
        <f aca="false">IF(AND(Q967&lt;&gt;"",R967&lt;&gt;""),R967-Q967,"")</f>
        <v/>
      </c>
      <c r="U967" s="25" t="str">
        <f aca="false">IF(AND(Q967&lt;&gt;"",Q967&lt;&gt;0,T967&lt;&gt;""),T967/Q967,"")</f>
        <v/>
      </c>
      <c r="V967" s="26" t="str">
        <f aca="false">IF(AND(S967&lt;&gt;"",Q967&lt;&gt;""),S967-Q967,"")</f>
        <v/>
      </c>
      <c r="W967" s="27" t="str">
        <f aca="false">IF(AND(Q967&lt;&gt;"",Q967&lt;&gt;0,V967&lt;&gt;""),V967/Q967,"")</f>
        <v/>
      </c>
      <c r="X967" s="28" t="s">
        <v>37</v>
      </c>
      <c r="Y967" s="29" t="str">
        <f aca="false">IF(AND(O967&lt;&gt;"",M967&lt;&gt;"",O967&gt;M967),CONCATENATE("1 : ",TEXT((O967-M967)/M967,"0.00")),IF(AND(O967&lt;&gt;"",M967&lt;&gt;"",O967&lt;M967),CONCATENATE("-1 : ",TEXT((M967-O967)/M967,"0.00")),"—"))</f>
        <v>—</v>
      </c>
      <c r="Z967" s="30" t="str">
        <f aca="false">IF(AND(P967&lt;&gt;"",M967&lt;&gt;"",P967&gt;M967),CONCATENATE("1 : ",TEXT((P967-M967)/M967,"0.00")),"—")</f>
        <v>—</v>
      </c>
      <c r="AA967" s="31" t="str">
        <f aca="false">IF(AND(C967&lt;&gt;"",E967&lt;&gt;""),E967-C967,"")</f>
        <v/>
      </c>
      <c r="AB967" s="17"/>
      <c r="AC967" s="32"/>
      <c r="AD967" s="33"/>
      <c r="AE967" s="34" t="str">
        <f aca="false">IF(G967&lt;&gt;"",HYPERLINK("https://www.tradingview.com/chart/?symbol="&amp;G967&amp;"&amp;interval=60&amp;from="&amp;(AG967-10*3600)&amp;"&amp;to="&amp;(AG967+50*3600),"📈 1H"),"")</f>
        <v/>
      </c>
      <c r="AF967" s="35" t="str">
        <f aca="false">IF(G967&lt;&gt;"",HYPERLINK("https://www.tradingview.com/chart/?symbol="&amp;G967&amp;"&amp;interval=240&amp;from="&amp;(AG967-10*14400)&amp;"&amp;to="&amp;(AG967+50*14400),"📈 4H"),"")</f>
        <v/>
      </c>
      <c r="AG967" s="36" t="str">
        <f aca="false">IF(C967&lt;&gt;"",INT((C967+IF(D967&lt;&gt;"",D967,0)-DATE(1970,1,1))*86400),"")</f>
        <v/>
      </c>
    </row>
    <row r="968" customFormat="false" ht="19.5" hidden="false" customHeight="true" outlineLevel="0" collapsed="false">
      <c r="A968" s="37" t="n">
        <f aca="false">ROW()-4</f>
        <v>964</v>
      </c>
      <c r="B968" s="38"/>
      <c r="C968" s="39"/>
      <c r="D968" s="40"/>
      <c r="E968" s="39"/>
      <c r="F968" s="40"/>
      <c r="G968" s="41"/>
      <c r="H968" s="42"/>
      <c r="I968" s="43"/>
      <c r="J968" s="44"/>
      <c r="K968" s="39"/>
      <c r="L968" s="42"/>
      <c r="M968" s="44"/>
      <c r="N968" s="45"/>
      <c r="O968" s="44"/>
      <c r="P968" s="46"/>
      <c r="Q968" s="47" t="str">
        <f aca="false">IF(L968="","",IF(M968&lt;&gt;"",M968*L968*100,IF(AND(O968&lt;&gt;"",B968&lt;&gt;""),IFERROR(AVERAGEIF($B$5:$B$1004,B968,$M$5:$M$1004)*L968*100,""),"")))</f>
        <v/>
      </c>
      <c r="R968" s="47" t="str">
        <f aca="false">IF(AND(O968&lt;&gt;"",L968&lt;&gt;""),O968*L968*100,"")</f>
        <v/>
      </c>
      <c r="S968" s="48" t="str">
        <f aca="false">IF(AND(P968&lt;&gt;"",L968&lt;&gt;""),P968*L968*100,"")</f>
        <v/>
      </c>
      <c r="T968" s="49" t="str">
        <f aca="false">IF(AND(Q968&lt;&gt;"",R968&lt;&gt;""),R968-Q968,"")</f>
        <v/>
      </c>
      <c r="U968" s="50" t="str">
        <f aca="false">IF(AND(Q968&lt;&gt;"",Q968&lt;&gt;0,T968&lt;&gt;""),T968/Q968,"")</f>
        <v/>
      </c>
      <c r="V968" s="51" t="str">
        <f aca="false">IF(AND(S968&lt;&gt;"",Q968&lt;&gt;""),S968-Q968,"")</f>
        <v/>
      </c>
      <c r="W968" s="52" t="str">
        <f aca="false">IF(AND(Q968&lt;&gt;"",Q968&lt;&gt;0,V968&lt;&gt;""),V968/Q968,"")</f>
        <v/>
      </c>
      <c r="X968" s="53" t="s">
        <v>37</v>
      </c>
      <c r="Y968" s="54" t="str">
        <f aca="false">IF(AND(O968&lt;&gt;"",M968&lt;&gt;"",O968&gt;M968),CONCATENATE("1 : ",TEXT((O968-M968)/M968,"0.00")),IF(AND(O968&lt;&gt;"",M968&lt;&gt;"",O968&lt;M968),CONCATENATE("-1 : ",TEXT((M968-O968)/M968,"0.00")),"—"))</f>
        <v>—</v>
      </c>
      <c r="Z968" s="55" t="str">
        <f aca="false">IF(AND(P968&lt;&gt;"",M968&lt;&gt;"",P968&gt;M968),CONCATENATE("1 : ",TEXT((P968-M968)/M968,"0.00")),"—")</f>
        <v>—</v>
      </c>
      <c r="AA968" s="56" t="str">
        <f aca="false">IF(AND(C968&lt;&gt;"",E968&lt;&gt;""),E968-C968,"")</f>
        <v/>
      </c>
      <c r="AB968" s="42"/>
      <c r="AC968" s="57"/>
      <c r="AD968" s="58"/>
      <c r="AE968" s="59" t="str">
        <f aca="false">IF(G968&lt;&gt;"",HYPERLINK("https://www.tradingview.com/chart/?symbol="&amp;G968&amp;"&amp;interval=60&amp;from="&amp;(AG968-10*3600)&amp;"&amp;to="&amp;(AG968+50*3600),"📈 1H"),"")</f>
        <v/>
      </c>
      <c r="AF968" s="60" t="str">
        <f aca="false">IF(G968&lt;&gt;"",HYPERLINK("https://www.tradingview.com/chart/?symbol="&amp;G968&amp;"&amp;interval=240&amp;from="&amp;(AG968-10*14400)&amp;"&amp;to="&amp;(AG968+50*14400),"📈 4H"),"")</f>
        <v/>
      </c>
      <c r="AG968" s="36" t="str">
        <f aca="false">IF(C968&lt;&gt;"",INT((C968+IF(D968&lt;&gt;"",D968,0)-DATE(1970,1,1))*86400),"")</f>
        <v/>
      </c>
    </row>
    <row r="969" customFormat="false" ht="19.5" hidden="false" customHeight="true" outlineLevel="0" collapsed="false">
      <c r="A969" s="12" t="n">
        <f aca="false">ROW()-4</f>
        <v>965</v>
      </c>
      <c r="B969" s="13"/>
      <c r="C969" s="14"/>
      <c r="D969" s="15"/>
      <c r="E969" s="14"/>
      <c r="F969" s="15"/>
      <c r="G969" s="16"/>
      <c r="H969" s="17"/>
      <c r="I969" s="18"/>
      <c r="J969" s="19"/>
      <c r="K969" s="14"/>
      <c r="L969" s="17"/>
      <c r="M969" s="19"/>
      <c r="N969" s="20"/>
      <c r="O969" s="19"/>
      <c r="P969" s="21"/>
      <c r="Q969" s="22" t="str">
        <f aca="false">IF(L969="","",IF(M969&lt;&gt;"",M969*L969*100,IF(AND(O969&lt;&gt;"",B969&lt;&gt;""),IFERROR(AVERAGEIF($B$5:$B$1004,B969,$M$5:$M$1004)*L969*100,""),"")))</f>
        <v/>
      </c>
      <c r="R969" s="22" t="str">
        <f aca="false">IF(AND(O969&lt;&gt;"",L969&lt;&gt;""),O969*L969*100,"")</f>
        <v/>
      </c>
      <c r="S969" s="23" t="str">
        <f aca="false">IF(AND(P969&lt;&gt;"",L969&lt;&gt;""),P969*L969*100,"")</f>
        <v/>
      </c>
      <c r="T969" s="24" t="str">
        <f aca="false">IF(AND(Q969&lt;&gt;"",R969&lt;&gt;""),R969-Q969,"")</f>
        <v/>
      </c>
      <c r="U969" s="25" t="str">
        <f aca="false">IF(AND(Q969&lt;&gt;"",Q969&lt;&gt;0,T969&lt;&gt;""),T969/Q969,"")</f>
        <v/>
      </c>
      <c r="V969" s="26" t="str">
        <f aca="false">IF(AND(S969&lt;&gt;"",Q969&lt;&gt;""),S969-Q969,"")</f>
        <v/>
      </c>
      <c r="W969" s="27" t="str">
        <f aca="false">IF(AND(Q969&lt;&gt;"",Q969&lt;&gt;0,V969&lt;&gt;""),V969/Q969,"")</f>
        <v/>
      </c>
      <c r="X969" s="28" t="s">
        <v>37</v>
      </c>
      <c r="Y969" s="29" t="str">
        <f aca="false">IF(AND(O969&lt;&gt;"",M969&lt;&gt;"",O969&gt;M969),CONCATENATE("1 : ",TEXT((O969-M969)/M969,"0.00")),IF(AND(O969&lt;&gt;"",M969&lt;&gt;"",O969&lt;M969),CONCATENATE("-1 : ",TEXT((M969-O969)/M969,"0.00")),"—"))</f>
        <v>—</v>
      </c>
      <c r="Z969" s="30" t="str">
        <f aca="false">IF(AND(P969&lt;&gt;"",M969&lt;&gt;"",P969&gt;M969),CONCATENATE("1 : ",TEXT((P969-M969)/M969,"0.00")),"—")</f>
        <v>—</v>
      </c>
      <c r="AA969" s="31" t="str">
        <f aca="false">IF(AND(C969&lt;&gt;"",E969&lt;&gt;""),E969-C969,"")</f>
        <v/>
      </c>
      <c r="AB969" s="17"/>
      <c r="AC969" s="32"/>
      <c r="AD969" s="33"/>
      <c r="AE969" s="34" t="str">
        <f aca="false">IF(G969&lt;&gt;"",HYPERLINK("https://www.tradingview.com/chart/?symbol="&amp;G969&amp;"&amp;interval=60&amp;from="&amp;(AG969-10*3600)&amp;"&amp;to="&amp;(AG969+50*3600),"📈 1H"),"")</f>
        <v/>
      </c>
      <c r="AF969" s="35" t="str">
        <f aca="false">IF(G969&lt;&gt;"",HYPERLINK("https://www.tradingview.com/chart/?symbol="&amp;G969&amp;"&amp;interval=240&amp;from="&amp;(AG969-10*14400)&amp;"&amp;to="&amp;(AG969+50*14400),"📈 4H"),"")</f>
        <v/>
      </c>
      <c r="AG969" s="36" t="str">
        <f aca="false">IF(C969&lt;&gt;"",INT((C969+IF(D969&lt;&gt;"",D969,0)-DATE(1970,1,1))*86400),"")</f>
        <v/>
      </c>
    </row>
    <row r="970" customFormat="false" ht="19.5" hidden="false" customHeight="true" outlineLevel="0" collapsed="false">
      <c r="A970" s="37" t="n">
        <f aca="false">ROW()-4</f>
        <v>966</v>
      </c>
      <c r="B970" s="38"/>
      <c r="C970" s="39"/>
      <c r="D970" s="40"/>
      <c r="E970" s="39"/>
      <c r="F970" s="40"/>
      <c r="G970" s="41"/>
      <c r="H970" s="42"/>
      <c r="I970" s="43"/>
      <c r="J970" s="44"/>
      <c r="K970" s="39"/>
      <c r="L970" s="42"/>
      <c r="M970" s="44"/>
      <c r="N970" s="45"/>
      <c r="O970" s="44"/>
      <c r="P970" s="46"/>
      <c r="Q970" s="47" t="str">
        <f aca="false">IF(L970="","",IF(M970&lt;&gt;"",M970*L970*100,IF(AND(O970&lt;&gt;"",B970&lt;&gt;""),IFERROR(AVERAGEIF($B$5:$B$1004,B970,$M$5:$M$1004)*L970*100,""),"")))</f>
        <v/>
      </c>
      <c r="R970" s="47" t="str">
        <f aca="false">IF(AND(O970&lt;&gt;"",L970&lt;&gt;""),O970*L970*100,"")</f>
        <v/>
      </c>
      <c r="S970" s="48" t="str">
        <f aca="false">IF(AND(P970&lt;&gt;"",L970&lt;&gt;""),P970*L970*100,"")</f>
        <v/>
      </c>
      <c r="T970" s="49" t="str">
        <f aca="false">IF(AND(Q970&lt;&gt;"",R970&lt;&gt;""),R970-Q970,"")</f>
        <v/>
      </c>
      <c r="U970" s="50" t="str">
        <f aca="false">IF(AND(Q970&lt;&gt;"",Q970&lt;&gt;0,T970&lt;&gt;""),T970/Q970,"")</f>
        <v/>
      </c>
      <c r="V970" s="51" t="str">
        <f aca="false">IF(AND(S970&lt;&gt;"",Q970&lt;&gt;""),S970-Q970,"")</f>
        <v/>
      </c>
      <c r="W970" s="52" t="str">
        <f aca="false">IF(AND(Q970&lt;&gt;"",Q970&lt;&gt;0,V970&lt;&gt;""),V970/Q970,"")</f>
        <v/>
      </c>
      <c r="X970" s="53" t="s">
        <v>37</v>
      </c>
      <c r="Y970" s="54" t="str">
        <f aca="false">IF(AND(O970&lt;&gt;"",M970&lt;&gt;"",O970&gt;M970),CONCATENATE("1 : ",TEXT((O970-M970)/M970,"0.00")),IF(AND(O970&lt;&gt;"",M970&lt;&gt;"",O970&lt;M970),CONCATENATE("-1 : ",TEXT((M970-O970)/M970,"0.00")),"—"))</f>
        <v>—</v>
      </c>
      <c r="Z970" s="55" t="str">
        <f aca="false">IF(AND(P970&lt;&gt;"",M970&lt;&gt;"",P970&gt;M970),CONCATENATE("1 : ",TEXT((P970-M970)/M970,"0.00")),"—")</f>
        <v>—</v>
      </c>
      <c r="AA970" s="56" t="str">
        <f aca="false">IF(AND(C970&lt;&gt;"",E970&lt;&gt;""),E970-C970,"")</f>
        <v/>
      </c>
      <c r="AB970" s="42"/>
      <c r="AC970" s="57"/>
      <c r="AD970" s="58"/>
      <c r="AE970" s="59" t="str">
        <f aca="false">IF(G970&lt;&gt;"",HYPERLINK("https://www.tradingview.com/chart/?symbol="&amp;G970&amp;"&amp;interval=60&amp;from="&amp;(AG970-10*3600)&amp;"&amp;to="&amp;(AG970+50*3600),"📈 1H"),"")</f>
        <v/>
      </c>
      <c r="AF970" s="60" t="str">
        <f aca="false">IF(G970&lt;&gt;"",HYPERLINK("https://www.tradingview.com/chart/?symbol="&amp;G970&amp;"&amp;interval=240&amp;from="&amp;(AG970-10*14400)&amp;"&amp;to="&amp;(AG970+50*14400),"📈 4H"),"")</f>
        <v/>
      </c>
      <c r="AG970" s="36" t="str">
        <f aca="false">IF(C970&lt;&gt;"",INT((C970+IF(D970&lt;&gt;"",D970,0)-DATE(1970,1,1))*86400),"")</f>
        <v/>
      </c>
    </row>
    <row r="971" customFormat="false" ht="19.5" hidden="false" customHeight="true" outlineLevel="0" collapsed="false">
      <c r="A971" s="12" t="n">
        <f aca="false">ROW()-4</f>
        <v>967</v>
      </c>
      <c r="B971" s="13"/>
      <c r="C971" s="14"/>
      <c r="D971" s="15"/>
      <c r="E971" s="14"/>
      <c r="F971" s="15"/>
      <c r="G971" s="16"/>
      <c r="H971" s="17"/>
      <c r="I971" s="18"/>
      <c r="J971" s="19"/>
      <c r="K971" s="14"/>
      <c r="L971" s="17"/>
      <c r="M971" s="19"/>
      <c r="N971" s="20"/>
      <c r="O971" s="19"/>
      <c r="P971" s="21"/>
      <c r="Q971" s="22" t="str">
        <f aca="false">IF(L971="","",IF(M971&lt;&gt;"",M971*L971*100,IF(AND(O971&lt;&gt;"",B971&lt;&gt;""),IFERROR(AVERAGEIF($B$5:$B$1004,B971,$M$5:$M$1004)*L971*100,""),"")))</f>
        <v/>
      </c>
      <c r="R971" s="22" t="str">
        <f aca="false">IF(AND(O971&lt;&gt;"",L971&lt;&gt;""),O971*L971*100,"")</f>
        <v/>
      </c>
      <c r="S971" s="23" t="str">
        <f aca="false">IF(AND(P971&lt;&gt;"",L971&lt;&gt;""),P971*L971*100,"")</f>
        <v/>
      </c>
      <c r="T971" s="24" t="str">
        <f aca="false">IF(AND(Q971&lt;&gt;"",R971&lt;&gt;""),R971-Q971,"")</f>
        <v/>
      </c>
      <c r="U971" s="25" t="str">
        <f aca="false">IF(AND(Q971&lt;&gt;"",Q971&lt;&gt;0,T971&lt;&gt;""),T971/Q971,"")</f>
        <v/>
      </c>
      <c r="V971" s="26" t="str">
        <f aca="false">IF(AND(S971&lt;&gt;"",Q971&lt;&gt;""),S971-Q971,"")</f>
        <v/>
      </c>
      <c r="W971" s="27" t="str">
        <f aca="false">IF(AND(Q971&lt;&gt;"",Q971&lt;&gt;0,V971&lt;&gt;""),V971/Q971,"")</f>
        <v/>
      </c>
      <c r="X971" s="28" t="s">
        <v>37</v>
      </c>
      <c r="Y971" s="29" t="str">
        <f aca="false">IF(AND(O971&lt;&gt;"",M971&lt;&gt;"",O971&gt;M971),CONCATENATE("1 : ",TEXT((O971-M971)/M971,"0.00")),IF(AND(O971&lt;&gt;"",M971&lt;&gt;"",O971&lt;M971),CONCATENATE("-1 : ",TEXT((M971-O971)/M971,"0.00")),"—"))</f>
        <v>—</v>
      </c>
      <c r="Z971" s="30" t="str">
        <f aca="false">IF(AND(P971&lt;&gt;"",M971&lt;&gt;"",P971&gt;M971),CONCATENATE("1 : ",TEXT((P971-M971)/M971,"0.00")),"—")</f>
        <v>—</v>
      </c>
      <c r="AA971" s="31" t="str">
        <f aca="false">IF(AND(C971&lt;&gt;"",E971&lt;&gt;""),E971-C971,"")</f>
        <v/>
      </c>
      <c r="AB971" s="17"/>
      <c r="AC971" s="32"/>
      <c r="AD971" s="33"/>
      <c r="AE971" s="34" t="str">
        <f aca="false">IF(G971&lt;&gt;"",HYPERLINK("https://www.tradingview.com/chart/?symbol="&amp;G971&amp;"&amp;interval=60&amp;from="&amp;(AG971-10*3600)&amp;"&amp;to="&amp;(AG971+50*3600),"📈 1H"),"")</f>
        <v/>
      </c>
      <c r="AF971" s="35" t="str">
        <f aca="false">IF(G971&lt;&gt;"",HYPERLINK("https://www.tradingview.com/chart/?symbol="&amp;G971&amp;"&amp;interval=240&amp;from="&amp;(AG971-10*14400)&amp;"&amp;to="&amp;(AG971+50*14400),"📈 4H"),"")</f>
        <v/>
      </c>
      <c r="AG971" s="36" t="str">
        <f aca="false">IF(C971&lt;&gt;"",INT((C971+IF(D971&lt;&gt;"",D971,0)-DATE(1970,1,1))*86400),"")</f>
        <v/>
      </c>
    </row>
    <row r="972" customFormat="false" ht="19.5" hidden="false" customHeight="true" outlineLevel="0" collapsed="false">
      <c r="A972" s="37" t="n">
        <f aca="false">ROW()-4</f>
        <v>968</v>
      </c>
      <c r="B972" s="38"/>
      <c r="C972" s="39"/>
      <c r="D972" s="40"/>
      <c r="E972" s="39"/>
      <c r="F972" s="40"/>
      <c r="G972" s="41"/>
      <c r="H972" s="42"/>
      <c r="I972" s="43"/>
      <c r="J972" s="44"/>
      <c r="K972" s="39"/>
      <c r="L972" s="42"/>
      <c r="M972" s="44"/>
      <c r="N972" s="45"/>
      <c r="O972" s="44"/>
      <c r="P972" s="46"/>
      <c r="Q972" s="47" t="str">
        <f aca="false">IF(L972="","",IF(M972&lt;&gt;"",M972*L972*100,IF(AND(O972&lt;&gt;"",B972&lt;&gt;""),IFERROR(AVERAGEIF($B$5:$B$1004,B972,$M$5:$M$1004)*L972*100,""),"")))</f>
        <v/>
      </c>
      <c r="R972" s="47" t="str">
        <f aca="false">IF(AND(O972&lt;&gt;"",L972&lt;&gt;""),O972*L972*100,"")</f>
        <v/>
      </c>
      <c r="S972" s="48" t="str">
        <f aca="false">IF(AND(P972&lt;&gt;"",L972&lt;&gt;""),P972*L972*100,"")</f>
        <v/>
      </c>
      <c r="T972" s="49" t="str">
        <f aca="false">IF(AND(Q972&lt;&gt;"",R972&lt;&gt;""),R972-Q972,"")</f>
        <v/>
      </c>
      <c r="U972" s="50" t="str">
        <f aca="false">IF(AND(Q972&lt;&gt;"",Q972&lt;&gt;0,T972&lt;&gt;""),T972/Q972,"")</f>
        <v/>
      </c>
      <c r="V972" s="51" t="str">
        <f aca="false">IF(AND(S972&lt;&gt;"",Q972&lt;&gt;""),S972-Q972,"")</f>
        <v/>
      </c>
      <c r="W972" s="52" t="str">
        <f aca="false">IF(AND(Q972&lt;&gt;"",Q972&lt;&gt;0,V972&lt;&gt;""),V972/Q972,"")</f>
        <v/>
      </c>
      <c r="X972" s="53" t="s">
        <v>37</v>
      </c>
      <c r="Y972" s="54" t="str">
        <f aca="false">IF(AND(O972&lt;&gt;"",M972&lt;&gt;"",O972&gt;M972),CONCATENATE("1 : ",TEXT((O972-M972)/M972,"0.00")),IF(AND(O972&lt;&gt;"",M972&lt;&gt;"",O972&lt;M972),CONCATENATE("-1 : ",TEXT((M972-O972)/M972,"0.00")),"—"))</f>
        <v>—</v>
      </c>
      <c r="Z972" s="55" t="str">
        <f aca="false">IF(AND(P972&lt;&gt;"",M972&lt;&gt;"",P972&gt;M972),CONCATENATE("1 : ",TEXT((P972-M972)/M972,"0.00")),"—")</f>
        <v>—</v>
      </c>
      <c r="AA972" s="56" t="str">
        <f aca="false">IF(AND(C972&lt;&gt;"",E972&lt;&gt;""),E972-C972,"")</f>
        <v/>
      </c>
      <c r="AB972" s="42"/>
      <c r="AC972" s="57"/>
      <c r="AD972" s="58"/>
      <c r="AE972" s="59" t="str">
        <f aca="false">IF(G972&lt;&gt;"",HYPERLINK("https://www.tradingview.com/chart/?symbol="&amp;G972&amp;"&amp;interval=60&amp;from="&amp;(AG972-10*3600)&amp;"&amp;to="&amp;(AG972+50*3600),"📈 1H"),"")</f>
        <v/>
      </c>
      <c r="AF972" s="60" t="str">
        <f aca="false">IF(G972&lt;&gt;"",HYPERLINK("https://www.tradingview.com/chart/?symbol="&amp;G972&amp;"&amp;interval=240&amp;from="&amp;(AG972-10*14400)&amp;"&amp;to="&amp;(AG972+50*14400),"📈 4H"),"")</f>
        <v/>
      </c>
      <c r="AG972" s="36" t="str">
        <f aca="false">IF(C972&lt;&gt;"",INT((C972+IF(D972&lt;&gt;"",D972,0)-DATE(1970,1,1))*86400),"")</f>
        <v/>
      </c>
    </row>
    <row r="973" customFormat="false" ht="19.5" hidden="false" customHeight="true" outlineLevel="0" collapsed="false">
      <c r="A973" s="12" t="n">
        <f aca="false">ROW()-4</f>
        <v>969</v>
      </c>
      <c r="B973" s="13"/>
      <c r="C973" s="14"/>
      <c r="D973" s="15"/>
      <c r="E973" s="14"/>
      <c r="F973" s="15"/>
      <c r="G973" s="16"/>
      <c r="H973" s="17"/>
      <c r="I973" s="18"/>
      <c r="J973" s="19"/>
      <c r="K973" s="14"/>
      <c r="L973" s="17"/>
      <c r="M973" s="19"/>
      <c r="N973" s="20"/>
      <c r="O973" s="19"/>
      <c r="P973" s="21"/>
      <c r="Q973" s="22" t="str">
        <f aca="false">IF(L973="","",IF(M973&lt;&gt;"",M973*L973*100,IF(AND(O973&lt;&gt;"",B973&lt;&gt;""),IFERROR(AVERAGEIF($B$5:$B$1004,B973,$M$5:$M$1004)*L973*100,""),"")))</f>
        <v/>
      </c>
      <c r="R973" s="22" t="str">
        <f aca="false">IF(AND(O973&lt;&gt;"",L973&lt;&gt;""),O973*L973*100,"")</f>
        <v/>
      </c>
      <c r="S973" s="23" t="str">
        <f aca="false">IF(AND(P973&lt;&gt;"",L973&lt;&gt;""),P973*L973*100,"")</f>
        <v/>
      </c>
      <c r="T973" s="24" t="str">
        <f aca="false">IF(AND(Q973&lt;&gt;"",R973&lt;&gt;""),R973-Q973,"")</f>
        <v/>
      </c>
      <c r="U973" s="25" t="str">
        <f aca="false">IF(AND(Q973&lt;&gt;"",Q973&lt;&gt;0,T973&lt;&gt;""),T973/Q973,"")</f>
        <v/>
      </c>
      <c r="V973" s="26" t="str">
        <f aca="false">IF(AND(S973&lt;&gt;"",Q973&lt;&gt;""),S973-Q973,"")</f>
        <v/>
      </c>
      <c r="W973" s="27" t="str">
        <f aca="false">IF(AND(Q973&lt;&gt;"",Q973&lt;&gt;0,V973&lt;&gt;""),V973/Q973,"")</f>
        <v/>
      </c>
      <c r="X973" s="28" t="s">
        <v>37</v>
      </c>
      <c r="Y973" s="29" t="str">
        <f aca="false">IF(AND(O973&lt;&gt;"",M973&lt;&gt;"",O973&gt;M973),CONCATENATE("1 : ",TEXT((O973-M973)/M973,"0.00")),IF(AND(O973&lt;&gt;"",M973&lt;&gt;"",O973&lt;M973),CONCATENATE("-1 : ",TEXT((M973-O973)/M973,"0.00")),"—"))</f>
        <v>—</v>
      </c>
      <c r="Z973" s="30" t="str">
        <f aca="false">IF(AND(P973&lt;&gt;"",M973&lt;&gt;"",P973&gt;M973),CONCATENATE("1 : ",TEXT((P973-M973)/M973,"0.00")),"—")</f>
        <v>—</v>
      </c>
      <c r="AA973" s="31" t="str">
        <f aca="false">IF(AND(C973&lt;&gt;"",E973&lt;&gt;""),E973-C973,"")</f>
        <v/>
      </c>
      <c r="AB973" s="17"/>
      <c r="AC973" s="32"/>
      <c r="AD973" s="33"/>
      <c r="AE973" s="34" t="str">
        <f aca="false">IF(G973&lt;&gt;"",HYPERLINK("https://www.tradingview.com/chart/?symbol="&amp;G973&amp;"&amp;interval=60&amp;from="&amp;(AG973-10*3600)&amp;"&amp;to="&amp;(AG973+50*3600),"📈 1H"),"")</f>
        <v/>
      </c>
      <c r="AF973" s="35" t="str">
        <f aca="false">IF(G973&lt;&gt;"",HYPERLINK("https://www.tradingview.com/chart/?symbol="&amp;G973&amp;"&amp;interval=240&amp;from="&amp;(AG973-10*14400)&amp;"&amp;to="&amp;(AG973+50*14400),"📈 4H"),"")</f>
        <v/>
      </c>
      <c r="AG973" s="36" t="str">
        <f aca="false">IF(C973&lt;&gt;"",INT((C973+IF(D973&lt;&gt;"",D973,0)-DATE(1970,1,1))*86400),"")</f>
        <v/>
      </c>
    </row>
    <row r="974" customFormat="false" ht="19.5" hidden="false" customHeight="true" outlineLevel="0" collapsed="false">
      <c r="A974" s="37" t="n">
        <f aca="false">ROW()-4</f>
        <v>970</v>
      </c>
      <c r="B974" s="38"/>
      <c r="C974" s="39"/>
      <c r="D974" s="40"/>
      <c r="E974" s="39"/>
      <c r="F974" s="40"/>
      <c r="G974" s="41"/>
      <c r="H974" s="42"/>
      <c r="I974" s="43"/>
      <c r="J974" s="44"/>
      <c r="K974" s="39"/>
      <c r="L974" s="42"/>
      <c r="M974" s="44"/>
      <c r="N974" s="45"/>
      <c r="O974" s="44"/>
      <c r="P974" s="46"/>
      <c r="Q974" s="47" t="str">
        <f aca="false">IF(L974="","",IF(M974&lt;&gt;"",M974*L974*100,IF(AND(O974&lt;&gt;"",B974&lt;&gt;""),IFERROR(AVERAGEIF($B$5:$B$1004,B974,$M$5:$M$1004)*L974*100,""),"")))</f>
        <v/>
      </c>
      <c r="R974" s="47" t="str">
        <f aca="false">IF(AND(O974&lt;&gt;"",L974&lt;&gt;""),O974*L974*100,"")</f>
        <v/>
      </c>
      <c r="S974" s="48" t="str">
        <f aca="false">IF(AND(P974&lt;&gt;"",L974&lt;&gt;""),P974*L974*100,"")</f>
        <v/>
      </c>
      <c r="T974" s="49" t="str">
        <f aca="false">IF(AND(Q974&lt;&gt;"",R974&lt;&gt;""),R974-Q974,"")</f>
        <v/>
      </c>
      <c r="U974" s="50" t="str">
        <f aca="false">IF(AND(Q974&lt;&gt;"",Q974&lt;&gt;0,T974&lt;&gt;""),T974/Q974,"")</f>
        <v/>
      </c>
      <c r="V974" s="51" t="str">
        <f aca="false">IF(AND(S974&lt;&gt;"",Q974&lt;&gt;""),S974-Q974,"")</f>
        <v/>
      </c>
      <c r="W974" s="52" t="str">
        <f aca="false">IF(AND(Q974&lt;&gt;"",Q974&lt;&gt;0,V974&lt;&gt;""),V974/Q974,"")</f>
        <v/>
      </c>
      <c r="X974" s="53" t="s">
        <v>37</v>
      </c>
      <c r="Y974" s="54" t="str">
        <f aca="false">IF(AND(O974&lt;&gt;"",M974&lt;&gt;"",O974&gt;M974),CONCATENATE("1 : ",TEXT((O974-M974)/M974,"0.00")),IF(AND(O974&lt;&gt;"",M974&lt;&gt;"",O974&lt;M974),CONCATENATE("-1 : ",TEXT((M974-O974)/M974,"0.00")),"—"))</f>
        <v>—</v>
      </c>
      <c r="Z974" s="55" t="str">
        <f aca="false">IF(AND(P974&lt;&gt;"",M974&lt;&gt;"",P974&gt;M974),CONCATENATE("1 : ",TEXT((P974-M974)/M974,"0.00")),"—")</f>
        <v>—</v>
      </c>
      <c r="AA974" s="56" t="str">
        <f aca="false">IF(AND(C974&lt;&gt;"",E974&lt;&gt;""),E974-C974,"")</f>
        <v/>
      </c>
      <c r="AB974" s="42"/>
      <c r="AC974" s="57"/>
      <c r="AD974" s="58"/>
      <c r="AE974" s="59" t="str">
        <f aca="false">IF(G974&lt;&gt;"",HYPERLINK("https://www.tradingview.com/chart/?symbol="&amp;G974&amp;"&amp;interval=60&amp;from="&amp;(AG974-10*3600)&amp;"&amp;to="&amp;(AG974+50*3600),"📈 1H"),"")</f>
        <v/>
      </c>
      <c r="AF974" s="60" t="str">
        <f aca="false">IF(G974&lt;&gt;"",HYPERLINK("https://www.tradingview.com/chart/?symbol="&amp;G974&amp;"&amp;interval=240&amp;from="&amp;(AG974-10*14400)&amp;"&amp;to="&amp;(AG974+50*14400),"📈 4H"),"")</f>
        <v/>
      </c>
      <c r="AG974" s="36" t="str">
        <f aca="false">IF(C974&lt;&gt;"",INT((C974+IF(D974&lt;&gt;"",D974,0)-DATE(1970,1,1))*86400),"")</f>
        <v/>
      </c>
    </row>
    <row r="975" customFormat="false" ht="19.5" hidden="false" customHeight="true" outlineLevel="0" collapsed="false">
      <c r="A975" s="12" t="n">
        <f aca="false">ROW()-4</f>
        <v>971</v>
      </c>
      <c r="B975" s="13"/>
      <c r="C975" s="14"/>
      <c r="D975" s="15"/>
      <c r="E975" s="14"/>
      <c r="F975" s="15"/>
      <c r="G975" s="16"/>
      <c r="H975" s="17"/>
      <c r="I975" s="18"/>
      <c r="J975" s="19"/>
      <c r="K975" s="14"/>
      <c r="L975" s="17"/>
      <c r="M975" s="19"/>
      <c r="N975" s="20"/>
      <c r="O975" s="19"/>
      <c r="P975" s="21"/>
      <c r="Q975" s="22" t="str">
        <f aca="false">IF(L975="","",IF(M975&lt;&gt;"",M975*L975*100,IF(AND(O975&lt;&gt;"",B975&lt;&gt;""),IFERROR(AVERAGEIF($B$5:$B$1004,B975,$M$5:$M$1004)*L975*100,""),"")))</f>
        <v/>
      </c>
      <c r="R975" s="22" t="str">
        <f aca="false">IF(AND(O975&lt;&gt;"",L975&lt;&gt;""),O975*L975*100,"")</f>
        <v/>
      </c>
      <c r="S975" s="23" t="str">
        <f aca="false">IF(AND(P975&lt;&gt;"",L975&lt;&gt;""),P975*L975*100,"")</f>
        <v/>
      </c>
      <c r="T975" s="24" t="str">
        <f aca="false">IF(AND(Q975&lt;&gt;"",R975&lt;&gt;""),R975-Q975,"")</f>
        <v/>
      </c>
      <c r="U975" s="25" t="str">
        <f aca="false">IF(AND(Q975&lt;&gt;"",Q975&lt;&gt;0,T975&lt;&gt;""),T975/Q975,"")</f>
        <v/>
      </c>
      <c r="V975" s="26" t="str">
        <f aca="false">IF(AND(S975&lt;&gt;"",Q975&lt;&gt;""),S975-Q975,"")</f>
        <v/>
      </c>
      <c r="W975" s="27" t="str">
        <f aca="false">IF(AND(Q975&lt;&gt;"",Q975&lt;&gt;0,V975&lt;&gt;""),V975/Q975,"")</f>
        <v/>
      </c>
      <c r="X975" s="28" t="s">
        <v>37</v>
      </c>
      <c r="Y975" s="29" t="str">
        <f aca="false">IF(AND(O975&lt;&gt;"",M975&lt;&gt;"",O975&gt;M975),CONCATENATE("1 : ",TEXT((O975-M975)/M975,"0.00")),IF(AND(O975&lt;&gt;"",M975&lt;&gt;"",O975&lt;M975),CONCATENATE("-1 : ",TEXT((M975-O975)/M975,"0.00")),"—"))</f>
        <v>—</v>
      </c>
      <c r="Z975" s="30" t="str">
        <f aca="false">IF(AND(P975&lt;&gt;"",M975&lt;&gt;"",P975&gt;M975),CONCATENATE("1 : ",TEXT((P975-M975)/M975,"0.00")),"—")</f>
        <v>—</v>
      </c>
      <c r="AA975" s="31" t="str">
        <f aca="false">IF(AND(C975&lt;&gt;"",E975&lt;&gt;""),E975-C975,"")</f>
        <v/>
      </c>
      <c r="AB975" s="17"/>
      <c r="AC975" s="32"/>
      <c r="AD975" s="33"/>
      <c r="AE975" s="34" t="str">
        <f aca="false">IF(G975&lt;&gt;"",HYPERLINK("https://www.tradingview.com/chart/?symbol="&amp;G975&amp;"&amp;interval=60&amp;from="&amp;(AG975-10*3600)&amp;"&amp;to="&amp;(AG975+50*3600),"📈 1H"),"")</f>
        <v/>
      </c>
      <c r="AF975" s="35" t="str">
        <f aca="false">IF(G975&lt;&gt;"",HYPERLINK("https://www.tradingview.com/chart/?symbol="&amp;G975&amp;"&amp;interval=240&amp;from="&amp;(AG975-10*14400)&amp;"&amp;to="&amp;(AG975+50*14400),"📈 4H"),"")</f>
        <v/>
      </c>
      <c r="AG975" s="36" t="str">
        <f aca="false">IF(C975&lt;&gt;"",INT((C975+IF(D975&lt;&gt;"",D975,0)-DATE(1970,1,1))*86400),"")</f>
        <v/>
      </c>
    </row>
    <row r="976" customFormat="false" ht="19.5" hidden="false" customHeight="true" outlineLevel="0" collapsed="false">
      <c r="A976" s="37" t="n">
        <f aca="false">ROW()-4</f>
        <v>972</v>
      </c>
      <c r="B976" s="38"/>
      <c r="C976" s="39"/>
      <c r="D976" s="40"/>
      <c r="E976" s="39"/>
      <c r="F976" s="40"/>
      <c r="G976" s="41"/>
      <c r="H976" s="42"/>
      <c r="I976" s="43"/>
      <c r="J976" s="44"/>
      <c r="K976" s="39"/>
      <c r="L976" s="42"/>
      <c r="M976" s="44"/>
      <c r="N976" s="45"/>
      <c r="O976" s="44"/>
      <c r="P976" s="46"/>
      <c r="Q976" s="47" t="str">
        <f aca="false">IF(L976="","",IF(M976&lt;&gt;"",M976*L976*100,IF(AND(O976&lt;&gt;"",B976&lt;&gt;""),IFERROR(AVERAGEIF($B$5:$B$1004,B976,$M$5:$M$1004)*L976*100,""),"")))</f>
        <v/>
      </c>
      <c r="R976" s="47" t="str">
        <f aca="false">IF(AND(O976&lt;&gt;"",L976&lt;&gt;""),O976*L976*100,"")</f>
        <v/>
      </c>
      <c r="S976" s="48" t="str">
        <f aca="false">IF(AND(P976&lt;&gt;"",L976&lt;&gt;""),P976*L976*100,"")</f>
        <v/>
      </c>
      <c r="T976" s="49" t="str">
        <f aca="false">IF(AND(Q976&lt;&gt;"",R976&lt;&gt;""),R976-Q976,"")</f>
        <v/>
      </c>
      <c r="U976" s="50" t="str">
        <f aca="false">IF(AND(Q976&lt;&gt;"",Q976&lt;&gt;0,T976&lt;&gt;""),T976/Q976,"")</f>
        <v/>
      </c>
      <c r="V976" s="51" t="str">
        <f aca="false">IF(AND(S976&lt;&gt;"",Q976&lt;&gt;""),S976-Q976,"")</f>
        <v/>
      </c>
      <c r="W976" s="52" t="str">
        <f aca="false">IF(AND(Q976&lt;&gt;"",Q976&lt;&gt;0,V976&lt;&gt;""),V976/Q976,"")</f>
        <v/>
      </c>
      <c r="X976" s="53" t="s">
        <v>37</v>
      </c>
      <c r="Y976" s="54" t="str">
        <f aca="false">IF(AND(O976&lt;&gt;"",M976&lt;&gt;"",O976&gt;M976),CONCATENATE("1 : ",TEXT((O976-M976)/M976,"0.00")),IF(AND(O976&lt;&gt;"",M976&lt;&gt;"",O976&lt;M976),CONCATENATE("-1 : ",TEXT((M976-O976)/M976,"0.00")),"—"))</f>
        <v>—</v>
      </c>
      <c r="Z976" s="55" t="str">
        <f aca="false">IF(AND(P976&lt;&gt;"",M976&lt;&gt;"",P976&gt;M976),CONCATENATE("1 : ",TEXT((P976-M976)/M976,"0.00")),"—")</f>
        <v>—</v>
      </c>
      <c r="AA976" s="56" t="str">
        <f aca="false">IF(AND(C976&lt;&gt;"",E976&lt;&gt;""),E976-C976,"")</f>
        <v/>
      </c>
      <c r="AB976" s="42"/>
      <c r="AC976" s="57"/>
      <c r="AD976" s="58"/>
      <c r="AE976" s="59" t="str">
        <f aca="false">IF(G976&lt;&gt;"",HYPERLINK("https://www.tradingview.com/chart/?symbol="&amp;G976&amp;"&amp;interval=60&amp;from="&amp;(AG976-10*3600)&amp;"&amp;to="&amp;(AG976+50*3600),"📈 1H"),"")</f>
        <v/>
      </c>
      <c r="AF976" s="60" t="str">
        <f aca="false">IF(G976&lt;&gt;"",HYPERLINK("https://www.tradingview.com/chart/?symbol="&amp;G976&amp;"&amp;interval=240&amp;from="&amp;(AG976-10*14400)&amp;"&amp;to="&amp;(AG976+50*14400),"📈 4H"),"")</f>
        <v/>
      </c>
      <c r="AG976" s="36" t="str">
        <f aca="false">IF(C976&lt;&gt;"",INT((C976+IF(D976&lt;&gt;"",D976,0)-DATE(1970,1,1))*86400),"")</f>
        <v/>
      </c>
    </row>
    <row r="977" customFormat="false" ht="19.5" hidden="false" customHeight="true" outlineLevel="0" collapsed="false">
      <c r="A977" s="12" t="n">
        <f aca="false">ROW()-4</f>
        <v>973</v>
      </c>
      <c r="B977" s="13"/>
      <c r="C977" s="14"/>
      <c r="D977" s="15"/>
      <c r="E977" s="14"/>
      <c r="F977" s="15"/>
      <c r="G977" s="16"/>
      <c r="H977" s="17"/>
      <c r="I977" s="18"/>
      <c r="J977" s="19"/>
      <c r="K977" s="14"/>
      <c r="L977" s="17"/>
      <c r="M977" s="19"/>
      <c r="N977" s="20"/>
      <c r="O977" s="19"/>
      <c r="P977" s="21"/>
      <c r="Q977" s="22" t="str">
        <f aca="false">IF(L977="","",IF(M977&lt;&gt;"",M977*L977*100,IF(AND(O977&lt;&gt;"",B977&lt;&gt;""),IFERROR(AVERAGEIF($B$5:$B$1004,B977,$M$5:$M$1004)*L977*100,""),"")))</f>
        <v/>
      </c>
      <c r="R977" s="22" t="str">
        <f aca="false">IF(AND(O977&lt;&gt;"",L977&lt;&gt;""),O977*L977*100,"")</f>
        <v/>
      </c>
      <c r="S977" s="23" t="str">
        <f aca="false">IF(AND(P977&lt;&gt;"",L977&lt;&gt;""),P977*L977*100,"")</f>
        <v/>
      </c>
      <c r="T977" s="24" t="str">
        <f aca="false">IF(AND(Q977&lt;&gt;"",R977&lt;&gt;""),R977-Q977,"")</f>
        <v/>
      </c>
      <c r="U977" s="25" t="str">
        <f aca="false">IF(AND(Q977&lt;&gt;"",Q977&lt;&gt;0,T977&lt;&gt;""),T977/Q977,"")</f>
        <v/>
      </c>
      <c r="V977" s="26" t="str">
        <f aca="false">IF(AND(S977&lt;&gt;"",Q977&lt;&gt;""),S977-Q977,"")</f>
        <v/>
      </c>
      <c r="W977" s="27" t="str">
        <f aca="false">IF(AND(Q977&lt;&gt;"",Q977&lt;&gt;0,V977&lt;&gt;""),V977/Q977,"")</f>
        <v/>
      </c>
      <c r="X977" s="28" t="s">
        <v>37</v>
      </c>
      <c r="Y977" s="29" t="str">
        <f aca="false">IF(AND(O977&lt;&gt;"",M977&lt;&gt;"",O977&gt;M977),CONCATENATE("1 : ",TEXT((O977-M977)/M977,"0.00")),IF(AND(O977&lt;&gt;"",M977&lt;&gt;"",O977&lt;M977),CONCATENATE("-1 : ",TEXT((M977-O977)/M977,"0.00")),"—"))</f>
        <v>—</v>
      </c>
      <c r="Z977" s="30" t="str">
        <f aca="false">IF(AND(P977&lt;&gt;"",M977&lt;&gt;"",P977&gt;M977),CONCATENATE("1 : ",TEXT((P977-M977)/M977,"0.00")),"—")</f>
        <v>—</v>
      </c>
      <c r="AA977" s="31" t="str">
        <f aca="false">IF(AND(C977&lt;&gt;"",E977&lt;&gt;""),E977-C977,"")</f>
        <v/>
      </c>
      <c r="AB977" s="17"/>
      <c r="AC977" s="32"/>
      <c r="AD977" s="33"/>
      <c r="AE977" s="34" t="str">
        <f aca="false">IF(G977&lt;&gt;"",HYPERLINK("https://www.tradingview.com/chart/?symbol="&amp;G977&amp;"&amp;interval=60&amp;from="&amp;(AG977-10*3600)&amp;"&amp;to="&amp;(AG977+50*3600),"📈 1H"),"")</f>
        <v/>
      </c>
      <c r="AF977" s="35" t="str">
        <f aca="false">IF(G977&lt;&gt;"",HYPERLINK("https://www.tradingview.com/chart/?symbol="&amp;G977&amp;"&amp;interval=240&amp;from="&amp;(AG977-10*14400)&amp;"&amp;to="&amp;(AG977+50*14400),"📈 4H"),"")</f>
        <v/>
      </c>
      <c r="AG977" s="36" t="str">
        <f aca="false">IF(C977&lt;&gt;"",INT((C977+IF(D977&lt;&gt;"",D977,0)-DATE(1970,1,1))*86400),"")</f>
        <v/>
      </c>
    </row>
    <row r="978" customFormat="false" ht="19.5" hidden="false" customHeight="true" outlineLevel="0" collapsed="false">
      <c r="A978" s="37" t="n">
        <f aca="false">ROW()-4</f>
        <v>974</v>
      </c>
      <c r="B978" s="38"/>
      <c r="C978" s="39"/>
      <c r="D978" s="40"/>
      <c r="E978" s="39"/>
      <c r="F978" s="40"/>
      <c r="G978" s="41"/>
      <c r="H978" s="42"/>
      <c r="I978" s="43"/>
      <c r="J978" s="44"/>
      <c r="K978" s="39"/>
      <c r="L978" s="42"/>
      <c r="M978" s="44"/>
      <c r="N978" s="45"/>
      <c r="O978" s="44"/>
      <c r="P978" s="46"/>
      <c r="Q978" s="47" t="str">
        <f aca="false">IF(L978="","",IF(M978&lt;&gt;"",M978*L978*100,IF(AND(O978&lt;&gt;"",B978&lt;&gt;""),IFERROR(AVERAGEIF($B$5:$B$1004,B978,$M$5:$M$1004)*L978*100,""),"")))</f>
        <v/>
      </c>
      <c r="R978" s="47" t="str">
        <f aca="false">IF(AND(O978&lt;&gt;"",L978&lt;&gt;""),O978*L978*100,"")</f>
        <v/>
      </c>
      <c r="S978" s="48" t="str">
        <f aca="false">IF(AND(P978&lt;&gt;"",L978&lt;&gt;""),P978*L978*100,"")</f>
        <v/>
      </c>
      <c r="T978" s="49" t="str">
        <f aca="false">IF(AND(Q978&lt;&gt;"",R978&lt;&gt;""),R978-Q978,"")</f>
        <v/>
      </c>
      <c r="U978" s="50" t="str">
        <f aca="false">IF(AND(Q978&lt;&gt;"",Q978&lt;&gt;0,T978&lt;&gt;""),T978/Q978,"")</f>
        <v/>
      </c>
      <c r="V978" s="51" t="str">
        <f aca="false">IF(AND(S978&lt;&gt;"",Q978&lt;&gt;""),S978-Q978,"")</f>
        <v/>
      </c>
      <c r="W978" s="52" t="str">
        <f aca="false">IF(AND(Q978&lt;&gt;"",Q978&lt;&gt;0,V978&lt;&gt;""),V978/Q978,"")</f>
        <v/>
      </c>
      <c r="X978" s="53" t="s">
        <v>37</v>
      </c>
      <c r="Y978" s="54" t="str">
        <f aca="false">IF(AND(O978&lt;&gt;"",M978&lt;&gt;"",O978&gt;M978),CONCATENATE("1 : ",TEXT((O978-M978)/M978,"0.00")),IF(AND(O978&lt;&gt;"",M978&lt;&gt;"",O978&lt;M978),CONCATENATE("-1 : ",TEXT((M978-O978)/M978,"0.00")),"—"))</f>
        <v>—</v>
      </c>
      <c r="Z978" s="55" t="str">
        <f aca="false">IF(AND(P978&lt;&gt;"",M978&lt;&gt;"",P978&gt;M978),CONCATENATE("1 : ",TEXT((P978-M978)/M978,"0.00")),"—")</f>
        <v>—</v>
      </c>
      <c r="AA978" s="56" t="str">
        <f aca="false">IF(AND(C978&lt;&gt;"",E978&lt;&gt;""),E978-C978,"")</f>
        <v/>
      </c>
      <c r="AB978" s="42"/>
      <c r="AC978" s="57"/>
      <c r="AD978" s="58"/>
      <c r="AE978" s="59" t="str">
        <f aca="false">IF(G978&lt;&gt;"",HYPERLINK("https://www.tradingview.com/chart/?symbol="&amp;G978&amp;"&amp;interval=60&amp;from="&amp;(AG978-10*3600)&amp;"&amp;to="&amp;(AG978+50*3600),"📈 1H"),"")</f>
        <v/>
      </c>
      <c r="AF978" s="60" t="str">
        <f aca="false">IF(G978&lt;&gt;"",HYPERLINK("https://www.tradingview.com/chart/?symbol="&amp;G978&amp;"&amp;interval=240&amp;from="&amp;(AG978-10*14400)&amp;"&amp;to="&amp;(AG978+50*14400),"📈 4H"),"")</f>
        <v/>
      </c>
      <c r="AG978" s="36" t="str">
        <f aca="false">IF(C978&lt;&gt;"",INT((C978+IF(D978&lt;&gt;"",D978,0)-DATE(1970,1,1))*86400),"")</f>
        <v/>
      </c>
    </row>
    <row r="979" customFormat="false" ht="19.5" hidden="false" customHeight="true" outlineLevel="0" collapsed="false">
      <c r="A979" s="12" t="n">
        <f aca="false">ROW()-4</f>
        <v>975</v>
      </c>
      <c r="B979" s="13"/>
      <c r="C979" s="14"/>
      <c r="D979" s="15"/>
      <c r="E979" s="14"/>
      <c r="F979" s="15"/>
      <c r="G979" s="16"/>
      <c r="H979" s="17"/>
      <c r="I979" s="18"/>
      <c r="J979" s="19"/>
      <c r="K979" s="14"/>
      <c r="L979" s="17"/>
      <c r="M979" s="19"/>
      <c r="N979" s="20"/>
      <c r="O979" s="19"/>
      <c r="P979" s="21"/>
      <c r="Q979" s="22" t="str">
        <f aca="false">IF(L979="","",IF(M979&lt;&gt;"",M979*L979*100,IF(AND(O979&lt;&gt;"",B979&lt;&gt;""),IFERROR(AVERAGEIF($B$5:$B$1004,B979,$M$5:$M$1004)*L979*100,""),"")))</f>
        <v/>
      </c>
      <c r="R979" s="22" t="str">
        <f aca="false">IF(AND(O979&lt;&gt;"",L979&lt;&gt;""),O979*L979*100,"")</f>
        <v/>
      </c>
      <c r="S979" s="23" t="str">
        <f aca="false">IF(AND(P979&lt;&gt;"",L979&lt;&gt;""),P979*L979*100,"")</f>
        <v/>
      </c>
      <c r="T979" s="24" t="str">
        <f aca="false">IF(AND(Q979&lt;&gt;"",R979&lt;&gt;""),R979-Q979,"")</f>
        <v/>
      </c>
      <c r="U979" s="25" t="str">
        <f aca="false">IF(AND(Q979&lt;&gt;"",Q979&lt;&gt;0,T979&lt;&gt;""),T979/Q979,"")</f>
        <v/>
      </c>
      <c r="V979" s="26" t="str">
        <f aca="false">IF(AND(S979&lt;&gt;"",Q979&lt;&gt;""),S979-Q979,"")</f>
        <v/>
      </c>
      <c r="W979" s="27" t="str">
        <f aca="false">IF(AND(Q979&lt;&gt;"",Q979&lt;&gt;0,V979&lt;&gt;""),V979/Q979,"")</f>
        <v/>
      </c>
      <c r="X979" s="28" t="s">
        <v>37</v>
      </c>
      <c r="Y979" s="29" t="str">
        <f aca="false">IF(AND(O979&lt;&gt;"",M979&lt;&gt;"",O979&gt;M979),CONCATENATE("1 : ",TEXT((O979-M979)/M979,"0.00")),IF(AND(O979&lt;&gt;"",M979&lt;&gt;"",O979&lt;M979),CONCATENATE("-1 : ",TEXT((M979-O979)/M979,"0.00")),"—"))</f>
        <v>—</v>
      </c>
      <c r="Z979" s="30" t="str">
        <f aca="false">IF(AND(P979&lt;&gt;"",M979&lt;&gt;"",P979&gt;M979),CONCATENATE("1 : ",TEXT((P979-M979)/M979,"0.00")),"—")</f>
        <v>—</v>
      </c>
      <c r="AA979" s="31" t="str">
        <f aca="false">IF(AND(C979&lt;&gt;"",E979&lt;&gt;""),E979-C979,"")</f>
        <v/>
      </c>
      <c r="AB979" s="17"/>
      <c r="AC979" s="32"/>
      <c r="AD979" s="33"/>
      <c r="AE979" s="34" t="str">
        <f aca="false">IF(G979&lt;&gt;"",HYPERLINK("https://www.tradingview.com/chart/?symbol="&amp;G979&amp;"&amp;interval=60&amp;from="&amp;(AG979-10*3600)&amp;"&amp;to="&amp;(AG979+50*3600),"📈 1H"),"")</f>
        <v/>
      </c>
      <c r="AF979" s="35" t="str">
        <f aca="false">IF(G979&lt;&gt;"",HYPERLINK("https://www.tradingview.com/chart/?symbol="&amp;G979&amp;"&amp;interval=240&amp;from="&amp;(AG979-10*14400)&amp;"&amp;to="&amp;(AG979+50*14400),"📈 4H"),"")</f>
        <v/>
      </c>
      <c r="AG979" s="36" t="str">
        <f aca="false">IF(C979&lt;&gt;"",INT((C979+IF(D979&lt;&gt;"",D979,0)-DATE(1970,1,1))*86400),"")</f>
        <v/>
      </c>
    </row>
    <row r="980" customFormat="false" ht="19.5" hidden="false" customHeight="true" outlineLevel="0" collapsed="false">
      <c r="A980" s="37" t="n">
        <f aca="false">ROW()-4</f>
        <v>976</v>
      </c>
      <c r="B980" s="38"/>
      <c r="C980" s="39"/>
      <c r="D980" s="40"/>
      <c r="E980" s="39"/>
      <c r="F980" s="40"/>
      <c r="G980" s="41"/>
      <c r="H980" s="42"/>
      <c r="I980" s="43"/>
      <c r="J980" s="44"/>
      <c r="K980" s="39"/>
      <c r="L980" s="42"/>
      <c r="M980" s="44"/>
      <c r="N980" s="45"/>
      <c r="O980" s="44"/>
      <c r="P980" s="46"/>
      <c r="Q980" s="47" t="str">
        <f aca="false">IF(L980="","",IF(M980&lt;&gt;"",M980*L980*100,IF(AND(O980&lt;&gt;"",B980&lt;&gt;""),IFERROR(AVERAGEIF($B$5:$B$1004,B980,$M$5:$M$1004)*L980*100,""),"")))</f>
        <v/>
      </c>
      <c r="R980" s="47" t="str">
        <f aca="false">IF(AND(O980&lt;&gt;"",L980&lt;&gt;""),O980*L980*100,"")</f>
        <v/>
      </c>
      <c r="S980" s="48" t="str">
        <f aca="false">IF(AND(P980&lt;&gt;"",L980&lt;&gt;""),P980*L980*100,"")</f>
        <v/>
      </c>
      <c r="T980" s="49" t="str">
        <f aca="false">IF(AND(Q980&lt;&gt;"",R980&lt;&gt;""),R980-Q980,"")</f>
        <v/>
      </c>
      <c r="U980" s="50" t="str">
        <f aca="false">IF(AND(Q980&lt;&gt;"",Q980&lt;&gt;0,T980&lt;&gt;""),T980/Q980,"")</f>
        <v/>
      </c>
      <c r="V980" s="51" t="str">
        <f aca="false">IF(AND(S980&lt;&gt;"",Q980&lt;&gt;""),S980-Q980,"")</f>
        <v/>
      </c>
      <c r="W980" s="52" t="str">
        <f aca="false">IF(AND(Q980&lt;&gt;"",Q980&lt;&gt;0,V980&lt;&gt;""),V980/Q980,"")</f>
        <v/>
      </c>
      <c r="X980" s="53" t="s">
        <v>37</v>
      </c>
      <c r="Y980" s="54" t="str">
        <f aca="false">IF(AND(O980&lt;&gt;"",M980&lt;&gt;"",O980&gt;M980),CONCATENATE("1 : ",TEXT((O980-M980)/M980,"0.00")),IF(AND(O980&lt;&gt;"",M980&lt;&gt;"",O980&lt;M980),CONCATENATE("-1 : ",TEXT((M980-O980)/M980,"0.00")),"—"))</f>
        <v>—</v>
      </c>
      <c r="Z980" s="55" t="str">
        <f aca="false">IF(AND(P980&lt;&gt;"",M980&lt;&gt;"",P980&gt;M980),CONCATENATE("1 : ",TEXT((P980-M980)/M980,"0.00")),"—")</f>
        <v>—</v>
      </c>
      <c r="AA980" s="56" t="str">
        <f aca="false">IF(AND(C980&lt;&gt;"",E980&lt;&gt;""),E980-C980,"")</f>
        <v/>
      </c>
      <c r="AB980" s="42"/>
      <c r="AC980" s="57"/>
      <c r="AD980" s="58"/>
      <c r="AE980" s="59" t="str">
        <f aca="false">IF(G980&lt;&gt;"",HYPERLINK("https://www.tradingview.com/chart/?symbol="&amp;G980&amp;"&amp;interval=60&amp;from="&amp;(AG980-10*3600)&amp;"&amp;to="&amp;(AG980+50*3600),"📈 1H"),"")</f>
        <v/>
      </c>
      <c r="AF980" s="60" t="str">
        <f aca="false">IF(G980&lt;&gt;"",HYPERLINK("https://www.tradingview.com/chart/?symbol="&amp;G980&amp;"&amp;interval=240&amp;from="&amp;(AG980-10*14400)&amp;"&amp;to="&amp;(AG980+50*14400),"📈 4H"),"")</f>
        <v/>
      </c>
      <c r="AG980" s="36" t="str">
        <f aca="false">IF(C980&lt;&gt;"",INT((C980+IF(D980&lt;&gt;"",D980,0)-DATE(1970,1,1))*86400),"")</f>
        <v/>
      </c>
    </row>
    <row r="981" customFormat="false" ht="19.5" hidden="false" customHeight="true" outlineLevel="0" collapsed="false">
      <c r="A981" s="12" t="n">
        <f aca="false">ROW()-4</f>
        <v>977</v>
      </c>
      <c r="B981" s="13"/>
      <c r="C981" s="14"/>
      <c r="D981" s="15"/>
      <c r="E981" s="14"/>
      <c r="F981" s="15"/>
      <c r="G981" s="16"/>
      <c r="H981" s="17"/>
      <c r="I981" s="18"/>
      <c r="J981" s="19"/>
      <c r="K981" s="14"/>
      <c r="L981" s="17"/>
      <c r="M981" s="19"/>
      <c r="N981" s="20"/>
      <c r="O981" s="19"/>
      <c r="P981" s="21"/>
      <c r="Q981" s="22" t="str">
        <f aca="false">IF(L981="","",IF(M981&lt;&gt;"",M981*L981*100,IF(AND(O981&lt;&gt;"",B981&lt;&gt;""),IFERROR(AVERAGEIF($B$5:$B$1004,B981,$M$5:$M$1004)*L981*100,""),"")))</f>
        <v/>
      </c>
      <c r="R981" s="22" t="str">
        <f aca="false">IF(AND(O981&lt;&gt;"",L981&lt;&gt;""),O981*L981*100,"")</f>
        <v/>
      </c>
      <c r="S981" s="23" t="str">
        <f aca="false">IF(AND(P981&lt;&gt;"",L981&lt;&gt;""),P981*L981*100,"")</f>
        <v/>
      </c>
      <c r="T981" s="24" t="str">
        <f aca="false">IF(AND(Q981&lt;&gt;"",R981&lt;&gt;""),R981-Q981,"")</f>
        <v/>
      </c>
      <c r="U981" s="25" t="str">
        <f aca="false">IF(AND(Q981&lt;&gt;"",Q981&lt;&gt;0,T981&lt;&gt;""),T981/Q981,"")</f>
        <v/>
      </c>
      <c r="V981" s="26" t="str">
        <f aca="false">IF(AND(S981&lt;&gt;"",Q981&lt;&gt;""),S981-Q981,"")</f>
        <v/>
      </c>
      <c r="W981" s="27" t="str">
        <f aca="false">IF(AND(Q981&lt;&gt;"",Q981&lt;&gt;0,V981&lt;&gt;""),V981/Q981,"")</f>
        <v/>
      </c>
      <c r="X981" s="28" t="s">
        <v>37</v>
      </c>
      <c r="Y981" s="29" t="str">
        <f aca="false">IF(AND(O981&lt;&gt;"",M981&lt;&gt;"",O981&gt;M981),CONCATENATE("1 : ",TEXT((O981-M981)/M981,"0.00")),IF(AND(O981&lt;&gt;"",M981&lt;&gt;"",O981&lt;M981),CONCATENATE("-1 : ",TEXT((M981-O981)/M981,"0.00")),"—"))</f>
        <v>—</v>
      </c>
      <c r="Z981" s="30" t="str">
        <f aca="false">IF(AND(P981&lt;&gt;"",M981&lt;&gt;"",P981&gt;M981),CONCATENATE("1 : ",TEXT((P981-M981)/M981,"0.00")),"—")</f>
        <v>—</v>
      </c>
      <c r="AA981" s="31" t="str">
        <f aca="false">IF(AND(C981&lt;&gt;"",E981&lt;&gt;""),E981-C981,"")</f>
        <v/>
      </c>
      <c r="AB981" s="17"/>
      <c r="AC981" s="32"/>
      <c r="AD981" s="33"/>
      <c r="AE981" s="34" t="str">
        <f aca="false">IF(G981&lt;&gt;"",HYPERLINK("https://www.tradingview.com/chart/?symbol="&amp;G981&amp;"&amp;interval=60&amp;from="&amp;(AG981-10*3600)&amp;"&amp;to="&amp;(AG981+50*3600),"📈 1H"),"")</f>
        <v/>
      </c>
      <c r="AF981" s="35" t="str">
        <f aca="false">IF(G981&lt;&gt;"",HYPERLINK("https://www.tradingview.com/chart/?symbol="&amp;G981&amp;"&amp;interval=240&amp;from="&amp;(AG981-10*14400)&amp;"&amp;to="&amp;(AG981+50*14400),"📈 4H"),"")</f>
        <v/>
      </c>
      <c r="AG981" s="36" t="str">
        <f aca="false">IF(C981&lt;&gt;"",INT((C981+IF(D981&lt;&gt;"",D981,0)-DATE(1970,1,1))*86400),"")</f>
        <v/>
      </c>
    </row>
    <row r="982" customFormat="false" ht="19.5" hidden="false" customHeight="true" outlineLevel="0" collapsed="false">
      <c r="A982" s="37" t="n">
        <f aca="false">ROW()-4</f>
        <v>978</v>
      </c>
      <c r="B982" s="38"/>
      <c r="C982" s="39"/>
      <c r="D982" s="40"/>
      <c r="E982" s="39"/>
      <c r="F982" s="40"/>
      <c r="G982" s="41"/>
      <c r="H982" s="42"/>
      <c r="I982" s="43"/>
      <c r="J982" s="44"/>
      <c r="K982" s="39"/>
      <c r="L982" s="42"/>
      <c r="M982" s="44"/>
      <c r="N982" s="45"/>
      <c r="O982" s="44"/>
      <c r="P982" s="46"/>
      <c r="Q982" s="47" t="str">
        <f aca="false">IF(L982="","",IF(M982&lt;&gt;"",M982*L982*100,IF(AND(O982&lt;&gt;"",B982&lt;&gt;""),IFERROR(AVERAGEIF($B$5:$B$1004,B982,$M$5:$M$1004)*L982*100,""),"")))</f>
        <v/>
      </c>
      <c r="R982" s="47" t="str">
        <f aca="false">IF(AND(O982&lt;&gt;"",L982&lt;&gt;""),O982*L982*100,"")</f>
        <v/>
      </c>
      <c r="S982" s="48" t="str">
        <f aca="false">IF(AND(P982&lt;&gt;"",L982&lt;&gt;""),P982*L982*100,"")</f>
        <v/>
      </c>
      <c r="T982" s="49" t="str">
        <f aca="false">IF(AND(Q982&lt;&gt;"",R982&lt;&gt;""),R982-Q982,"")</f>
        <v/>
      </c>
      <c r="U982" s="50" t="str">
        <f aca="false">IF(AND(Q982&lt;&gt;"",Q982&lt;&gt;0,T982&lt;&gt;""),T982/Q982,"")</f>
        <v/>
      </c>
      <c r="V982" s="51" t="str">
        <f aca="false">IF(AND(S982&lt;&gt;"",Q982&lt;&gt;""),S982-Q982,"")</f>
        <v/>
      </c>
      <c r="W982" s="52" t="str">
        <f aca="false">IF(AND(Q982&lt;&gt;"",Q982&lt;&gt;0,V982&lt;&gt;""),V982/Q982,"")</f>
        <v/>
      </c>
      <c r="X982" s="53" t="s">
        <v>37</v>
      </c>
      <c r="Y982" s="54" t="str">
        <f aca="false">IF(AND(O982&lt;&gt;"",M982&lt;&gt;"",O982&gt;M982),CONCATENATE("1 : ",TEXT((O982-M982)/M982,"0.00")),IF(AND(O982&lt;&gt;"",M982&lt;&gt;"",O982&lt;M982),CONCATENATE("-1 : ",TEXT((M982-O982)/M982,"0.00")),"—"))</f>
        <v>—</v>
      </c>
      <c r="Z982" s="55" t="str">
        <f aca="false">IF(AND(P982&lt;&gt;"",M982&lt;&gt;"",P982&gt;M982),CONCATENATE("1 : ",TEXT((P982-M982)/M982,"0.00")),"—")</f>
        <v>—</v>
      </c>
      <c r="AA982" s="56" t="str">
        <f aca="false">IF(AND(C982&lt;&gt;"",E982&lt;&gt;""),E982-C982,"")</f>
        <v/>
      </c>
      <c r="AB982" s="42"/>
      <c r="AC982" s="57"/>
      <c r="AD982" s="58"/>
      <c r="AE982" s="59" t="str">
        <f aca="false">IF(G982&lt;&gt;"",HYPERLINK("https://www.tradingview.com/chart/?symbol="&amp;G982&amp;"&amp;interval=60&amp;from="&amp;(AG982-10*3600)&amp;"&amp;to="&amp;(AG982+50*3600),"📈 1H"),"")</f>
        <v/>
      </c>
      <c r="AF982" s="60" t="str">
        <f aca="false">IF(G982&lt;&gt;"",HYPERLINK("https://www.tradingview.com/chart/?symbol="&amp;G982&amp;"&amp;interval=240&amp;from="&amp;(AG982-10*14400)&amp;"&amp;to="&amp;(AG982+50*14400),"📈 4H"),"")</f>
        <v/>
      </c>
      <c r="AG982" s="36" t="str">
        <f aca="false">IF(C982&lt;&gt;"",INT((C982+IF(D982&lt;&gt;"",D982,0)-DATE(1970,1,1))*86400),"")</f>
        <v/>
      </c>
    </row>
    <row r="983" customFormat="false" ht="19.5" hidden="false" customHeight="true" outlineLevel="0" collapsed="false">
      <c r="A983" s="12" t="n">
        <f aca="false">ROW()-4</f>
        <v>979</v>
      </c>
      <c r="B983" s="13"/>
      <c r="C983" s="14"/>
      <c r="D983" s="15"/>
      <c r="E983" s="14"/>
      <c r="F983" s="15"/>
      <c r="G983" s="16"/>
      <c r="H983" s="17"/>
      <c r="I983" s="18"/>
      <c r="J983" s="19"/>
      <c r="K983" s="14"/>
      <c r="L983" s="17"/>
      <c r="M983" s="19"/>
      <c r="N983" s="20"/>
      <c r="O983" s="19"/>
      <c r="P983" s="21"/>
      <c r="Q983" s="22" t="str">
        <f aca="false">IF(L983="","",IF(M983&lt;&gt;"",M983*L983*100,IF(AND(O983&lt;&gt;"",B983&lt;&gt;""),IFERROR(AVERAGEIF($B$5:$B$1004,B983,$M$5:$M$1004)*L983*100,""),"")))</f>
        <v/>
      </c>
      <c r="R983" s="22" t="str">
        <f aca="false">IF(AND(O983&lt;&gt;"",L983&lt;&gt;""),O983*L983*100,"")</f>
        <v/>
      </c>
      <c r="S983" s="23" t="str">
        <f aca="false">IF(AND(P983&lt;&gt;"",L983&lt;&gt;""),P983*L983*100,"")</f>
        <v/>
      </c>
      <c r="T983" s="24" t="str">
        <f aca="false">IF(AND(Q983&lt;&gt;"",R983&lt;&gt;""),R983-Q983,"")</f>
        <v/>
      </c>
      <c r="U983" s="25" t="str">
        <f aca="false">IF(AND(Q983&lt;&gt;"",Q983&lt;&gt;0,T983&lt;&gt;""),T983/Q983,"")</f>
        <v/>
      </c>
      <c r="V983" s="26" t="str">
        <f aca="false">IF(AND(S983&lt;&gt;"",Q983&lt;&gt;""),S983-Q983,"")</f>
        <v/>
      </c>
      <c r="W983" s="27" t="str">
        <f aca="false">IF(AND(Q983&lt;&gt;"",Q983&lt;&gt;0,V983&lt;&gt;""),V983/Q983,"")</f>
        <v/>
      </c>
      <c r="X983" s="28" t="s">
        <v>37</v>
      </c>
      <c r="Y983" s="29" t="str">
        <f aca="false">IF(AND(O983&lt;&gt;"",M983&lt;&gt;"",O983&gt;M983),CONCATENATE("1 : ",TEXT((O983-M983)/M983,"0.00")),IF(AND(O983&lt;&gt;"",M983&lt;&gt;"",O983&lt;M983),CONCATENATE("-1 : ",TEXT((M983-O983)/M983,"0.00")),"—"))</f>
        <v>—</v>
      </c>
      <c r="Z983" s="30" t="str">
        <f aca="false">IF(AND(P983&lt;&gt;"",M983&lt;&gt;"",P983&gt;M983),CONCATENATE("1 : ",TEXT((P983-M983)/M983,"0.00")),"—")</f>
        <v>—</v>
      </c>
      <c r="AA983" s="31" t="str">
        <f aca="false">IF(AND(C983&lt;&gt;"",E983&lt;&gt;""),E983-C983,"")</f>
        <v/>
      </c>
      <c r="AB983" s="17"/>
      <c r="AC983" s="32"/>
      <c r="AD983" s="33"/>
      <c r="AE983" s="34" t="str">
        <f aca="false">IF(G983&lt;&gt;"",HYPERLINK("https://www.tradingview.com/chart/?symbol="&amp;G983&amp;"&amp;interval=60&amp;from="&amp;(AG983-10*3600)&amp;"&amp;to="&amp;(AG983+50*3600),"📈 1H"),"")</f>
        <v/>
      </c>
      <c r="AF983" s="35" t="str">
        <f aca="false">IF(G983&lt;&gt;"",HYPERLINK("https://www.tradingview.com/chart/?symbol="&amp;G983&amp;"&amp;interval=240&amp;from="&amp;(AG983-10*14400)&amp;"&amp;to="&amp;(AG983+50*14400),"📈 4H"),"")</f>
        <v/>
      </c>
      <c r="AG983" s="36" t="str">
        <f aca="false">IF(C983&lt;&gt;"",INT((C983+IF(D983&lt;&gt;"",D983,0)-DATE(1970,1,1))*86400),"")</f>
        <v/>
      </c>
    </row>
    <row r="984" customFormat="false" ht="19.5" hidden="false" customHeight="true" outlineLevel="0" collapsed="false">
      <c r="A984" s="37" t="n">
        <f aca="false">ROW()-4</f>
        <v>980</v>
      </c>
      <c r="B984" s="38"/>
      <c r="C984" s="39"/>
      <c r="D984" s="40"/>
      <c r="E984" s="39"/>
      <c r="F984" s="40"/>
      <c r="G984" s="41"/>
      <c r="H984" s="42"/>
      <c r="I984" s="43"/>
      <c r="J984" s="44"/>
      <c r="K984" s="39"/>
      <c r="L984" s="42"/>
      <c r="M984" s="44"/>
      <c r="N984" s="45"/>
      <c r="O984" s="44"/>
      <c r="P984" s="46"/>
      <c r="Q984" s="47" t="str">
        <f aca="false">IF(L984="","",IF(M984&lt;&gt;"",M984*L984*100,IF(AND(O984&lt;&gt;"",B984&lt;&gt;""),IFERROR(AVERAGEIF($B$5:$B$1004,B984,$M$5:$M$1004)*L984*100,""),"")))</f>
        <v/>
      </c>
      <c r="R984" s="47" t="str">
        <f aca="false">IF(AND(O984&lt;&gt;"",L984&lt;&gt;""),O984*L984*100,"")</f>
        <v/>
      </c>
      <c r="S984" s="48" t="str">
        <f aca="false">IF(AND(P984&lt;&gt;"",L984&lt;&gt;""),P984*L984*100,"")</f>
        <v/>
      </c>
      <c r="T984" s="49" t="str">
        <f aca="false">IF(AND(Q984&lt;&gt;"",R984&lt;&gt;""),R984-Q984,"")</f>
        <v/>
      </c>
      <c r="U984" s="50" t="str">
        <f aca="false">IF(AND(Q984&lt;&gt;"",Q984&lt;&gt;0,T984&lt;&gt;""),T984/Q984,"")</f>
        <v/>
      </c>
      <c r="V984" s="51" t="str">
        <f aca="false">IF(AND(S984&lt;&gt;"",Q984&lt;&gt;""),S984-Q984,"")</f>
        <v/>
      </c>
      <c r="W984" s="52" t="str">
        <f aca="false">IF(AND(Q984&lt;&gt;"",Q984&lt;&gt;0,V984&lt;&gt;""),V984/Q984,"")</f>
        <v/>
      </c>
      <c r="X984" s="53" t="s">
        <v>37</v>
      </c>
      <c r="Y984" s="54" t="str">
        <f aca="false">IF(AND(O984&lt;&gt;"",M984&lt;&gt;"",O984&gt;M984),CONCATENATE("1 : ",TEXT((O984-M984)/M984,"0.00")),IF(AND(O984&lt;&gt;"",M984&lt;&gt;"",O984&lt;M984),CONCATENATE("-1 : ",TEXT((M984-O984)/M984,"0.00")),"—"))</f>
        <v>—</v>
      </c>
      <c r="Z984" s="55" t="str">
        <f aca="false">IF(AND(P984&lt;&gt;"",M984&lt;&gt;"",P984&gt;M984),CONCATENATE("1 : ",TEXT((P984-M984)/M984,"0.00")),"—")</f>
        <v>—</v>
      </c>
      <c r="AA984" s="56" t="str">
        <f aca="false">IF(AND(C984&lt;&gt;"",E984&lt;&gt;""),E984-C984,"")</f>
        <v/>
      </c>
      <c r="AB984" s="42"/>
      <c r="AC984" s="57"/>
      <c r="AD984" s="58"/>
      <c r="AE984" s="59" t="str">
        <f aca="false">IF(G984&lt;&gt;"",HYPERLINK("https://www.tradingview.com/chart/?symbol="&amp;G984&amp;"&amp;interval=60&amp;from="&amp;(AG984-10*3600)&amp;"&amp;to="&amp;(AG984+50*3600),"📈 1H"),"")</f>
        <v/>
      </c>
      <c r="AF984" s="60" t="str">
        <f aca="false">IF(G984&lt;&gt;"",HYPERLINK("https://www.tradingview.com/chart/?symbol="&amp;G984&amp;"&amp;interval=240&amp;from="&amp;(AG984-10*14400)&amp;"&amp;to="&amp;(AG984+50*14400),"📈 4H"),"")</f>
        <v/>
      </c>
      <c r="AG984" s="36" t="str">
        <f aca="false">IF(C984&lt;&gt;"",INT((C984+IF(D984&lt;&gt;"",D984,0)-DATE(1970,1,1))*86400),"")</f>
        <v/>
      </c>
    </row>
    <row r="985" customFormat="false" ht="19.5" hidden="false" customHeight="true" outlineLevel="0" collapsed="false">
      <c r="A985" s="12" t="n">
        <f aca="false">ROW()-4</f>
        <v>981</v>
      </c>
      <c r="B985" s="13"/>
      <c r="C985" s="14"/>
      <c r="D985" s="15"/>
      <c r="E985" s="14"/>
      <c r="F985" s="15"/>
      <c r="G985" s="16"/>
      <c r="H985" s="17"/>
      <c r="I985" s="18"/>
      <c r="J985" s="19"/>
      <c r="K985" s="14"/>
      <c r="L985" s="17"/>
      <c r="M985" s="19"/>
      <c r="N985" s="20"/>
      <c r="O985" s="19"/>
      <c r="P985" s="21"/>
      <c r="Q985" s="22" t="str">
        <f aca="false">IF(L985="","",IF(M985&lt;&gt;"",M985*L985*100,IF(AND(O985&lt;&gt;"",B985&lt;&gt;""),IFERROR(AVERAGEIF($B$5:$B$1004,B985,$M$5:$M$1004)*L985*100,""),"")))</f>
        <v/>
      </c>
      <c r="R985" s="22" t="str">
        <f aca="false">IF(AND(O985&lt;&gt;"",L985&lt;&gt;""),O985*L985*100,"")</f>
        <v/>
      </c>
      <c r="S985" s="23" t="str">
        <f aca="false">IF(AND(P985&lt;&gt;"",L985&lt;&gt;""),P985*L985*100,"")</f>
        <v/>
      </c>
      <c r="T985" s="24" t="str">
        <f aca="false">IF(AND(Q985&lt;&gt;"",R985&lt;&gt;""),R985-Q985,"")</f>
        <v/>
      </c>
      <c r="U985" s="25" t="str">
        <f aca="false">IF(AND(Q985&lt;&gt;"",Q985&lt;&gt;0,T985&lt;&gt;""),T985/Q985,"")</f>
        <v/>
      </c>
      <c r="V985" s="26" t="str">
        <f aca="false">IF(AND(S985&lt;&gt;"",Q985&lt;&gt;""),S985-Q985,"")</f>
        <v/>
      </c>
      <c r="W985" s="27" t="str">
        <f aca="false">IF(AND(Q985&lt;&gt;"",Q985&lt;&gt;0,V985&lt;&gt;""),V985/Q985,"")</f>
        <v/>
      </c>
      <c r="X985" s="28" t="s">
        <v>37</v>
      </c>
      <c r="Y985" s="29" t="str">
        <f aca="false">IF(AND(O985&lt;&gt;"",M985&lt;&gt;"",O985&gt;M985),CONCATENATE("1 : ",TEXT((O985-M985)/M985,"0.00")),IF(AND(O985&lt;&gt;"",M985&lt;&gt;"",O985&lt;M985),CONCATENATE("-1 : ",TEXT((M985-O985)/M985,"0.00")),"—"))</f>
        <v>—</v>
      </c>
      <c r="Z985" s="30" t="str">
        <f aca="false">IF(AND(P985&lt;&gt;"",M985&lt;&gt;"",P985&gt;M985),CONCATENATE("1 : ",TEXT((P985-M985)/M985,"0.00")),"—")</f>
        <v>—</v>
      </c>
      <c r="AA985" s="31" t="str">
        <f aca="false">IF(AND(C985&lt;&gt;"",E985&lt;&gt;""),E985-C985,"")</f>
        <v/>
      </c>
      <c r="AB985" s="17"/>
      <c r="AC985" s="32"/>
      <c r="AD985" s="33"/>
      <c r="AE985" s="34" t="str">
        <f aca="false">IF(G985&lt;&gt;"",HYPERLINK("https://www.tradingview.com/chart/?symbol="&amp;G985&amp;"&amp;interval=60&amp;from="&amp;(AG985-10*3600)&amp;"&amp;to="&amp;(AG985+50*3600),"📈 1H"),"")</f>
        <v/>
      </c>
      <c r="AF985" s="35" t="str">
        <f aca="false">IF(G985&lt;&gt;"",HYPERLINK("https://www.tradingview.com/chart/?symbol="&amp;G985&amp;"&amp;interval=240&amp;from="&amp;(AG985-10*14400)&amp;"&amp;to="&amp;(AG985+50*14400),"📈 4H"),"")</f>
        <v/>
      </c>
      <c r="AG985" s="36" t="str">
        <f aca="false">IF(C985&lt;&gt;"",INT((C985+IF(D985&lt;&gt;"",D985,0)-DATE(1970,1,1))*86400),"")</f>
        <v/>
      </c>
    </row>
    <row r="986" customFormat="false" ht="19.5" hidden="false" customHeight="true" outlineLevel="0" collapsed="false">
      <c r="A986" s="37" t="n">
        <f aca="false">ROW()-4</f>
        <v>982</v>
      </c>
      <c r="B986" s="38"/>
      <c r="C986" s="39"/>
      <c r="D986" s="40"/>
      <c r="E986" s="39"/>
      <c r="F986" s="40"/>
      <c r="G986" s="41"/>
      <c r="H986" s="42"/>
      <c r="I986" s="43"/>
      <c r="J986" s="44"/>
      <c r="K986" s="39"/>
      <c r="L986" s="42"/>
      <c r="M986" s="44"/>
      <c r="N986" s="45"/>
      <c r="O986" s="44"/>
      <c r="P986" s="46"/>
      <c r="Q986" s="47" t="str">
        <f aca="false">IF(L986="","",IF(M986&lt;&gt;"",M986*L986*100,IF(AND(O986&lt;&gt;"",B986&lt;&gt;""),IFERROR(AVERAGEIF($B$5:$B$1004,B986,$M$5:$M$1004)*L986*100,""),"")))</f>
        <v/>
      </c>
      <c r="R986" s="47" t="str">
        <f aca="false">IF(AND(O986&lt;&gt;"",L986&lt;&gt;""),O986*L986*100,"")</f>
        <v/>
      </c>
      <c r="S986" s="48" t="str">
        <f aca="false">IF(AND(P986&lt;&gt;"",L986&lt;&gt;""),P986*L986*100,"")</f>
        <v/>
      </c>
      <c r="T986" s="49" t="str">
        <f aca="false">IF(AND(Q986&lt;&gt;"",R986&lt;&gt;""),R986-Q986,"")</f>
        <v/>
      </c>
      <c r="U986" s="50" t="str">
        <f aca="false">IF(AND(Q986&lt;&gt;"",Q986&lt;&gt;0,T986&lt;&gt;""),T986/Q986,"")</f>
        <v/>
      </c>
      <c r="V986" s="51" t="str">
        <f aca="false">IF(AND(S986&lt;&gt;"",Q986&lt;&gt;""),S986-Q986,"")</f>
        <v/>
      </c>
      <c r="W986" s="52" t="str">
        <f aca="false">IF(AND(Q986&lt;&gt;"",Q986&lt;&gt;0,V986&lt;&gt;""),V986/Q986,"")</f>
        <v/>
      </c>
      <c r="X986" s="53" t="s">
        <v>37</v>
      </c>
      <c r="Y986" s="54" t="str">
        <f aca="false">IF(AND(O986&lt;&gt;"",M986&lt;&gt;"",O986&gt;M986),CONCATENATE("1 : ",TEXT((O986-M986)/M986,"0.00")),IF(AND(O986&lt;&gt;"",M986&lt;&gt;"",O986&lt;M986),CONCATENATE("-1 : ",TEXT((M986-O986)/M986,"0.00")),"—"))</f>
        <v>—</v>
      </c>
      <c r="Z986" s="55" t="str">
        <f aca="false">IF(AND(P986&lt;&gt;"",M986&lt;&gt;"",P986&gt;M986),CONCATENATE("1 : ",TEXT((P986-M986)/M986,"0.00")),"—")</f>
        <v>—</v>
      </c>
      <c r="AA986" s="56" t="str">
        <f aca="false">IF(AND(C986&lt;&gt;"",E986&lt;&gt;""),E986-C986,"")</f>
        <v/>
      </c>
      <c r="AB986" s="42"/>
      <c r="AC986" s="57"/>
      <c r="AD986" s="58"/>
      <c r="AE986" s="59" t="str">
        <f aca="false">IF(G986&lt;&gt;"",HYPERLINK("https://www.tradingview.com/chart/?symbol="&amp;G986&amp;"&amp;interval=60&amp;from="&amp;(AG986-10*3600)&amp;"&amp;to="&amp;(AG986+50*3600),"📈 1H"),"")</f>
        <v/>
      </c>
      <c r="AF986" s="60" t="str">
        <f aca="false">IF(G986&lt;&gt;"",HYPERLINK("https://www.tradingview.com/chart/?symbol="&amp;G986&amp;"&amp;interval=240&amp;from="&amp;(AG986-10*14400)&amp;"&amp;to="&amp;(AG986+50*14400),"📈 4H"),"")</f>
        <v/>
      </c>
      <c r="AG986" s="36" t="str">
        <f aca="false">IF(C986&lt;&gt;"",INT((C986+IF(D986&lt;&gt;"",D986,0)-DATE(1970,1,1))*86400),"")</f>
        <v/>
      </c>
    </row>
    <row r="987" customFormat="false" ht="19.5" hidden="false" customHeight="true" outlineLevel="0" collapsed="false">
      <c r="A987" s="12" t="n">
        <f aca="false">ROW()-4</f>
        <v>983</v>
      </c>
      <c r="B987" s="13"/>
      <c r="C987" s="14"/>
      <c r="D987" s="15"/>
      <c r="E987" s="14"/>
      <c r="F987" s="15"/>
      <c r="G987" s="16"/>
      <c r="H987" s="17"/>
      <c r="I987" s="18"/>
      <c r="J987" s="19"/>
      <c r="K987" s="14"/>
      <c r="L987" s="17"/>
      <c r="M987" s="19"/>
      <c r="N987" s="20"/>
      <c r="O987" s="19"/>
      <c r="P987" s="21"/>
      <c r="Q987" s="22" t="str">
        <f aca="false">IF(L987="","",IF(M987&lt;&gt;"",M987*L987*100,IF(AND(O987&lt;&gt;"",B987&lt;&gt;""),IFERROR(AVERAGEIF($B$5:$B$1004,B987,$M$5:$M$1004)*L987*100,""),"")))</f>
        <v/>
      </c>
      <c r="R987" s="22" t="str">
        <f aca="false">IF(AND(O987&lt;&gt;"",L987&lt;&gt;""),O987*L987*100,"")</f>
        <v/>
      </c>
      <c r="S987" s="23" t="str">
        <f aca="false">IF(AND(P987&lt;&gt;"",L987&lt;&gt;""),P987*L987*100,"")</f>
        <v/>
      </c>
      <c r="T987" s="24" t="str">
        <f aca="false">IF(AND(Q987&lt;&gt;"",R987&lt;&gt;""),R987-Q987,"")</f>
        <v/>
      </c>
      <c r="U987" s="25" t="str">
        <f aca="false">IF(AND(Q987&lt;&gt;"",Q987&lt;&gt;0,T987&lt;&gt;""),T987/Q987,"")</f>
        <v/>
      </c>
      <c r="V987" s="26" t="str">
        <f aca="false">IF(AND(S987&lt;&gt;"",Q987&lt;&gt;""),S987-Q987,"")</f>
        <v/>
      </c>
      <c r="W987" s="27" t="str">
        <f aca="false">IF(AND(Q987&lt;&gt;"",Q987&lt;&gt;0,V987&lt;&gt;""),V987/Q987,"")</f>
        <v/>
      </c>
      <c r="X987" s="28" t="s">
        <v>37</v>
      </c>
      <c r="Y987" s="29" t="str">
        <f aca="false">IF(AND(O987&lt;&gt;"",M987&lt;&gt;"",O987&gt;M987),CONCATENATE("1 : ",TEXT((O987-M987)/M987,"0.00")),IF(AND(O987&lt;&gt;"",M987&lt;&gt;"",O987&lt;M987),CONCATENATE("-1 : ",TEXT((M987-O987)/M987,"0.00")),"—"))</f>
        <v>—</v>
      </c>
      <c r="Z987" s="30" t="str">
        <f aca="false">IF(AND(P987&lt;&gt;"",M987&lt;&gt;"",P987&gt;M987),CONCATENATE("1 : ",TEXT((P987-M987)/M987,"0.00")),"—")</f>
        <v>—</v>
      </c>
      <c r="AA987" s="31" t="str">
        <f aca="false">IF(AND(C987&lt;&gt;"",E987&lt;&gt;""),E987-C987,"")</f>
        <v/>
      </c>
      <c r="AB987" s="17"/>
      <c r="AC987" s="32"/>
      <c r="AD987" s="33"/>
      <c r="AE987" s="34" t="str">
        <f aca="false">IF(G987&lt;&gt;"",HYPERLINK("https://www.tradingview.com/chart/?symbol="&amp;G987&amp;"&amp;interval=60&amp;from="&amp;(AG987-10*3600)&amp;"&amp;to="&amp;(AG987+50*3600),"📈 1H"),"")</f>
        <v/>
      </c>
      <c r="AF987" s="35" t="str">
        <f aca="false">IF(G987&lt;&gt;"",HYPERLINK("https://www.tradingview.com/chart/?symbol="&amp;G987&amp;"&amp;interval=240&amp;from="&amp;(AG987-10*14400)&amp;"&amp;to="&amp;(AG987+50*14400),"📈 4H"),"")</f>
        <v/>
      </c>
      <c r="AG987" s="36" t="str">
        <f aca="false">IF(C987&lt;&gt;"",INT((C987+IF(D987&lt;&gt;"",D987,0)-DATE(1970,1,1))*86400),"")</f>
        <v/>
      </c>
    </row>
    <row r="988" customFormat="false" ht="19.5" hidden="false" customHeight="true" outlineLevel="0" collapsed="false">
      <c r="A988" s="37" t="n">
        <f aca="false">ROW()-4</f>
        <v>984</v>
      </c>
      <c r="B988" s="38"/>
      <c r="C988" s="39"/>
      <c r="D988" s="40"/>
      <c r="E988" s="39"/>
      <c r="F988" s="40"/>
      <c r="G988" s="41"/>
      <c r="H988" s="42"/>
      <c r="I988" s="43"/>
      <c r="J988" s="44"/>
      <c r="K988" s="39"/>
      <c r="L988" s="42"/>
      <c r="M988" s="44"/>
      <c r="N988" s="45"/>
      <c r="O988" s="44"/>
      <c r="P988" s="46"/>
      <c r="Q988" s="47" t="str">
        <f aca="false">IF(L988="","",IF(M988&lt;&gt;"",M988*L988*100,IF(AND(O988&lt;&gt;"",B988&lt;&gt;""),IFERROR(AVERAGEIF($B$5:$B$1004,B988,$M$5:$M$1004)*L988*100,""),"")))</f>
        <v/>
      </c>
      <c r="R988" s="47" t="str">
        <f aca="false">IF(AND(O988&lt;&gt;"",L988&lt;&gt;""),O988*L988*100,"")</f>
        <v/>
      </c>
      <c r="S988" s="48" t="str">
        <f aca="false">IF(AND(P988&lt;&gt;"",L988&lt;&gt;""),P988*L988*100,"")</f>
        <v/>
      </c>
      <c r="T988" s="49" t="str">
        <f aca="false">IF(AND(Q988&lt;&gt;"",R988&lt;&gt;""),R988-Q988,"")</f>
        <v/>
      </c>
      <c r="U988" s="50" t="str">
        <f aca="false">IF(AND(Q988&lt;&gt;"",Q988&lt;&gt;0,T988&lt;&gt;""),T988/Q988,"")</f>
        <v/>
      </c>
      <c r="V988" s="51" t="str">
        <f aca="false">IF(AND(S988&lt;&gt;"",Q988&lt;&gt;""),S988-Q988,"")</f>
        <v/>
      </c>
      <c r="W988" s="52" t="str">
        <f aca="false">IF(AND(Q988&lt;&gt;"",Q988&lt;&gt;0,V988&lt;&gt;""),V988/Q988,"")</f>
        <v/>
      </c>
      <c r="X988" s="53" t="s">
        <v>37</v>
      </c>
      <c r="Y988" s="54" t="str">
        <f aca="false">IF(AND(O988&lt;&gt;"",M988&lt;&gt;"",O988&gt;M988),CONCATENATE("1 : ",TEXT((O988-M988)/M988,"0.00")),IF(AND(O988&lt;&gt;"",M988&lt;&gt;"",O988&lt;M988),CONCATENATE("-1 : ",TEXT((M988-O988)/M988,"0.00")),"—"))</f>
        <v>—</v>
      </c>
      <c r="Z988" s="55" t="str">
        <f aca="false">IF(AND(P988&lt;&gt;"",M988&lt;&gt;"",P988&gt;M988),CONCATENATE("1 : ",TEXT((P988-M988)/M988,"0.00")),"—")</f>
        <v>—</v>
      </c>
      <c r="AA988" s="56" t="str">
        <f aca="false">IF(AND(C988&lt;&gt;"",E988&lt;&gt;""),E988-C988,"")</f>
        <v/>
      </c>
      <c r="AB988" s="42"/>
      <c r="AC988" s="57"/>
      <c r="AD988" s="58"/>
      <c r="AE988" s="59" t="str">
        <f aca="false">IF(G988&lt;&gt;"",HYPERLINK("https://www.tradingview.com/chart/?symbol="&amp;G988&amp;"&amp;interval=60&amp;from="&amp;(AG988-10*3600)&amp;"&amp;to="&amp;(AG988+50*3600),"📈 1H"),"")</f>
        <v/>
      </c>
      <c r="AF988" s="60" t="str">
        <f aca="false">IF(G988&lt;&gt;"",HYPERLINK("https://www.tradingview.com/chart/?symbol="&amp;G988&amp;"&amp;interval=240&amp;from="&amp;(AG988-10*14400)&amp;"&amp;to="&amp;(AG988+50*14400),"📈 4H"),"")</f>
        <v/>
      </c>
      <c r="AG988" s="36" t="str">
        <f aca="false">IF(C988&lt;&gt;"",INT((C988+IF(D988&lt;&gt;"",D988,0)-DATE(1970,1,1))*86400),"")</f>
        <v/>
      </c>
    </row>
    <row r="989" customFormat="false" ht="19.5" hidden="false" customHeight="true" outlineLevel="0" collapsed="false">
      <c r="A989" s="12" t="n">
        <f aca="false">ROW()-4</f>
        <v>985</v>
      </c>
      <c r="B989" s="13"/>
      <c r="C989" s="14"/>
      <c r="D989" s="15"/>
      <c r="E989" s="14"/>
      <c r="F989" s="15"/>
      <c r="G989" s="16"/>
      <c r="H989" s="17"/>
      <c r="I989" s="18"/>
      <c r="J989" s="19"/>
      <c r="K989" s="14"/>
      <c r="L989" s="17"/>
      <c r="M989" s="19"/>
      <c r="N989" s="20"/>
      <c r="O989" s="19"/>
      <c r="P989" s="21"/>
      <c r="Q989" s="22" t="str">
        <f aca="false">IF(L989="","",IF(M989&lt;&gt;"",M989*L989*100,IF(AND(O989&lt;&gt;"",B989&lt;&gt;""),IFERROR(AVERAGEIF($B$5:$B$1004,B989,$M$5:$M$1004)*L989*100,""),"")))</f>
        <v/>
      </c>
      <c r="R989" s="22" t="str">
        <f aca="false">IF(AND(O989&lt;&gt;"",L989&lt;&gt;""),O989*L989*100,"")</f>
        <v/>
      </c>
      <c r="S989" s="23" t="str">
        <f aca="false">IF(AND(P989&lt;&gt;"",L989&lt;&gt;""),P989*L989*100,"")</f>
        <v/>
      </c>
      <c r="T989" s="24" t="str">
        <f aca="false">IF(AND(Q989&lt;&gt;"",R989&lt;&gt;""),R989-Q989,"")</f>
        <v/>
      </c>
      <c r="U989" s="25" t="str">
        <f aca="false">IF(AND(Q989&lt;&gt;"",Q989&lt;&gt;0,T989&lt;&gt;""),T989/Q989,"")</f>
        <v/>
      </c>
      <c r="V989" s="26" t="str">
        <f aca="false">IF(AND(S989&lt;&gt;"",Q989&lt;&gt;""),S989-Q989,"")</f>
        <v/>
      </c>
      <c r="W989" s="27" t="str">
        <f aca="false">IF(AND(Q989&lt;&gt;"",Q989&lt;&gt;0,V989&lt;&gt;""),V989/Q989,"")</f>
        <v/>
      </c>
      <c r="X989" s="28" t="s">
        <v>37</v>
      </c>
      <c r="Y989" s="29" t="str">
        <f aca="false">IF(AND(O989&lt;&gt;"",M989&lt;&gt;"",O989&gt;M989),CONCATENATE("1 : ",TEXT((O989-M989)/M989,"0.00")),IF(AND(O989&lt;&gt;"",M989&lt;&gt;"",O989&lt;M989),CONCATENATE("-1 : ",TEXT((M989-O989)/M989,"0.00")),"—"))</f>
        <v>—</v>
      </c>
      <c r="Z989" s="30" t="str">
        <f aca="false">IF(AND(P989&lt;&gt;"",M989&lt;&gt;"",P989&gt;M989),CONCATENATE("1 : ",TEXT((P989-M989)/M989,"0.00")),"—")</f>
        <v>—</v>
      </c>
      <c r="AA989" s="31" t="str">
        <f aca="false">IF(AND(C989&lt;&gt;"",E989&lt;&gt;""),E989-C989,"")</f>
        <v/>
      </c>
      <c r="AB989" s="17"/>
      <c r="AC989" s="32"/>
      <c r="AD989" s="33"/>
      <c r="AE989" s="34" t="str">
        <f aca="false">IF(G989&lt;&gt;"",HYPERLINK("https://www.tradingview.com/chart/?symbol="&amp;G989&amp;"&amp;interval=60&amp;from="&amp;(AG989-10*3600)&amp;"&amp;to="&amp;(AG989+50*3600),"📈 1H"),"")</f>
        <v/>
      </c>
      <c r="AF989" s="35" t="str">
        <f aca="false">IF(G989&lt;&gt;"",HYPERLINK("https://www.tradingview.com/chart/?symbol="&amp;G989&amp;"&amp;interval=240&amp;from="&amp;(AG989-10*14400)&amp;"&amp;to="&amp;(AG989+50*14400),"📈 4H"),"")</f>
        <v/>
      </c>
      <c r="AG989" s="36" t="str">
        <f aca="false">IF(C989&lt;&gt;"",INT((C989+IF(D989&lt;&gt;"",D989,0)-DATE(1970,1,1))*86400),"")</f>
        <v/>
      </c>
    </row>
    <row r="990" customFormat="false" ht="19.5" hidden="false" customHeight="true" outlineLevel="0" collapsed="false">
      <c r="A990" s="37" t="n">
        <f aca="false">ROW()-4</f>
        <v>986</v>
      </c>
      <c r="B990" s="38"/>
      <c r="C990" s="39"/>
      <c r="D990" s="40"/>
      <c r="E990" s="39"/>
      <c r="F990" s="40"/>
      <c r="G990" s="41"/>
      <c r="H990" s="42"/>
      <c r="I990" s="43"/>
      <c r="J990" s="44"/>
      <c r="K990" s="39"/>
      <c r="L990" s="42"/>
      <c r="M990" s="44"/>
      <c r="N990" s="45"/>
      <c r="O990" s="44"/>
      <c r="P990" s="46"/>
      <c r="Q990" s="47" t="str">
        <f aca="false">IF(L990="","",IF(M990&lt;&gt;"",M990*L990*100,IF(AND(O990&lt;&gt;"",B990&lt;&gt;""),IFERROR(AVERAGEIF($B$5:$B$1004,B990,$M$5:$M$1004)*L990*100,""),"")))</f>
        <v/>
      </c>
      <c r="R990" s="47" t="str">
        <f aca="false">IF(AND(O990&lt;&gt;"",L990&lt;&gt;""),O990*L990*100,"")</f>
        <v/>
      </c>
      <c r="S990" s="48" t="str">
        <f aca="false">IF(AND(P990&lt;&gt;"",L990&lt;&gt;""),P990*L990*100,"")</f>
        <v/>
      </c>
      <c r="T990" s="49" t="str">
        <f aca="false">IF(AND(Q990&lt;&gt;"",R990&lt;&gt;""),R990-Q990,"")</f>
        <v/>
      </c>
      <c r="U990" s="50" t="str">
        <f aca="false">IF(AND(Q990&lt;&gt;"",Q990&lt;&gt;0,T990&lt;&gt;""),T990/Q990,"")</f>
        <v/>
      </c>
      <c r="V990" s="51" t="str">
        <f aca="false">IF(AND(S990&lt;&gt;"",Q990&lt;&gt;""),S990-Q990,"")</f>
        <v/>
      </c>
      <c r="W990" s="52" t="str">
        <f aca="false">IF(AND(Q990&lt;&gt;"",Q990&lt;&gt;0,V990&lt;&gt;""),V990/Q990,"")</f>
        <v/>
      </c>
      <c r="X990" s="53" t="s">
        <v>37</v>
      </c>
      <c r="Y990" s="54" t="str">
        <f aca="false">IF(AND(O990&lt;&gt;"",M990&lt;&gt;"",O990&gt;M990),CONCATENATE("1 : ",TEXT((O990-M990)/M990,"0.00")),IF(AND(O990&lt;&gt;"",M990&lt;&gt;"",O990&lt;M990),CONCATENATE("-1 : ",TEXT((M990-O990)/M990,"0.00")),"—"))</f>
        <v>—</v>
      </c>
      <c r="Z990" s="55" t="str">
        <f aca="false">IF(AND(P990&lt;&gt;"",M990&lt;&gt;"",P990&gt;M990),CONCATENATE("1 : ",TEXT((P990-M990)/M990,"0.00")),"—")</f>
        <v>—</v>
      </c>
      <c r="AA990" s="56" t="str">
        <f aca="false">IF(AND(C990&lt;&gt;"",E990&lt;&gt;""),E990-C990,"")</f>
        <v/>
      </c>
      <c r="AB990" s="42"/>
      <c r="AC990" s="57"/>
      <c r="AD990" s="58"/>
      <c r="AE990" s="59" t="str">
        <f aca="false">IF(G990&lt;&gt;"",HYPERLINK("https://www.tradingview.com/chart/?symbol="&amp;G990&amp;"&amp;interval=60&amp;from="&amp;(AG990-10*3600)&amp;"&amp;to="&amp;(AG990+50*3600),"📈 1H"),"")</f>
        <v/>
      </c>
      <c r="AF990" s="60" t="str">
        <f aca="false">IF(G990&lt;&gt;"",HYPERLINK("https://www.tradingview.com/chart/?symbol="&amp;G990&amp;"&amp;interval=240&amp;from="&amp;(AG990-10*14400)&amp;"&amp;to="&amp;(AG990+50*14400),"📈 4H"),"")</f>
        <v/>
      </c>
      <c r="AG990" s="36" t="str">
        <f aca="false">IF(C990&lt;&gt;"",INT((C990+IF(D990&lt;&gt;"",D990,0)-DATE(1970,1,1))*86400),"")</f>
        <v/>
      </c>
    </row>
    <row r="991" customFormat="false" ht="19.5" hidden="false" customHeight="true" outlineLevel="0" collapsed="false">
      <c r="A991" s="12" t="n">
        <f aca="false">ROW()-4</f>
        <v>987</v>
      </c>
      <c r="B991" s="13"/>
      <c r="C991" s="14"/>
      <c r="D991" s="15"/>
      <c r="E991" s="14"/>
      <c r="F991" s="15"/>
      <c r="G991" s="16"/>
      <c r="H991" s="17"/>
      <c r="I991" s="18"/>
      <c r="J991" s="19"/>
      <c r="K991" s="14"/>
      <c r="L991" s="17"/>
      <c r="M991" s="19"/>
      <c r="N991" s="20"/>
      <c r="O991" s="19"/>
      <c r="P991" s="21"/>
      <c r="Q991" s="22" t="str">
        <f aca="false">IF(L991="","",IF(M991&lt;&gt;"",M991*L991*100,IF(AND(O991&lt;&gt;"",B991&lt;&gt;""),IFERROR(AVERAGEIF($B$5:$B$1004,B991,$M$5:$M$1004)*L991*100,""),"")))</f>
        <v/>
      </c>
      <c r="R991" s="22" t="str">
        <f aca="false">IF(AND(O991&lt;&gt;"",L991&lt;&gt;""),O991*L991*100,"")</f>
        <v/>
      </c>
      <c r="S991" s="23" t="str">
        <f aca="false">IF(AND(P991&lt;&gt;"",L991&lt;&gt;""),P991*L991*100,"")</f>
        <v/>
      </c>
      <c r="T991" s="24" t="str">
        <f aca="false">IF(AND(Q991&lt;&gt;"",R991&lt;&gt;""),R991-Q991,"")</f>
        <v/>
      </c>
      <c r="U991" s="25" t="str">
        <f aca="false">IF(AND(Q991&lt;&gt;"",Q991&lt;&gt;0,T991&lt;&gt;""),T991/Q991,"")</f>
        <v/>
      </c>
      <c r="V991" s="26" t="str">
        <f aca="false">IF(AND(S991&lt;&gt;"",Q991&lt;&gt;""),S991-Q991,"")</f>
        <v/>
      </c>
      <c r="W991" s="27" t="str">
        <f aca="false">IF(AND(Q991&lt;&gt;"",Q991&lt;&gt;0,V991&lt;&gt;""),V991/Q991,"")</f>
        <v/>
      </c>
      <c r="X991" s="28" t="s">
        <v>37</v>
      </c>
      <c r="Y991" s="29" t="str">
        <f aca="false">IF(AND(O991&lt;&gt;"",M991&lt;&gt;"",O991&gt;M991),CONCATENATE("1 : ",TEXT((O991-M991)/M991,"0.00")),IF(AND(O991&lt;&gt;"",M991&lt;&gt;"",O991&lt;M991),CONCATENATE("-1 : ",TEXT((M991-O991)/M991,"0.00")),"—"))</f>
        <v>—</v>
      </c>
      <c r="Z991" s="30" t="str">
        <f aca="false">IF(AND(P991&lt;&gt;"",M991&lt;&gt;"",P991&gt;M991),CONCATENATE("1 : ",TEXT((P991-M991)/M991,"0.00")),"—")</f>
        <v>—</v>
      </c>
      <c r="AA991" s="31" t="str">
        <f aca="false">IF(AND(C991&lt;&gt;"",E991&lt;&gt;""),E991-C991,"")</f>
        <v/>
      </c>
      <c r="AB991" s="17"/>
      <c r="AC991" s="32"/>
      <c r="AD991" s="33"/>
      <c r="AE991" s="34" t="str">
        <f aca="false">IF(G991&lt;&gt;"",HYPERLINK("https://www.tradingview.com/chart/?symbol="&amp;G991&amp;"&amp;interval=60&amp;from="&amp;(AG991-10*3600)&amp;"&amp;to="&amp;(AG991+50*3600),"📈 1H"),"")</f>
        <v/>
      </c>
      <c r="AF991" s="35" t="str">
        <f aca="false">IF(G991&lt;&gt;"",HYPERLINK("https://www.tradingview.com/chart/?symbol="&amp;G991&amp;"&amp;interval=240&amp;from="&amp;(AG991-10*14400)&amp;"&amp;to="&amp;(AG991+50*14400),"📈 4H"),"")</f>
        <v/>
      </c>
      <c r="AG991" s="36" t="str">
        <f aca="false">IF(C991&lt;&gt;"",INT((C991+IF(D991&lt;&gt;"",D991,0)-DATE(1970,1,1))*86400),"")</f>
        <v/>
      </c>
    </row>
    <row r="992" customFormat="false" ht="19.5" hidden="false" customHeight="true" outlineLevel="0" collapsed="false">
      <c r="A992" s="37" t="n">
        <f aca="false">ROW()-4</f>
        <v>988</v>
      </c>
      <c r="B992" s="38"/>
      <c r="C992" s="39"/>
      <c r="D992" s="40"/>
      <c r="E992" s="39"/>
      <c r="F992" s="40"/>
      <c r="G992" s="41"/>
      <c r="H992" s="42"/>
      <c r="I992" s="43"/>
      <c r="J992" s="44"/>
      <c r="K992" s="39"/>
      <c r="L992" s="42"/>
      <c r="M992" s="44"/>
      <c r="N992" s="45"/>
      <c r="O992" s="44"/>
      <c r="P992" s="46"/>
      <c r="Q992" s="47" t="str">
        <f aca="false">IF(L992="","",IF(M992&lt;&gt;"",M992*L992*100,IF(AND(O992&lt;&gt;"",B992&lt;&gt;""),IFERROR(AVERAGEIF($B$5:$B$1004,B992,$M$5:$M$1004)*L992*100,""),"")))</f>
        <v/>
      </c>
      <c r="R992" s="47" t="str">
        <f aca="false">IF(AND(O992&lt;&gt;"",L992&lt;&gt;""),O992*L992*100,"")</f>
        <v/>
      </c>
      <c r="S992" s="48" t="str">
        <f aca="false">IF(AND(P992&lt;&gt;"",L992&lt;&gt;""),P992*L992*100,"")</f>
        <v/>
      </c>
      <c r="T992" s="49" t="str">
        <f aca="false">IF(AND(Q992&lt;&gt;"",R992&lt;&gt;""),R992-Q992,"")</f>
        <v/>
      </c>
      <c r="U992" s="50" t="str">
        <f aca="false">IF(AND(Q992&lt;&gt;"",Q992&lt;&gt;0,T992&lt;&gt;""),T992/Q992,"")</f>
        <v/>
      </c>
      <c r="V992" s="51" t="str">
        <f aca="false">IF(AND(S992&lt;&gt;"",Q992&lt;&gt;""),S992-Q992,"")</f>
        <v/>
      </c>
      <c r="W992" s="52" t="str">
        <f aca="false">IF(AND(Q992&lt;&gt;"",Q992&lt;&gt;0,V992&lt;&gt;""),V992/Q992,"")</f>
        <v/>
      </c>
      <c r="X992" s="53" t="s">
        <v>37</v>
      </c>
      <c r="Y992" s="54" t="str">
        <f aca="false">IF(AND(O992&lt;&gt;"",M992&lt;&gt;"",O992&gt;M992),CONCATENATE("1 : ",TEXT((O992-M992)/M992,"0.00")),IF(AND(O992&lt;&gt;"",M992&lt;&gt;"",O992&lt;M992),CONCATENATE("-1 : ",TEXT((M992-O992)/M992,"0.00")),"—"))</f>
        <v>—</v>
      </c>
      <c r="Z992" s="55" t="str">
        <f aca="false">IF(AND(P992&lt;&gt;"",M992&lt;&gt;"",P992&gt;M992),CONCATENATE("1 : ",TEXT((P992-M992)/M992,"0.00")),"—")</f>
        <v>—</v>
      </c>
      <c r="AA992" s="56" t="str">
        <f aca="false">IF(AND(C992&lt;&gt;"",E992&lt;&gt;""),E992-C992,"")</f>
        <v/>
      </c>
      <c r="AB992" s="42"/>
      <c r="AC992" s="57"/>
      <c r="AD992" s="58"/>
      <c r="AE992" s="59" t="str">
        <f aca="false">IF(G992&lt;&gt;"",HYPERLINK("https://www.tradingview.com/chart/?symbol="&amp;G992&amp;"&amp;interval=60&amp;from="&amp;(AG992-10*3600)&amp;"&amp;to="&amp;(AG992+50*3600),"📈 1H"),"")</f>
        <v/>
      </c>
      <c r="AF992" s="60" t="str">
        <f aca="false">IF(G992&lt;&gt;"",HYPERLINK("https://www.tradingview.com/chart/?symbol="&amp;G992&amp;"&amp;interval=240&amp;from="&amp;(AG992-10*14400)&amp;"&amp;to="&amp;(AG992+50*14400),"📈 4H"),"")</f>
        <v/>
      </c>
      <c r="AG992" s="36" t="str">
        <f aca="false">IF(C992&lt;&gt;"",INT((C992+IF(D992&lt;&gt;"",D992,0)-DATE(1970,1,1))*86400),"")</f>
        <v/>
      </c>
    </row>
    <row r="993" customFormat="false" ht="19.5" hidden="false" customHeight="true" outlineLevel="0" collapsed="false">
      <c r="A993" s="12" t="n">
        <f aca="false">ROW()-4</f>
        <v>989</v>
      </c>
      <c r="B993" s="13"/>
      <c r="C993" s="14"/>
      <c r="D993" s="15"/>
      <c r="E993" s="14"/>
      <c r="F993" s="15"/>
      <c r="G993" s="16"/>
      <c r="H993" s="17"/>
      <c r="I993" s="18"/>
      <c r="J993" s="19"/>
      <c r="K993" s="14"/>
      <c r="L993" s="17"/>
      <c r="M993" s="19"/>
      <c r="N993" s="20"/>
      <c r="O993" s="19"/>
      <c r="P993" s="21"/>
      <c r="Q993" s="22" t="str">
        <f aca="false">IF(L993="","",IF(M993&lt;&gt;"",M993*L993*100,IF(AND(O993&lt;&gt;"",B993&lt;&gt;""),IFERROR(AVERAGEIF($B$5:$B$1004,B993,$M$5:$M$1004)*L993*100,""),"")))</f>
        <v/>
      </c>
      <c r="R993" s="22" t="str">
        <f aca="false">IF(AND(O993&lt;&gt;"",L993&lt;&gt;""),O993*L993*100,"")</f>
        <v/>
      </c>
      <c r="S993" s="23" t="str">
        <f aca="false">IF(AND(P993&lt;&gt;"",L993&lt;&gt;""),P993*L993*100,"")</f>
        <v/>
      </c>
      <c r="T993" s="24" t="str">
        <f aca="false">IF(AND(Q993&lt;&gt;"",R993&lt;&gt;""),R993-Q993,"")</f>
        <v/>
      </c>
      <c r="U993" s="25" t="str">
        <f aca="false">IF(AND(Q993&lt;&gt;"",Q993&lt;&gt;0,T993&lt;&gt;""),T993/Q993,"")</f>
        <v/>
      </c>
      <c r="V993" s="26" t="str">
        <f aca="false">IF(AND(S993&lt;&gt;"",Q993&lt;&gt;""),S993-Q993,"")</f>
        <v/>
      </c>
      <c r="W993" s="27" t="str">
        <f aca="false">IF(AND(Q993&lt;&gt;"",Q993&lt;&gt;0,V993&lt;&gt;""),V993/Q993,"")</f>
        <v/>
      </c>
      <c r="X993" s="28" t="s">
        <v>37</v>
      </c>
      <c r="Y993" s="29" t="str">
        <f aca="false">IF(AND(O993&lt;&gt;"",M993&lt;&gt;"",O993&gt;M993),CONCATENATE("1 : ",TEXT((O993-M993)/M993,"0.00")),IF(AND(O993&lt;&gt;"",M993&lt;&gt;"",O993&lt;M993),CONCATENATE("-1 : ",TEXT((M993-O993)/M993,"0.00")),"—"))</f>
        <v>—</v>
      </c>
      <c r="Z993" s="30" t="str">
        <f aca="false">IF(AND(P993&lt;&gt;"",M993&lt;&gt;"",P993&gt;M993),CONCATENATE("1 : ",TEXT((P993-M993)/M993,"0.00")),"—")</f>
        <v>—</v>
      </c>
      <c r="AA993" s="31" t="str">
        <f aca="false">IF(AND(C993&lt;&gt;"",E993&lt;&gt;""),E993-C993,"")</f>
        <v/>
      </c>
      <c r="AB993" s="17"/>
      <c r="AC993" s="32"/>
      <c r="AD993" s="33"/>
      <c r="AE993" s="34" t="str">
        <f aca="false">IF(G993&lt;&gt;"",HYPERLINK("https://www.tradingview.com/chart/?symbol="&amp;G993&amp;"&amp;interval=60&amp;from="&amp;(AG993-10*3600)&amp;"&amp;to="&amp;(AG993+50*3600),"📈 1H"),"")</f>
        <v/>
      </c>
      <c r="AF993" s="35" t="str">
        <f aca="false">IF(G993&lt;&gt;"",HYPERLINK("https://www.tradingview.com/chart/?symbol="&amp;G993&amp;"&amp;interval=240&amp;from="&amp;(AG993-10*14400)&amp;"&amp;to="&amp;(AG993+50*14400),"📈 4H"),"")</f>
        <v/>
      </c>
      <c r="AG993" s="36" t="str">
        <f aca="false">IF(C993&lt;&gt;"",INT((C993+IF(D993&lt;&gt;"",D993,0)-DATE(1970,1,1))*86400),"")</f>
        <v/>
      </c>
    </row>
    <row r="994" customFormat="false" ht="19.5" hidden="false" customHeight="true" outlineLevel="0" collapsed="false">
      <c r="A994" s="37" t="n">
        <f aca="false">ROW()-4</f>
        <v>990</v>
      </c>
      <c r="B994" s="38"/>
      <c r="C994" s="39"/>
      <c r="D994" s="40"/>
      <c r="E994" s="39"/>
      <c r="F994" s="40"/>
      <c r="G994" s="41"/>
      <c r="H994" s="42"/>
      <c r="I994" s="43"/>
      <c r="J994" s="44"/>
      <c r="K994" s="39"/>
      <c r="L994" s="42"/>
      <c r="M994" s="44"/>
      <c r="N994" s="45"/>
      <c r="O994" s="44"/>
      <c r="P994" s="46"/>
      <c r="Q994" s="47" t="str">
        <f aca="false">IF(L994="","",IF(M994&lt;&gt;"",M994*L994*100,IF(AND(O994&lt;&gt;"",B994&lt;&gt;""),IFERROR(AVERAGEIF($B$5:$B$1004,B994,$M$5:$M$1004)*L994*100,""),"")))</f>
        <v/>
      </c>
      <c r="R994" s="47" t="str">
        <f aca="false">IF(AND(O994&lt;&gt;"",L994&lt;&gt;""),O994*L994*100,"")</f>
        <v/>
      </c>
      <c r="S994" s="48" t="str">
        <f aca="false">IF(AND(P994&lt;&gt;"",L994&lt;&gt;""),P994*L994*100,"")</f>
        <v/>
      </c>
      <c r="T994" s="49" t="str">
        <f aca="false">IF(AND(Q994&lt;&gt;"",R994&lt;&gt;""),R994-Q994,"")</f>
        <v/>
      </c>
      <c r="U994" s="50" t="str">
        <f aca="false">IF(AND(Q994&lt;&gt;"",Q994&lt;&gt;0,T994&lt;&gt;""),T994/Q994,"")</f>
        <v/>
      </c>
      <c r="V994" s="51" t="str">
        <f aca="false">IF(AND(S994&lt;&gt;"",Q994&lt;&gt;""),S994-Q994,"")</f>
        <v/>
      </c>
      <c r="W994" s="52" t="str">
        <f aca="false">IF(AND(Q994&lt;&gt;"",Q994&lt;&gt;0,V994&lt;&gt;""),V994/Q994,"")</f>
        <v/>
      </c>
      <c r="X994" s="53" t="s">
        <v>37</v>
      </c>
      <c r="Y994" s="54" t="str">
        <f aca="false">IF(AND(O994&lt;&gt;"",M994&lt;&gt;"",O994&gt;M994),CONCATENATE("1 : ",TEXT((O994-M994)/M994,"0.00")),IF(AND(O994&lt;&gt;"",M994&lt;&gt;"",O994&lt;M994),CONCATENATE("-1 : ",TEXT((M994-O994)/M994,"0.00")),"—"))</f>
        <v>—</v>
      </c>
      <c r="Z994" s="55" t="str">
        <f aca="false">IF(AND(P994&lt;&gt;"",M994&lt;&gt;"",P994&gt;M994),CONCATENATE("1 : ",TEXT((P994-M994)/M994,"0.00")),"—")</f>
        <v>—</v>
      </c>
      <c r="AA994" s="56" t="str">
        <f aca="false">IF(AND(C994&lt;&gt;"",E994&lt;&gt;""),E994-C994,"")</f>
        <v/>
      </c>
      <c r="AB994" s="42"/>
      <c r="AC994" s="57"/>
      <c r="AD994" s="58"/>
      <c r="AE994" s="59" t="str">
        <f aca="false">IF(G994&lt;&gt;"",HYPERLINK("https://www.tradingview.com/chart/?symbol="&amp;G994&amp;"&amp;interval=60&amp;from="&amp;(AG994-10*3600)&amp;"&amp;to="&amp;(AG994+50*3600),"📈 1H"),"")</f>
        <v/>
      </c>
      <c r="AF994" s="60" t="str">
        <f aca="false">IF(G994&lt;&gt;"",HYPERLINK("https://www.tradingview.com/chart/?symbol="&amp;G994&amp;"&amp;interval=240&amp;from="&amp;(AG994-10*14400)&amp;"&amp;to="&amp;(AG994+50*14400),"📈 4H"),"")</f>
        <v/>
      </c>
      <c r="AG994" s="36" t="str">
        <f aca="false">IF(C994&lt;&gt;"",INT((C994+IF(D994&lt;&gt;"",D994,0)-DATE(1970,1,1))*86400),"")</f>
        <v/>
      </c>
    </row>
    <row r="995" customFormat="false" ht="19.5" hidden="false" customHeight="true" outlineLevel="0" collapsed="false">
      <c r="A995" s="12" t="n">
        <f aca="false">ROW()-4</f>
        <v>991</v>
      </c>
      <c r="B995" s="13"/>
      <c r="C995" s="14"/>
      <c r="D995" s="15"/>
      <c r="E995" s="14"/>
      <c r="F995" s="15"/>
      <c r="G995" s="16"/>
      <c r="H995" s="17"/>
      <c r="I995" s="18"/>
      <c r="J995" s="19"/>
      <c r="K995" s="14"/>
      <c r="L995" s="17"/>
      <c r="M995" s="19"/>
      <c r="N995" s="20"/>
      <c r="O995" s="19"/>
      <c r="P995" s="21"/>
      <c r="Q995" s="22" t="str">
        <f aca="false">IF(L995="","",IF(M995&lt;&gt;"",M995*L995*100,IF(AND(O995&lt;&gt;"",B995&lt;&gt;""),IFERROR(AVERAGEIF($B$5:$B$1004,B995,$M$5:$M$1004)*L995*100,""),"")))</f>
        <v/>
      </c>
      <c r="R995" s="22" t="str">
        <f aca="false">IF(AND(O995&lt;&gt;"",L995&lt;&gt;""),O995*L995*100,"")</f>
        <v/>
      </c>
      <c r="S995" s="23" t="str">
        <f aca="false">IF(AND(P995&lt;&gt;"",L995&lt;&gt;""),P995*L995*100,"")</f>
        <v/>
      </c>
      <c r="T995" s="24" t="str">
        <f aca="false">IF(AND(Q995&lt;&gt;"",R995&lt;&gt;""),R995-Q995,"")</f>
        <v/>
      </c>
      <c r="U995" s="25" t="str">
        <f aca="false">IF(AND(Q995&lt;&gt;"",Q995&lt;&gt;0,T995&lt;&gt;""),T995/Q995,"")</f>
        <v/>
      </c>
      <c r="V995" s="26" t="str">
        <f aca="false">IF(AND(S995&lt;&gt;"",Q995&lt;&gt;""),S995-Q995,"")</f>
        <v/>
      </c>
      <c r="W995" s="27" t="str">
        <f aca="false">IF(AND(Q995&lt;&gt;"",Q995&lt;&gt;0,V995&lt;&gt;""),V995/Q995,"")</f>
        <v/>
      </c>
      <c r="X995" s="28" t="s">
        <v>37</v>
      </c>
      <c r="Y995" s="29" t="str">
        <f aca="false">IF(AND(O995&lt;&gt;"",M995&lt;&gt;"",O995&gt;M995),CONCATENATE("1 : ",TEXT((O995-M995)/M995,"0.00")),IF(AND(O995&lt;&gt;"",M995&lt;&gt;"",O995&lt;M995),CONCATENATE("-1 : ",TEXT((M995-O995)/M995,"0.00")),"—"))</f>
        <v>—</v>
      </c>
      <c r="Z995" s="30" t="str">
        <f aca="false">IF(AND(P995&lt;&gt;"",M995&lt;&gt;"",P995&gt;M995),CONCATENATE("1 : ",TEXT((P995-M995)/M995,"0.00")),"—")</f>
        <v>—</v>
      </c>
      <c r="AA995" s="31" t="str">
        <f aca="false">IF(AND(C995&lt;&gt;"",E995&lt;&gt;""),E995-C995,"")</f>
        <v/>
      </c>
      <c r="AB995" s="17"/>
      <c r="AC995" s="32"/>
      <c r="AD995" s="33"/>
      <c r="AE995" s="34" t="str">
        <f aca="false">IF(G995&lt;&gt;"",HYPERLINK("https://www.tradingview.com/chart/?symbol="&amp;G995&amp;"&amp;interval=60&amp;from="&amp;(AG995-10*3600)&amp;"&amp;to="&amp;(AG995+50*3600),"📈 1H"),"")</f>
        <v/>
      </c>
      <c r="AF995" s="35" t="str">
        <f aca="false">IF(G995&lt;&gt;"",HYPERLINK("https://www.tradingview.com/chart/?symbol="&amp;G995&amp;"&amp;interval=240&amp;from="&amp;(AG995-10*14400)&amp;"&amp;to="&amp;(AG995+50*14400),"📈 4H"),"")</f>
        <v/>
      </c>
      <c r="AG995" s="36" t="str">
        <f aca="false">IF(C995&lt;&gt;"",INT((C995+IF(D995&lt;&gt;"",D995,0)-DATE(1970,1,1))*86400),"")</f>
        <v/>
      </c>
    </row>
    <row r="996" customFormat="false" ht="19.5" hidden="false" customHeight="true" outlineLevel="0" collapsed="false">
      <c r="A996" s="37" t="n">
        <f aca="false">ROW()-4</f>
        <v>992</v>
      </c>
      <c r="B996" s="38"/>
      <c r="C996" s="39"/>
      <c r="D996" s="40"/>
      <c r="E996" s="39"/>
      <c r="F996" s="40"/>
      <c r="G996" s="41"/>
      <c r="H996" s="42"/>
      <c r="I996" s="43"/>
      <c r="J996" s="44"/>
      <c r="K996" s="39"/>
      <c r="L996" s="42"/>
      <c r="M996" s="44"/>
      <c r="N996" s="45"/>
      <c r="O996" s="44"/>
      <c r="P996" s="46"/>
      <c r="Q996" s="47" t="str">
        <f aca="false">IF(L996="","",IF(M996&lt;&gt;"",M996*L996*100,IF(AND(O996&lt;&gt;"",B996&lt;&gt;""),IFERROR(AVERAGEIF($B$5:$B$1004,B996,$M$5:$M$1004)*L996*100,""),"")))</f>
        <v/>
      </c>
      <c r="R996" s="47" t="str">
        <f aca="false">IF(AND(O996&lt;&gt;"",L996&lt;&gt;""),O996*L996*100,"")</f>
        <v/>
      </c>
      <c r="S996" s="48" t="str">
        <f aca="false">IF(AND(P996&lt;&gt;"",L996&lt;&gt;""),P996*L996*100,"")</f>
        <v/>
      </c>
      <c r="T996" s="49" t="str">
        <f aca="false">IF(AND(Q996&lt;&gt;"",R996&lt;&gt;""),R996-Q996,"")</f>
        <v/>
      </c>
      <c r="U996" s="50" t="str">
        <f aca="false">IF(AND(Q996&lt;&gt;"",Q996&lt;&gt;0,T996&lt;&gt;""),T996/Q996,"")</f>
        <v/>
      </c>
      <c r="V996" s="51" t="str">
        <f aca="false">IF(AND(S996&lt;&gt;"",Q996&lt;&gt;""),S996-Q996,"")</f>
        <v/>
      </c>
      <c r="W996" s="52" t="str">
        <f aca="false">IF(AND(Q996&lt;&gt;"",Q996&lt;&gt;0,V996&lt;&gt;""),V996/Q996,"")</f>
        <v/>
      </c>
      <c r="X996" s="53" t="s">
        <v>37</v>
      </c>
      <c r="Y996" s="54" t="str">
        <f aca="false">IF(AND(O996&lt;&gt;"",M996&lt;&gt;"",O996&gt;M996),CONCATENATE("1 : ",TEXT((O996-M996)/M996,"0.00")),IF(AND(O996&lt;&gt;"",M996&lt;&gt;"",O996&lt;M996),CONCATENATE("-1 : ",TEXT((M996-O996)/M996,"0.00")),"—"))</f>
        <v>—</v>
      </c>
      <c r="Z996" s="55" t="str">
        <f aca="false">IF(AND(P996&lt;&gt;"",M996&lt;&gt;"",P996&gt;M996),CONCATENATE("1 : ",TEXT((P996-M996)/M996,"0.00")),"—")</f>
        <v>—</v>
      </c>
      <c r="AA996" s="56" t="str">
        <f aca="false">IF(AND(C996&lt;&gt;"",E996&lt;&gt;""),E996-C996,"")</f>
        <v/>
      </c>
      <c r="AB996" s="42"/>
      <c r="AC996" s="57"/>
      <c r="AD996" s="58"/>
      <c r="AE996" s="59" t="str">
        <f aca="false">IF(G996&lt;&gt;"",HYPERLINK("https://www.tradingview.com/chart/?symbol="&amp;G996&amp;"&amp;interval=60&amp;from="&amp;(AG996-10*3600)&amp;"&amp;to="&amp;(AG996+50*3600),"📈 1H"),"")</f>
        <v/>
      </c>
      <c r="AF996" s="60" t="str">
        <f aca="false">IF(G996&lt;&gt;"",HYPERLINK("https://www.tradingview.com/chart/?symbol="&amp;G996&amp;"&amp;interval=240&amp;from="&amp;(AG996-10*14400)&amp;"&amp;to="&amp;(AG996+50*14400),"📈 4H"),"")</f>
        <v/>
      </c>
      <c r="AG996" s="36" t="str">
        <f aca="false">IF(C996&lt;&gt;"",INT((C996+IF(D996&lt;&gt;"",D996,0)-DATE(1970,1,1))*86400),"")</f>
        <v/>
      </c>
    </row>
    <row r="997" customFormat="false" ht="19.5" hidden="false" customHeight="true" outlineLevel="0" collapsed="false">
      <c r="A997" s="12" t="n">
        <f aca="false">ROW()-4</f>
        <v>993</v>
      </c>
      <c r="B997" s="13"/>
      <c r="C997" s="14"/>
      <c r="D997" s="15"/>
      <c r="E997" s="14"/>
      <c r="F997" s="15"/>
      <c r="G997" s="16"/>
      <c r="H997" s="17"/>
      <c r="I997" s="18"/>
      <c r="J997" s="19"/>
      <c r="K997" s="14"/>
      <c r="L997" s="17"/>
      <c r="M997" s="19"/>
      <c r="N997" s="20"/>
      <c r="O997" s="19"/>
      <c r="P997" s="21"/>
      <c r="Q997" s="22" t="str">
        <f aca="false">IF(L997="","",IF(M997&lt;&gt;"",M997*L997*100,IF(AND(O997&lt;&gt;"",B997&lt;&gt;""),IFERROR(AVERAGEIF($B$5:$B$1004,B997,$M$5:$M$1004)*L997*100,""),"")))</f>
        <v/>
      </c>
      <c r="R997" s="22" t="str">
        <f aca="false">IF(AND(O997&lt;&gt;"",L997&lt;&gt;""),O997*L997*100,"")</f>
        <v/>
      </c>
      <c r="S997" s="23" t="str">
        <f aca="false">IF(AND(P997&lt;&gt;"",L997&lt;&gt;""),P997*L997*100,"")</f>
        <v/>
      </c>
      <c r="T997" s="24" t="str">
        <f aca="false">IF(AND(Q997&lt;&gt;"",R997&lt;&gt;""),R997-Q997,"")</f>
        <v/>
      </c>
      <c r="U997" s="25" t="str">
        <f aca="false">IF(AND(Q997&lt;&gt;"",Q997&lt;&gt;0,T997&lt;&gt;""),T997/Q997,"")</f>
        <v/>
      </c>
      <c r="V997" s="26" t="str">
        <f aca="false">IF(AND(S997&lt;&gt;"",Q997&lt;&gt;""),S997-Q997,"")</f>
        <v/>
      </c>
      <c r="W997" s="27" t="str">
        <f aca="false">IF(AND(Q997&lt;&gt;"",Q997&lt;&gt;0,V997&lt;&gt;""),V997/Q997,"")</f>
        <v/>
      </c>
      <c r="X997" s="28" t="s">
        <v>37</v>
      </c>
      <c r="Y997" s="29" t="str">
        <f aca="false">IF(AND(O997&lt;&gt;"",M997&lt;&gt;"",O997&gt;M997),CONCATENATE("1 : ",TEXT((O997-M997)/M997,"0.00")),IF(AND(O997&lt;&gt;"",M997&lt;&gt;"",O997&lt;M997),CONCATENATE("-1 : ",TEXT((M997-O997)/M997,"0.00")),"—"))</f>
        <v>—</v>
      </c>
      <c r="Z997" s="30" t="str">
        <f aca="false">IF(AND(P997&lt;&gt;"",M997&lt;&gt;"",P997&gt;M997),CONCATENATE("1 : ",TEXT((P997-M997)/M997,"0.00")),"—")</f>
        <v>—</v>
      </c>
      <c r="AA997" s="31" t="str">
        <f aca="false">IF(AND(C997&lt;&gt;"",E997&lt;&gt;""),E997-C997,"")</f>
        <v/>
      </c>
      <c r="AB997" s="17"/>
      <c r="AC997" s="32"/>
      <c r="AD997" s="33"/>
      <c r="AE997" s="34" t="str">
        <f aca="false">IF(G997&lt;&gt;"",HYPERLINK("https://www.tradingview.com/chart/?symbol="&amp;G997&amp;"&amp;interval=60&amp;from="&amp;(AG997-10*3600)&amp;"&amp;to="&amp;(AG997+50*3600),"📈 1H"),"")</f>
        <v/>
      </c>
      <c r="AF997" s="35" t="str">
        <f aca="false">IF(G997&lt;&gt;"",HYPERLINK("https://www.tradingview.com/chart/?symbol="&amp;G997&amp;"&amp;interval=240&amp;from="&amp;(AG997-10*14400)&amp;"&amp;to="&amp;(AG997+50*14400),"📈 4H"),"")</f>
        <v/>
      </c>
      <c r="AG997" s="36" t="str">
        <f aca="false">IF(C997&lt;&gt;"",INT((C997+IF(D997&lt;&gt;"",D997,0)-DATE(1970,1,1))*86400),"")</f>
        <v/>
      </c>
    </row>
    <row r="998" customFormat="false" ht="19.5" hidden="false" customHeight="true" outlineLevel="0" collapsed="false">
      <c r="A998" s="37" t="n">
        <f aca="false">ROW()-4</f>
        <v>994</v>
      </c>
      <c r="B998" s="38"/>
      <c r="C998" s="39"/>
      <c r="D998" s="40"/>
      <c r="E998" s="39"/>
      <c r="F998" s="40"/>
      <c r="G998" s="41"/>
      <c r="H998" s="42"/>
      <c r="I998" s="43"/>
      <c r="J998" s="44"/>
      <c r="K998" s="39"/>
      <c r="L998" s="42"/>
      <c r="M998" s="44"/>
      <c r="N998" s="45"/>
      <c r="O998" s="44"/>
      <c r="P998" s="46"/>
      <c r="Q998" s="47" t="str">
        <f aca="false">IF(L998="","",IF(M998&lt;&gt;"",M998*L998*100,IF(AND(O998&lt;&gt;"",B998&lt;&gt;""),IFERROR(AVERAGEIF($B$5:$B$1004,B998,$M$5:$M$1004)*L998*100,""),"")))</f>
        <v/>
      </c>
      <c r="R998" s="47" t="str">
        <f aca="false">IF(AND(O998&lt;&gt;"",L998&lt;&gt;""),O998*L998*100,"")</f>
        <v/>
      </c>
      <c r="S998" s="48" t="str">
        <f aca="false">IF(AND(P998&lt;&gt;"",L998&lt;&gt;""),P998*L998*100,"")</f>
        <v/>
      </c>
      <c r="T998" s="49" t="str">
        <f aca="false">IF(AND(Q998&lt;&gt;"",R998&lt;&gt;""),R998-Q998,"")</f>
        <v/>
      </c>
      <c r="U998" s="50" t="str">
        <f aca="false">IF(AND(Q998&lt;&gt;"",Q998&lt;&gt;0,T998&lt;&gt;""),T998/Q998,"")</f>
        <v/>
      </c>
      <c r="V998" s="51" t="str">
        <f aca="false">IF(AND(S998&lt;&gt;"",Q998&lt;&gt;""),S998-Q998,"")</f>
        <v/>
      </c>
      <c r="W998" s="52" t="str">
        <f aca="false">IF(AND(Q998&lt;&gt;"",Q998&lt;&gt;0,V998&lt;&gt;""),V998/Q998,"")</f>
        <v/>
      </c>
      <c r="X998" s="53" t="s">
        <v>37</v>
      </c>
      <c r="Y998" s="54" t="str">
        <f aca="false">IF(AND(O998&lt;&gt;"",M998&lt;&gt;"",O998&gt;M998),CONCATENATE("1 : ",TEXT((O998-M998)/M998,"0.00")),IF(AND(O998&lt;&gt;"",M998&lt;&gt;"",O998&lt;M998),CONCATENATE("-1 : ",TEXT((M998-O998)/M998,"0.00")),"—"))</f>
        <v>—</v>
      </c>
      <c r="Z998" s="55" t="str">
        <f aca="false">IF(AND(P998&lt;&gt;"",M998&lt;&gt;"",P998&gt;M998),CONCATENATE("1 : ",TEXT((P998-M998)/M998,"0.00")),"—")</f>
        <v>—</v>
      </c>
      <c r="AA998" s="56" t="str">
        <f aca="false">IF(AND(C998&lt;&gt;"",E998&lt;&gt;""),E998-C998,"")</f>
        <v/>
      </c>
      <c r="AB998" s="42"/>
      <c r="AC998" s="57"/>
      <c r="AD998" s="58"/>
      <c r="AE998" s="59" t="str">
        <f aca="false">IF(G998&lt;&gt;"",HYPERLINK("https://www.tradingview.com/chart/?symbol="&amp;G998&amp;"&amp;interval=60&amp;from="&amp;(AG998-10*3600)&amp;"&amp;to="&amp;(AG998+50*3600),"📈 1H"),"")</f>
        <v/>
      </c>
      <c r="AF998" s="60" t="str">
        <f aca="false">IF(G998&lt;&gt;"",HYPERLINK("https://www.tradingview.com/chart/?symbol="&amp;G998&amp;"&amp;interval=240&amp;from="&amp;(AG998-10*14400)&amp;"&amp;to="&amp;(AG998+50*14400),"📈 4H"),"")</f>
        <v/>
      </c>
      <c r="AG998" s="36" t="str">
        <f aca="false">IF(C998&lt;&gt;"",INT((C998+IF(D998&lt;&gt;"",D998,0)-DATE(1970,1,1))*86400),"")</f>
        <v/>
      </c>
    </row>
    <row r="999" customFormat="false" ht="19.5" hidden="false" customHeight="true" outlineLevel="0" collapsed="false">
      <c r="A999" s="12" t="n">
        <f aca="false">ROW()-4</f>
        <v>995</v>
      </c>
      <c r="B999" s="13"/>
      <c r="C999" s="14"/>
      <c r="D999" s="15"/>
      <c r="E999" s="14"/>
      <c r="F999" s="15"/>
      <c r="G999" s="16"/>
      <c r="H999" s="17"/>
      <c r="I999" s="18"/>
      <c r="J999" s="19"/>
      <c r="K999" s="14"/>
      <c r="L999" s="17"/>
      <c r="M999" s="19"/>
      <c r="N999" s="20"/>
      <c r="O999" s="19"/>
      <c r="P999" s="21"/>
      <c r="Q999" s="22" t="str">
        <f aca="false">IF(L999="","",IF(M999&lt;&gt;"",M999*L999*100,IF(AND(O999&lt;&gt;"",B999&lt;&gt;""),IFERROR(AVERAGEIF($B$5:$B$1004,B999,$M$5:$M$1004)*L999*100,""),"")))</f>
        <v/>
      </c>
      <c r="R999" s="22" t="str">
        <f aca="false">IF(AND(O999&lt;&gt;"",L999&lt;&gt;""),O999*L999*100,"")</f>
        <v/>
      </c>
      <c r="S999" s="23" t="str">
        <f aca="false">IF(AND(P999&lt;&gt;"",L999&lt;&gt;""),P999*L999*100,"")</f>
        <v/>
      </c>
      <c r="T999" s="24" t="str">
        <f aca="false">IF(AND(Q999&lt;&gt;"",R999&lt;&gt;""),R999-Q999,"")</f>
        <v/>
      </c>
      <c r="U999" s="25" t="str">
        <f aca="false">IF(AND(Q999&lt;&gt;"",Q999&lt;&gt;0,T999&lt;&gt;""),T999/Q999,"")</f>
        <v/>
      </c>
      <c r="V999" s="26" t="str">
        <f aca="false">IF(AND(S999&lt;&gt;"",Q999&lt;&gt;""),S999-Q999,"")</f>
        <v/>
      </c>
      <c r="W999" s="27" t="str">
        <f aca="false">IF(AND(Q999&lt;&gt;"",Q999&lt;&gt;0,V999&lt;&gt;""),V999/Q999,"")</f>
        <v/>
      </c>
      <c r="X999" s="28" t="s">
        <v>37</v>
      </c>
      <c r="Y999" s="29" t="str">
        <f aca="false">IF(AND(O999&lt;&gt;"",M999&lt;&gt;"",O999&gt;M999),CONCATENATE("1 : ",TEXT((O999-M999)/M999,"0.00")),IF(AND(O999&lt;&gt;"",M999&lt;&gt;"",O999&lt;M999),CONCATENATE("-1 : ",TEXT((M999-O999)/M999,"0.00")),"—"))</f>
        <v>—</v>
      </c>
      <c r="Z999" s="30" t="str">
        <f aca="false">IF(AND(P999&lt;&gt;"",M999&lt;&gt;"",P999&gt;M999),CONCATENATE("1 : ",TEXT((P999-M999)/M999,"0.00")),"—")</f>
        <v>—</v>
      </c>
      <c r="AA999" s="31" t="str">
        <f aca="false">IF(AND(C999&lt;&gt;"",E999&lt;&gt;""),E999-C999,"")</f>
        <v/>
      </c>
      <c r="AB999" s="17"/>
      <c r="AC999" s="32"/>
      <c r="AD999" s="33"/>
      <c r="AE999" s="34" t="str">
        <f aca="false">IF(G999&lt;&gt;"",HYPERLINK("https://www.tradingview.com/chart/?symbol="&amp;G999&amp;"&amp;interval=60&amp;from="&amp;(AG999-10*3600)&amp;"&amp;to="&amp;(AG999+50*3600),"📈 1H"),"")</f>
        <v/>
      </c>
      <c r="AF999" s="35" t="str">
        <f aca="false">IF(G999&lt;&gt;"",HYPERLINK("https://www.tradingview.com/chart/?symbol="&amp;G999&amp;"&amp;interval=240&amp;from="&amp;(AG999-10*14400)&amp;"&amp;to="&amp;(AG999+50*14400),"📈 4H"),"")</f>
        <v/>
      </c>
      <c r="AG999" s="36" t="str">
        <f aca="false">IF(C999&lt;&gt;"",INT((C999+IF(D999&lt;&gt;"",D999,0)-DATE(1970,1,1))*86400),"")</f>
        <v/>
      </c>
    </row>
    <row r="1000" customFormat="false" ht="19.5" hidden="false" customHeight="true" outlineLevel="0" collapsed="false">
      <c r="A1000" s="37" t="n">
        <f aca="false">ROW()-4</f>
        <v>996</v>
      </c>
      <c r="B1000" s="38"/>
      <c r="C1000" s="39"/>
      <c r="D1000" s="40"/>
      <c r="E1000" s="39"/>
      <c r="F1000" s="40"/>
      <c r="G1000" s="41"/>
      <c r="H1000" s="42"/>
      <c r="I1000" s="43"/>
      <c r="J1000" s="44"/>
      <c r="K1000" s="39"/>
      <c r="L1000" s="42"/>
      <c r="M1000" s="44"/>
      <c r="N1000" s="45"/>
      <c r="O1000" s="44"/>
      <c r="P1000" s="46"/>
      <c r="Q1000" s="47" t="str">
        <f aca="false">IF(L1000="","",IF(M1000&lt;&gt;"",M1000*L1000*100,IF(AND(O1000&lt;&gt;"",B1000&lt;&gt;""),IFERROR(AVERAGEIF($B$5:$B$1004,B1000,$M$5:$M$1004)*L1000*100,""),"")))</f>
        <v/>
      </c>
      <c r="R1000" s="47" t="str">
        <f aca="false">IF(AND(O1000&lt;&gt;"",L1000&lt;&gt;""),O1000*L1000*100,"")</f>
        <v/>
      </c>
      <c r="S1000" s="48" t="str">
        <f aca="false">IF(AND(P1000&lt;&gt;"",L1000&lt;&gt;""),P1000*L1000*100,"")</f>
        <v/>
      </c>
      <c r="T1000" s="49" t="str">
        <f aca="false">IF(AND(Q1000&lt;&gt;"",R1000&lt;&gt;""),R1000-Q1000,"")</f>
        <v/>
      </c>
      <c r="U1000" s="50" t="str">
        <f aca="false">IF(AND(Q1000&lt;&gt;"",Q1000&lt;&gt;0,T1000&lt;&gt;""),T1000/Q1000,"")</f>
        <v/>
      </c>
      <c r="V1000" s="51" t="str">
        <f aca="false">IF(AND(S1000&lt;&gt;"",Q1000&lt;&gt;""),S1000-Q1000,"")</f>
        <v/>
      </c>
      <c r="W1000" s="52" t="str">
        <f aca="false">IF(AND(Q1000&lt;&gt;"",Q1000&lt;&gt;0,V1000&lt;&gt;""),V1000/Q1000,"")</f>
        <v/>
      </c>
      <c r="X1000" s="53" t="s">
        <v>37</v>
      </c>
      <c r="Y1000" s="54" t="str">
        <f aca="false">IF(AND(O1000&lt;&gt;"",M1000&lt;&gt;"",O1000&gt;M1000),CONCATENATE("1 : ",TEXT((O1000-M1000)/M1000,"0.00")),IF(AND(O1000&lt;&gt;"",M1000&lt;&gt;"",O1000&lt;M1000),CONCATENATE("-1 : ",TEXT((M1000-O1000)/M1000,"0.00")),"—"))</f>
        <v>—</v>
      </c>
      <c r="Z1000" s="55" t="str">
        <f aca="false">IF(AND(P1000&lt;&gt;"",M1000&lt;&gt;"",P1000&gt;M1000),CONCATENATE("1 : ",TEXT((P1000-M1000)/M1000,"0.00")),"—")</f>
        <v>—</v>
      </c>
      <c r="AA1000" s="56" t="str">
        <f aca="false">IF(AND(C1000&lt;&gt;"",E1000&lt;&gt;""),E1000-C1000,"")</f>
        <v/>
      </c>
      <c r="AB1000" s="42"/>
      <c r="AC1000" s="57"/>
      <c r="AD1000" s="58"/>
      <c r="AE1000" s="59" t="str">
        <f aca="false">IF(G1000&lt;&gt;"",HYPERLINK("https://www.tradingview.com/chart/?symbol="&amp;G1000&amp;"&amp;interval=60&amp;from="&amp;(AG1000-10*3600)&amp;"&amp;to="&amp;(AG1000+50*3600),"📈 1H"),"")</f>
        <v/>
      </c>
      <c r="AF1000" s="60" t="str">
        <f aca="false">IF(G1000&lt;&gt;"",HYPERLINK("https://www.tradingview.com/chart/?symbol="&amp;G1000&amp;"&amp;interval=240&amp;from="&amp;(AG1000-10*14400)&amp;"&amp;to="&amp;(AG1000+50*14400),"📈 4H"),"")</f>
        <v/>
      </c>
      <c r="AG1000" s="36" t="str">
        <f aca="false">IF(C1000&lt;&gt;"",INT((C1000+IF(D1000&lt;&gt;"",D1000,0)-DATE(1970,1,1))*86400),"")</f>
        <v/>
      </c>
    </row>
    <row r="1001" customFormat="false" ht="19.5" hidden="false" customHeight="true" outlineLevel="0" collapsed="false">
      <c r="A1001" s="12" t="n">
        <f aca="false">ROW()-4</f>
        <v>997</v>
      </c>
      <c r="B1001" s="13"/>
      <c r="C1001" s="14"/>
      <c r="D1001" s="15"/>
      <c r="E1001" s="14"/>
      <c r="F1001" s="15"/>
      <c r="G1001" s="16"/>
      <c r="H1001" s="17"/>
      <c r="I1001" s="18"/>
      <c r="J1001" s="19"/>
      <c r="K1001" s="14"/>
      <c r="L1001" s="17"/>
      <c r="M1001" s="19"/>
      <c r="N1001" s="20"/>
      <c r="O1001" s="19"/>
      <c r="P1001" s="21"/>
      <c r="Q1001" s="22" t="str">
        <f aca="false">IF(L1001="","",IF(M1001&lt;&gt;"",M1001*L1001*100,IF(AND(O1001&lt;&gt;"",B1001&lt;&gt;""),IFERROR(AVERAGEIF($B$5:$B$1004,B1001,$M$5:$M$1004)*L1001*100,""),"")))</f>
        <v/>
      </c>
      <c r="R1001" s="22" t="str">
        <f aca="false">IF(AND(O1001&lt;&gt;"",L1001&lt;&gt;""),O1001*L1001*100,"")</f>
        <v/>
      </c>
      <c r="S1001" s="23" t="str">
        <f aca="false">IF(AND(P1001&lt;&gt;"",L1001&lt;&gt;""),P1001*L1001*100,"")</f>
        <v/>
      </c>
      <c r="T1001" s="24" t="str">
        <f aca="false">IF(AND(Q1001&lt;&gt;"",R1001&lt;&gt;""),R1001-Q1001,"")</f>
        <v/>
      </c>
      <c r="U1001" s="25" t="str">
        <f aca="false">IF(AND(Q1001&lt;&gt;"",Q1001&lt;&gt;0,T1001&lt;&gt;""),T1001/Q1001,"")</f>
        <v/>
      </c>
      <c r="V1001" s="26" t="str">
        <f aca="false">IF(AND(S1001&lt;&gt;"",Q1001&lt;&gt;""),S1001-Q1001,"")</f>
        <v/>
      </c>
      <c r="W1001" s="27" t="str">
        <f aca="false">IF(AND(Q1001&lt;&gt;"",Q1001&lt;&gt;0,V1001&lt;&gt;""),V1001/Q1001,"")</f>
        <v/>
      </c>
      <c r="X1001" s="28" t="s">
        <v>37</v>
      </c>
      <c r="Y1001" s="29" t="str">
        <f aca="false">IF(AND(O1001&lt;&gt;"",M1001&lt;&gt;"",O1001&gt;M1001),CONCATENATE("1 : ",TEXT((O1001-M1001)/M1001,"0.00")),IF(AND(O1001&lt;&gt;"",M1001&lt;&gt;"",O1001&lt;M1001),CONCATENATE("-1 : ",TEXT((M1001-O1001)/M1001,"0.00")),"—"))</f>
        <v>—</v>
      </c>
      <c r="Z1001" s="30" t="str">
        <f aca="false">IF(AND(P1001&lt;&gt;"",M1001&lt;&gt;"",P1001&gt;M1001),CONCATENATE("1 : ",TEXT((P1001-M1001)/M1001,"0.00")),"—")</f>
        <v>—</v>
      </c>
      <c r="AA1001" s="31" t="str">
        <f aca="false">IF(AND(C1001&lt;&gt;"",E1001&lt;&gt;""),E1001-C1001,"")</f>
        <v/>
      </c>
      <c r="AB1001" s="17"/>
      <c r="AC1001" s="32"/>
      <c r="AD1001" s="33"/>
      <c r="AE1001" s="34" t="str">
        <f aca="false">IF(G1001&lt;&gt;"",HYPERLINK("https://www.tradingview.com/chart/?symbol="&amp;G1001&amp;"&amp;interval=60&amp;from="&amp;(AG1001-10*3600)&amp;"&amp;to="&amp;(AG1001+50*3600),"📈 1H"),"")</f>
        <v/>
      </c>
      <c r="AF1001" s="35" t="str">
        <f aca="false">IF(G1001&lt;&gt;"",HYPERLINK("https://www.tradingview.com/chart/?symbol="&amp;G1001&amp;"&amp;interval=240&amp;from="&amp;(AG1001-10*14400)&amp;"&amp;to="&amp;(AG1001+50*14400),"📈 4H"),"")</f>
        <v/>
      </c>
      <c r="AG1001" s="36" t="str">
        <f aca="false">IF(C1001&lt;&gt;"",INT((C1001+IF(D1001&lt;&gt;"",D1001,0)-DATE(1970,1,1))*86400),"")</f>
        <v/>
      </c>
    </row>
    <row r="1002" customFormat="false" ht="19.5" hidden="false" customHeight="true" outlineLevel="0" collapsed="false">
      <c r="A1002" s="37" t="n">
        <f aca="false">ROW()-4</f>
        <v>998</v>
      </c>
      <c r="B1002" s="38"/>
      <c r="C1002" s="39"/>
      <c r="D1002" s="40"/>
      <c r="E1002" s="39"/>
      <c r="F1002" s="40"/>
      <c r="G1002" s="41"/>
      <c r="H1002" s="42"/>
      <c r="I1002" s="43"/>
      <c r="J1002" s="44"/>
      <c r="K1002" s="39"/>
      <c r="L1002" s="42"/>
      <c r="M1002" s="44"/>
      <c r="N1002" s="45"/>
      <c r="O1002" s="44"/>
      <c r="P1002" s="46"/>
      <c r="Q1002" s="47" t="str">
        <f aca="false">IF(L1002="","",IF(M1002&lt;&gt;"",M1002*L1002*100,IF(AND(O1002&lt;&gt;"",B1002&lt;&gt;""),IFERROR(AVERAGEIF($B$5:$B$1004,B1002,$M$5:$M$1004)*L1002*100,""),"")))</f>
        <v/>
      </c>
      <c r="R1002" s="47" t="str">
        <f aca="false">IF(AND(O1002&lt;&gt;"",L1002&lt;&gt;""),O1002*L1002*100,"")</f>
        <v/>
      </c>
      <c r="S1002" s="48" t="str">
        <f aca="false">IF(AND(P1002&lt;&gt;"",L1002&lt;&gt;""),P1002*L1002*100,"")</f>
        <v/>
      </c>
      <c r="T1002" s="49" t="str">
        <f aca="false">IF(AND(Q1002&lt;&gt;"",R1002&lt;&gt;""),R1002-Q1002,"")</f>
        <v/>
      </c>
      <c r="U1002" s="50" t="str">
        <f aca="false">IF(AND(Q1002&lt;&gt;"",Q1002&lt;&gt;0,T1002&lt;&gt;""),T1002/Q1002,"")</f>
        <v/>
      </c>
      <c r="V1002" s="51" t="str">
        <f aca="false">IF(AND(S1002&lt;&gt;"",Q1002&lt;&gt;""),S1002-Q1002,"")</f>
        <v/>
      </c>
      <c r="W1002" s="52" t="str">
        <f aca="false">IF(AND(Q1002&lt;&gt;"",Q1002&lt;&gt;0,V1002&lt;&gt;""),V1002/Q1002,"")</f>
        <v/>
      </c>
      <c r="X1002" s="53" t="s">
        <v>37</v>
      </c>
      <c r="Y1002" s="54" t="str">
        <f aca="false">IF(AND(O1002&lt;&gt;"",M1002&lt;&gt;"",O1002&gt;M1002),CONCATENATE("1 : ",TEXT((O1002-M1002)/M1002,"0.00")),IF(AND(O1002&lt;&gt;"",M1002&lt;&gt;"",O1002&lt;M1002),CONCATENATE("-1 : ",TEXT((M1002-O1002)/M1002,"0.00")),"—"))</f>
        <v>—</v>
      </c>
      <c r="Z1002" s="55" t="str">
        <f aca="false">IF(AND(P1002&lt;&gt;"",M1002&lt;&gt;"",P1002&gt;M1002),CONCATENATE("1 : ",TEXT((P1002-M1002)/M1002,"0.00")),"—")</f>
        <v>—</v>
      </c>
      <c r="AA1002" s="56" t="str">
        <f aca="false">IF(AND(C1002&lt;&gt;"",E1002&lt;&gt;""),E1002-C1002,"")</f>
        <v/>
      </c>
      <c r="AB1002" s="42"/>
      <c r="AC1002" s="57"/>
      <c r="AD1002" s="58"/>
      <c r="AE1002" s="59" t="str">
        <f aca="false">IF(G1002&lt;&gt;"",HYPERLINK("https://www.tradingview.com/chart/?symbol="&amp;G1002&amp;"&amp;interval=60&amp;from="&amp;(AG1002-10*3600)&amp;"&amp;to="&amp;(AG1002+50*3600),"📈 1H"),"")</f>
        <v/>
      </c>
      <c r="AF1002" s="60" t="str">
        <f aca="false">IF(G1002&lt;&gt;"",HYPERLINK("https://www.tradingview.com/chart/?symbol="&amp;G1002&amp;"&amp;interval=240&amp;from="&amp;(AG1002-10*14400)&amp;"&amp;to="&amp;(AG1002+50*14400),"📈 4H"),"")</f>
        <v/>
      </c>
      <c r="AG1002" s="36" t="str">
        <f aca="false">IF(C1002&lt;&gt;"",INT((C1002+IF(D1002&lt;&gt;"",D1002,0)-DATE(1970,1,1))*86400),"")</f>
        <v/>
      </c>
    </row>
    <row r="1003" customFormat="false" ht="19.5" hidden="false" customHeight="true" outlineLevel="0" collapsed="false">
      <c r="A1003" s="12" t="n">
        <f aca="false">ROW()-4</f>
        <v>999</v>
      </c>
      <c r="B1003" s="13"/>
      <c r="C1003" s="14"/>
      <c r="D1003" s="15"/>
      <c r="E1003" s="14"/>
      <c r="F1003" s="15"/>
      <c r="G1003" s="16"/>
      <c r="H1003" s="17"/>
      <c r="I1003" s="18"/>
      <c r="J1003" s="19"/>
      <c r="K1003" s="14"/>
      <c r="L1003" s="17"/>
      <c r="M1003" s="19"/>
      <c r="N1003" s="20"/>
      <c r="O1003" s="19"/>
      <c r="P1003" s="21"/>
      <c r="Q1003" s="22" t="str">
        <f aca="false">IF(L1003="","",IF(M1003&lt;&gt;"",M1003*L1003*100,IF(AND(O1003&lt;&gt;"",B1003&lt;&gt;""),IFERROR(AVERAGEIF($B$5:$B$1004,B1003,$M$5:$M$1004)*L1003*100,""),"")))</f>
        <v/>
      </c>
      <c r="R1003" s="22" t="str">
        <f aca="false">IF(AND(O1003&lt;&gt;"",L1003&lt;&gt;""),O1003*L1003*100,"")</f>
        <v/>
      </c>
      <c r="S1003" s="23" t="str">
        <f aca="false">IF(AND(P1003&lt;&gt;"",L1003&lt;&gt;""),P1003*L1003*100,"")</f>
        <v/>
      </c>
      <c r="T1003" s="24" t="str">
        <f aca="false">IF(AND(Q1003&lt;&gt;"",R1003&lt;&gt;""),R1003-Q1003,"")</f>
        <v/>
      </c>
      <c r="U1003" s="25" t="str">
        <f aca="false">IF(AND(Q1003&lt;&gt;"",Q1003&lt;&gt;0,T1003&lt;&gt;""),T1003/Q1003,"")</f>
        <v/>
      </c>
      <c r="V1003" s="26" t="str">
        <f aca="false">IF(AND(S1003&lt;&gt;"",Q1003&lt;&gt;""),S1003-Q1003,"")</f>
        <v/>
      </c>
      <c r="W1003" s="27" t="str">
        <f aca="false">IF(AND(Q1003&lt;&gt;"",Q1003&lt;&gt;0,V1003&lt;&gt;""),V1003/Q1003,"")</f>
        <v/>
      </c>
      <c r="X1003" s="28" t="s">
        <v>37</v>
      </c>
      <c r="Y1003" s="29" t="str">
        <f aca="false">IF(AND(O1003&lt;&gt;"",M1003&lt;&gt;"",O1003&gt;M1003),CONCATENATE("1 : ",TEXT((O1003-M1003)/M1003,"0.00")),IF(AND(O1003&lt;&gt;"",M1003&lt;&gt;"",O1003&lt;M1003),CONCATENATE("-1 : ",TEXT((M1003-O1003)/M1003,"0.00")),"—"))</f>
        <v>—</v>
      </c>
      <c r="Z1003" s="30" t="str">
        <f aca="false">IF(AND(P1003&lt;&gt;"",M1003&lt;&gt;"",P1003&gt;M1003),CONCATENATE("1 : ",TEXT((P1003-M1003)/M1003,"0.00")),"—")</f>
        <v>—</v>
      </c>
      <c r="AA1003" s="31" t="str">
        <f aca="false">IF(AND(C1003&lt;&gt;"",E1003&lt;&gt;""),E1003-C1003,"")</f>
        <v/>
      </c>
      <c r="AB1003" s="17"/>
      <c r="AC1003" s="32"/>
      <c r="AD1003" s="33"/>
      <c r="AE1003" s="34" t="str">
        <f aca="false">IF(G1003&lt;&gt;"",HYPERLINK("https://www.tradingview.com/chart/?symbol="&amp;G1003&amp;"&amp;interval=60&amp;from="&amp;(AG1003-10*3600)&amp;"&amp;to="&amp;(AG1003+50*3600),"📈 1H"),"")</f>
        <v/>
      </c>
      <c r="AF1003" s="35" t="str">
        <f aca="false">IF(G1003&lt;&gt;"",HYPERLINK("https://www.tradingview.com/chart/?symbol="&amp;G1003&amp;"&amp;interval=240&amp;from="&amp;(AG1003-10*14400)&amp;"&amp;to="&amp;(AG1003+50*14400),"📈 4H"),"")</f>
        <v/>
      </c>
      <c r="AG1003" s="36" t="str">
        <f aca="false">IF(C1003&lt;&gt;"",INT((C1003+IF(D1003&lt;&gt;"",D1003,0)-DATE(1970,1,1))*86400),"")</f>
        <v/>
      </c>
    </row>
    <row r="1004" customFormat="false" ht="19.5" hidden="false" customHeight="true" outlineLevel="0" collapsed="false">
      <c r="A1004" s="37" t="n">
        <f aca="false">ROW()-4</f>
        <v>1000</v>
      </c>
      <c r="B1004" s="38"/>
      <c r="C1004" s="39"/>
      <c r="D1004" s="40"/>
      <c r="E1004" s="39"/>
      <c r="F1004" s="40"/>
      <c r="G1004" s="41"/>
      <c r="H1004" s="42"/>
      <c r="I1004" s="43"/>
      <c r="J1004" s="44"/>
      <c r="K1004" s="39"/>
      <c r="L1004" s="42"/>
      <c r="M1004" s="44"/>
      <c r="N1004" s="45"/>
      <c r="O1004" s="44"/>
      <c r="P1004" s="46"/>
      <c r="Q1004" s="47" t="str">
        <f aca="false">IF(L1004="","",IF(M1004&lt;&gt;"",M1004*L1004*100,IF(AND(O1004&lt;&gt;"",B1004&lt;&gt;""),IFERROR(AVERAGEIF($B$5:$B$1004,B1004,$M$5:$M$1004)*L1004*100,""),"")))</f>
        <v/>
      </c>
      <c r="R1004" s="47" t="str">
        <f aca="false">IF(AND(O1004&lt;&gt;"",L1004&lt;&gt;""),O1004*L1004*100,"")</f>
        <v/>
      </c>
      <c r="S1004" s="48" t="str">
        <f aca="false">IF(AND(P1004&lt;&gt;"",L1004&lt;&gt;""),P1004*L1004*100,"")</f>
        <v/>
      </c>
      <c r="T1004" s="49" t="str">
        <f aca="false">IF(AND(Q1004&lt;&gt;"",R1004&lt;&gt;""),R1004-Q1004,"")</f>
        <v/>
      </c>
      <c r="U1004" s="50" t="str">
        <f aca="false">IF(AND(Q1004&lt;&gt;"",Q1004&lt;&gt;0,T1004&lt;&gt;""),T1004/Q1004,"")</f>
        <v/>
      </c>
      <c r="V1004" s="51" t="str">
        <f aca="false">IF(AND(S1004&lt;&gt;"",Q1004&lt;&gt;""),S1004-Q1004,"")</f>
        <v/>
      </c>
      <c r="W1004" s="52" t="str">
        <f aca="false">IF(AND(Q1004&lt;&gt;"",Q1004&lt;&gt;0,V1004&lt;&gt;""),V1004/Q1004,"")</f>
        <v/>
      </c>
      <c r="X1004" s="53" t="s">
        <v>37</v>
      </c>
      <c r="Y1004" s="54" t="str">
        <f aca="false">IF(AND(O1004&lt;&gt;"",M1004&lt;&gt;"",O1004&gt;M1004),CONCATENATE("1 : ",TEXT((O1004-M1004)/M1004,"0.00")),IF(AND(O1004&lt;&gt;"",M1004&lt;&gt;"",O1004&lt;M1004),CONCATENATE("-1 : ",TEXT((M1004-O1004)/M1004,"0.00")),"—"))</f>
        <v>—</v>
      </c>
      <c r="Z1004" s="55" t="str">
        <f aca="false">IF(AND(P1004&lt;&gt;"",M1004&lt;&gt;"",P1004&gt;M1004),CONCATENATE("1 : ",TEXT((P1004-M1004)/M1004,"0.00")),"—")</f>
        <v>—</v>
      </c>
      <c r="AA1004" s="56" t="str">
        <f aca="false">IF(AND(C1004&lt;&gt;"",E1004&lt;&gt;""),E1004-C1004,"")</f>
        <v/>
      </c>
      <c r="AB1004" s="42"/>
      <c r="AC1004" s="57"/>
      <c r="AD1004" s="58"/>
      <c r="AE1004" s="59" t="str">
        <f aca="false">IF(G1004&lt;&gt;"",HYPERLINK("https://www.tradingview.com/chart/?symbol="&amp;G1004&amp;"&amp;interval=60&amp;from="&amp;(AG1004-10*3600)&amp;"&amp;to="&amp;(AG1004+50*3600),"📈 1H"),"")</f>
        <v/>
      </c>
      <c r="AF1004" s="60" t="str">
        <f aca="false">IF(G1004&lt;&gt;"",HYPERLINK("https://www.tradingview.com/chart/?symbol="&amp;G1004&amp;"&amp;interval=240&amp;from="&amp;(AG1004-10*14400)&amp;"&amp;to="&amp;(AG1004+50*14400),"📈 4H"),"")</f>
        <v/>
      </c>
      <c r="AG1004" s="36" t="str">
        <f aca="false">IF(C1004&lt;&gt;"",INT((C1004+IF(D1004&lt;&gt;"",D1004,0)-DATE(1970,1,1))*86400),"")</f>
        <v/>
      </c>
    </row>
    <row r="1006" customFormat="false" ht="18" hidden="false" customHeight="true" outlineLevel="0" collapsed="false">
      <c r="A1006" s="61" t="s">
        <v>38</v>
      </c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</row>
  </sheetData>
  <mergeCells count="5">
    <mergeCell ref="A1:AF1"/>
    <mergeCell ref="A2:AF2"/>
    <mergeCell ref="A3:B3"/>
    <mergeCell ref="D3:F3"/>
    <mergeCell ref="A1006:AF1006"/>
  </mergeCells>
  <conditionalFormatting sqref="T5:T100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U5:U1004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V5:V1004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W5:W1004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B341"/>
    <pageSetUpPr fitToPage="false"/>
  </sheetPr>
  <dimension ref="A1:M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7" min="6" style="1" width="14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2" min="11" style="1" width="13"/>
    <col collapsed="false" customWidth="true" hidden="false" outlineLevel="0" max="13" min="13" style="1" width="12"/>
  </cols>
  <sheetData>
    <row r="1" customFormat="false" ht="36" hidden="false" customHeight="true" outlineLevel="0" collapsed="false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8" hidden="false" customHeight="true" outlineLevel="0" collapsed="false">
      <c r="A3" s="62" t="s">
        <v>41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  <row r="4" customFormat="false" ht="31.5" hidden="false" customHeight="true" outlineLevel="0" collapsed="false">
      <c r="A4" s="63" t="s">
        <v>42</v>
      </c>
      <c r="B4" s="64" t="s">
        <v>11</v>
      </c>
      <c r="C4" s="64" t="s">
        <v>13</v>
      </c>
      <c r="D4" s="64" t="s">
        <v>43</v>
      </c>
      <c r="E4" s="64" t="s">
        <v>44</v>
      </c>
      <c r="F4" s="64" t="s">
        <v>45</v>
      </c>
      <c r="G4" s="64" t="s">
        <v>46</v>
      </c>
      <c r="H4" s="64" t="s">
        <v>47</v>
      </c>
      <c r="I4" s="64" t="s">
        <v>48</v>
      </c>
      <c r="J4" s="65" t="s">
        <v>49</v>
      </c>
      <c r="K4" s="65" t="s">
        <v>50</v>
      </c>
      <c r="L4" s="66" t="s">
        <v>51</v>
      </c>
      <c r="M4" s="64" t="s">
        <v>32</v>
      </c>
    </row>
    <row r="5" customFormat="false" ht="19.5" hidden="false" customHeight="true" outlineLevel="0" collapsed="false">
      <c r="A5" s="67" t="str">
        <f aca="false">IFERROR(unique(filter('Trade Log'!B5:B1004,'Trade Log'!B5:B1004&lt;&gt;"")),"")</f>
        <v/>
      </c>
      <c r="B5" s="68" t="str">
        <f aca="false">IF(A5&lt;&gt;"",IFERROR(INDEX('Trade Log'!$G$5:$G$1004,MATCH(A5,'Trade Log'!$B$5:$B$1004,0)),""),"")</f>
        <v/>
      </c>
      <c r="C5" s="69" t="str">
        <f aca="false">IF(A5&lt;&gt;"",IFERROR(INDEX('Trade Log'!$I$5:$I$1004,MATCH(A5,'Trade Log'!$B$5:$B$1004,0)),""),"")</f>
        <v/>
      </c>
      <c r="D5" s="67" t="str">
        <f aca="false">IF(A5&lt;&gt;"",COUNTIF('Trade Log'!$B$5:$B$1004,A5),"")</f>
        <v/>
      </c>
      <c r="E5" s="67" t="str">
        <f aca="false">IF(A5&lt;&gt;"",SUMIF('Trade Log'!$B$5:$B$1004,A5,'Trade Log'!$L$5:$L$1004),"")</f>
        <v/>
      </c>
      <c r="F5" s="70" t="str">
        <f aca="false">IF(A5&lt;&gt;"",SUMIF('Trade Log'!$B$5:$B$1004,A5,'Trade Log'!$Q$5:$Q$1004),"")</f>
        <v/>
      </c>
      <c r="G5" s="70" t="str">
        <f aca="false">IF(A5&lt;&gt;"",SUMIF('Trade Log'!$B$5:$B$1004,A5,'Trade Log'!$R$5:$R$1004),"")</f>
        <v/>
      </c>
      <c r="H5" s="71" t="str">
        <f aca="false">IF(A5&lt;&gt;"",SUMIF('Trade Log'!$B$5:$B$1004,A5,'Trade Log'!$T$5:$T$1004),"")</f>
        <v/>
      </c>
      <c r="I5" s="72" t="str">
        <f aca="false">IF(A5&lt;&gt;"",IFERROR(SUMIF('Trade Log'!$B$5:$B$1004,A5,'Trade Log'!$R$5:$R$1004)/SUMIF('Trade Log'!$B$5:$B$1004,A5,'Trade Log'!$Q$5:$Q$1004)-1,""),"")</f>
        <v/>
      </c>
      <c r="J5" s="73" t="str">
        <f aca="false">IF(A5&lt;&gt;"",SUMIF('Trade Log'!$B$5:$B$1004,A5,'Trade Log'!$V$5:$V$1004),"")</f>
        <v/>
      </c>
      <c r="K5" s="74" t="str">
        <f aca="false">IF(A5&lt;&gt;"",IFERROR(SUMIF('Trade Log'!$B$5:$B$1004,A5,'Trade Log'!$V$5:$V$1004)/SUMIF('Trade Log'!$B$5:$B$1004,A5,'Trade Log'!$Q$5:$Q$1004),""),"")</f>
        <v/>
      </c>
      <c r="L5" s="75" t="str">
        <f aca="false">IF(A5&lt;&gt;"",IFERROR(SUMIFS('Trade Log'!$L$5:$L$1004,'Trade Log'!$B$5:$B$1004,A5,'Trade Log'!$E$5:$E$1004,""),0),"")</f>
        <v/>
      </c>
      <c r="M5" s="76" t="str">
        <f aca="false">IF(A5&lt;&gt;"",IFERROR(INDEX('Trade Log'!$AB$5:$AB$1004,MATCH(2,1/('Trade Log'!$B$5:$B$1004=A5),1)),""),"")</f>
        <v/>
      </c>
    </row>
    <row r="6" customFormat="false" ht="19.5" hidden="false" customHeight="true" outlineLevel="0" collapsed="false">
      <c r="A6" s="77"/>
      <c r="B6" s="78" t="str">
        <f aca="false">IF(A6&lt;&gt;"",IFERROR(INDEX('Trade Log'!$G$5:$G$1004,MATCH(A6,'Trade Log'!$B$5:$B$1004,0)),""),"")</f>
        <v/>
      </c>
      <c r="C6" s="79" t="str">
        <f aca="false">IF(A6&lt;&gt;"",IFERROR(INDEX('Trade Log'!$I$5:$I$1004,MATCH(A6,'Trade Log'!$B$5:$B$1004,0)),""),"")</f>
        <v/>
      </c>
      <c r="D6" s="80" t="str">
        <f aca="false">IF(A6&lt;&gt;"",COUNTIF('Trade Log'!$B$5:$B$1004,A6),"")</f>
        <v/>
      </c>
      <c r="E6" s="80" t="str">
        <f aca="false">IF(A6&lt;&gt;"",SUMIF('Trade Log'!$B$5:$B$1004,A6,'Trade Log'!$L$5:$L$1004),"")</f>
        <v/>
      </c>
      <c r="F6" s="81" t="str">
        <f aca="false">IF(A6&lt;&gt;"",SUMIF('Trade Log'!$B$5:$B$1004,A6,'Trade Log'!$Q$5:$Q$1004),"")</f>
        <v/>
      </c>
      <c r="G6" s="81" t="str">
        <f aca="false">IF(A6&lt;&gt;"",SUMIF('Trade Log'!$B$5:$B$1004,A6,'Trade Log'!$R$5:$R$1004),"")</f>
        <v/>
      </c>
      <c r="H6" s="82" t="str">
        <f aca="false">IF(A6&lt;&gt;"",SUMIF('Trade Log'!$B$5:$B$1004,A6,'Trade Log'!$T$5:$T$1004),"")</f>
        <v/>
      </c>
      <c r="I6" s="83" t="str">
        <f aca="false">IF(A6&lt;&gt;"",IFERROR(SUMIF('Trade Log'!$B$5:$B$1004,A6,'Trade Log'!$R$5:$R$1004)/SUMIF('Trade Log'!$B$5:$B$1004,A6,'Trade Log'!$Q$5:$Q$1004)-1,""),"")</f>
        <v/>
      </c>
      <c r="J6" s="84" t="str">
        <f aca="false">IF(A6&lt;&gt;"",SUMIF('Trade Log'!$B$5:$B$1004,A6,'Trade Log'!$V$5:$V$1004),"")</f>
        <v/>
      </c>
      <c r="K6" s="85" t="str">
        <f aca="false">IF(A6&lt;&gt;"",IFERROR(SUMIF('Trade Log'!$B$5:$B$1004,A6,'Trade Log'!$V$5:$V$1004)/SUMIF('Trade Log'!$B$5:$B$1004,A6,'Trade Log'!$Q$5:$Q$1004),""),"")</f>
        <v/>
      </c>
      <c r="L6" s="86" t="str">
        <f aca="false">IF(A6&lt;&gt;"",IFERROR(SUMIFS('Trade Log'!$L$5:$L$1004,'Trade Log'!$B$5:$B$1004,A6,'Trade Log'!$E$5:$E$1004,""),0),"")</f>
        <v/>
      </c>
      <c r="M6" s="87" t="str">
        <f aca="false">IF(A6&lt;&gt;"",IFERROR(INDEX('Trade Log'!$AB$5:$AB$1004,MATCH(2,1/('Trade Log'!$B$5:$B$1004=A6),1)),""),"")</f>
        <v/>
      </c>
    </row>
    <row r="7" customFormat="false" ht="19.5" hidden="false" customHeight="true" outlineLevel="0" collapsed="false">
      <c r="A7" s="88"/>
      <c r="B7" s="68" t="str">
        <f aca="false">IF(A7&lt;&gt;"",IFERROR(INDEX('Trade Log'!$G$5:$G$1004,MATCH(A7,'Trade Log'!$B$5:$B$1004,0)),""),"")</f>
        <v/>
      </c>
      <c r="C7" s="69" t="str">
        <f aca="false">IF(A7&lt;&gt;"",IFERROR(INDEX('Trade Log'!$I$5:$I$1004,MATCH(A7,'Trade Log'!$B$5:$B$1004,0)),""),"")</f>
        <v/>
      </c>
      <c r="D7" s="67" t="str">
        <f aca="false">IF(A7&lt;&gt;"",COUNTIF('Trade Log'!$B$5:$B$1004,A7),"")</f>
        <v/>
      </c>
      <c r="E7" s="67" t="str">
        <f aca="false">IF(A7&lt;&gt;"",SUMIF('Trade Log'!$B$5:$B$1004,A7,'Trade Log'!$L$5:$L$1004),"")</f>
        <v/>
      </c>
      <c r="F7" s="70" t="str">
        <f aca="false">IF(A7&lt;&gt;"",SUMIF('Trade Log'!$B$5:$B$1004,A7,'Trade Log'!$Q$5:$Q$1004),"")</f>
        <v/>
      </c>
      <c r="G7" s="70" t="str">
        <f aca="false">IF(A7&lt;&gt;"",SUMIF('Trade Log'!$B$5:$B$1004,A7,'Trade Log'!$R$5:$R$1004),"")</f>
        <v/>
      </c>
      <c r="H7" s="71" t="str">
        <f aca="false">IF(A7&lt;&gt;"",SUMIF('Trade Log'!$B$5:$B$1004,A7,'Trade Log'!$T$5:$T$1004),"")</f>
        <v/>
      </c>
      <c r="I7" s="72" t="str">
        <f aca="false">IF(A7&lt;&gt;"",IFERROR(SUMIF('Trade Log'!$B$5:$B$1004,A7,'Trade Log'!$R$5:$R$1004)/SUMIF('Trade Log'!$B$5:$B$1004,A7,'Trade Log'!$Q$5:$Q$1004)-1,""),"")</f>
        <v/>
      </c>
      <c r="J7" s="73" t="str">
        <f aca="false">IF(A7&lt;&gt;"",SUMIF('Trade Log'!$B$5:$B$1004,A7,'Trade Log'!$V$5:$V$1004),"")</f>
        <v/>
      </c>
      <c r="K7" s="74" t="str">
        <f aca="false">IF(A7&lt;&gt;"",IFERROR(SUMIF('Trade Log'!$B$5:$B$1004,A7,'Trade Log'!$V$5:$V$1004)/SUMIF('Trade Log'!$B$5:$B$1004,A7,'Trade Log'!$Q$5:$Q$1004),""),"")</f>
        <v/>
      </c>
      <c r="L7" s="75" t="str">
        <f aca="false">IF(A7&lt;&gt;"",IFERROR(SUMIFS('Trade Log'!$L$5:$L$1004,'Trade Log'!$B$5:$B$1004,A7,'Trade Log'!$E$5:$E$1004,""),0),"")</f>
        <v/>
      </c>
      <c r="M7" s="76" t="str">
        <f aca="false">IF(A7&lt;&gt;"",IFERROR(INDEX('Trade Log'!$AB$5:$AB$1004,MATCH(2,1/('Trade Log'!$B$5:$B$1004=A7),1)),""),"")</f>
        <v/>
      </c>
    </row>
    <row r="8" customFormat="false" ht="19.5" hidden="false" customHeight="true" outlineLevel="0" collapsed="false">
      <c r="A8" s="77"/>
      <c r="B8" s="78" t="str">
        <f aca="false">IF(A8&lt;&gt;"",IFERROR(INDEX('Trade Log'!$G$5:$G$1004,MATCH(A8,'Trade Log'!$B$5:$B$1004,0)),""),"")</f>
        <v/>
      </c>
      <c r="C8" s="79" t="str">
        <f aca="false">IF(A8&lt;&gt;"",IFERROR(INDEX('Trade Log'!$I$5:$I$1004,MATCH(A8,'Trade Log'!$B$5:$B$1004,0)),""),"")</f>
        <v/>
      </c>
      <c r="D8" s="80" t="str">
        <f aca="false">IF(A8&lt;&gt;"",COUNTIF('Trade Log'!$B$5:$B$1004,A8),"")</f>
        <v/>
      </c>
      <c r="E8" s="80" t="str">
        <f aca="false">IF(A8&lt;&gt;"",SUMIF('Trade Log'!$B$5:$B$1004,A8,'Trade Log'!$L$5:$L$1004),"")</f>
        <v/>
      </c>
      <c r="F8" s="81" t="str">
        <f aca="false">IF(A8&lt;&gt;"",SUMIF('Trade Log'!$B$5:$B$1004,A8,'Trade Log'!$Q$5:$Q$1004),"")</f>
        <v/>
      </c>
      <c r="G8" s="81" t="str">
        <f aca="false">IF(A8&lt;&gt;"",SUMIF('Trade Log'!$B$5:$B$1004,A8,'Trade Log'!$R$5:$R$1004),"")</f>
        <v/>
      </c>
      <c r="H8" s="82" t="str">
        <f aca="false">IF(A8&lt;&gt;"",SUMIF('Trade Log'!$B$5:$B$1004,A8,'Trade Log'!$T$5:$T$1004),"")</f>
        <v/>
      </c>
      <c r="I8" s="83" t="str">
        <f aca="false">IF(A8&lt;&gt;"",IFERROR(SUMIF('Trade Log'!$B$5:$B$1004,A8,'Trade Log'!$R$5:$R$1004)/SUMIF('Trade Log'!$B$5:$B$1004,A8,'Trade Log'!$Q$5:$Q$1004)-1,""),"")</f>
        <v/>
      </c>
      <c r="J8" s="84" t="str">
        <f aca="false">IF(A8&lt;&gt;"",SUMIF('Trade Log'!$B$5:$B$1004,A8,'Trade Log'!$V$5:$V$1004),"")</f>
        <v/>
      </c>
      <c r="K8" s="85" t="str">
        <f aca="false">IF(A8&lt;&gt;"",IFERROR(SUMIF('Trade Log'!$B$5:$B$1004,A8,'Trade Log'!$V$5:$V$1004)/SUMIF('Trade Log'!$B$5:$B$1004,A8,'Trade Log'!$Q$5:$Q$1004),""),"")</f>
        <v/>
      </c>
      <c r="L8" s="86" t="str">
        <f aca="false">IF(A8&lt;&gt;"",IFERROR(SUMIFS('Trade Log'!$L$5:$L$1004,'Trade Log'!$B$5:$B$1004,A8,'Trade Log'!$E$5:$E$1004,""),0),"")</f>
        <v/>
      </c>
      <c r="M8" s="87" t="str">
        <f aca="false">IF(A8&lt;&gt;"",IFERROR(INDEX('Trade Log'!$AB$5:$AB$1004,MATCH(2,1/('Trade Log'!$B$5:$B$1004=A8),1)),""),"")</f>
        <v/>
      </c>
    </row>
    <row r="9" customFormat="false" ht="19.5" hidden="false" customHeight="true" outlineLevel="0" collapsed="false">
      <c r="A9" s="88"/>
      <c r="B9" s="68" t="str">
        <f aca="false">IF(A9&lt;&gt;"",IFERROR(INDEX('Trade Log'!$G$5:$G$1004,MATCH(A9,'Trade Log'!$B$5:$B$1004,0)),""),"")</f>
        <v/>
      </c>
      <c r="C9" s="69" t="str">
        <f aca="false">IF(A9&lt;&gt;"",IFERROR(INDEX('Trade Log'!$I$5:$I$1004,MATCH(A9,'Trade Log'!$B$5:$B$1004,0)),""),"")</f>
        <v/>
      </c>
      <c r="D9" s="67" t="str">
        <f aca="false">IF(A9&lt;&gt;"",COUNTIF('Trade Log'!$B$5:$B$1004,A9),"")</f>
        <v/>
      </c>
      <c r="E9" s="67" t="str">
        <f aca="false">IF(A9&lt;&gt;"",SUMIF('Trade Log'!$B$5:$B$1004,A9,'Trade Log'!$L$5:$L$1004),"")</f>
        <v/>
      </c>
      <c r="F9" s="70" t="str">
        <f aca="false">IF(A9&lt;&gt;"",SUMIF('Trade Log'!$B$5:$B$1004,A9,'Trade Log'!$Q$5:$Q$1004),"")</f>
        <v/>
      </c>
      <c r="G9" s="70" t="str">
        <f aca="false">IF(A9&lt;&gt;"",SUMIF('Trade Log'!$B$5:$B$1004,A9,'Trade Log'!$R$5:$R$1004),"")</f>
        <v/>
      </c>
      <c r="H9" s="71" t="str">
        <f aca="false">IF(A9&lt;&gt;"",SUMIF('Trade Log'!$B$5:$B$1004,A9,'Trade Log'!$T$5:$T$1004),"")</f>
        <v/>
      </c>
      <c r="I9" s="72" t="str">
        <f aca="false">IF(A9&lt;&gt;"",IFERROR(SUMIF('Trade Log'!$B$5:$B$1004,A9,'Trade Log'!$R$5:$R$1004)/SUMIF('Trade Log'!$B$5:$B$1004,A9,'Trade Log'!$Q$5:$Q$1004)-1,""),"")</f>
        <v/>
      </c>
      <c r="J9" s="73" t="str">
        <f aca="false">IF(A9&lt;&gt;"",SUMIF('Trade Log'!$B$5:$B$1004,A9,'Trade Log'!$V$5:$V$1004),"")</f>
        <v/>
      </c>
      <c r="K9" s="74" t="str">
        <f aca="false">IF(A9&lt;&gt;"",IFERROR(SUMIF('Trade Log'!$B$5:$B$1004,A9,'Trade Log'!$V$5:$V$1004)/SUMIF('Trade Log'!$B$5:$B$1004,A9,'Trade Log'!$Q$5:$Q$1004),""),"")</f>
        <v/>
      </c>
      <c r="L9" s="75" t="str">
        <f aca="false">IF(A9&lt;&gt;"",IFERROR(SUMIFS('Trade Log'!$L$5:$L$1004,'Trade Log'!$B$5:$B$1004,A9,'Trade Log'!$E$5:$E$1004,""),0),"")</f>
        <v/>
      </c>
      <c r="M9" s="76" t="str">
        <f aca="false">IF(A9&lt;&gt;"",IFERROR(INDEX('Trade Log'!$AB$5:$AB$1004,MATCH(2,1/('Trade Log'!$B$5:$B$1004=A9),1)),""),"")</f>
        <v/>
      </c>
    </row>
    <row r="10" customFormat="false" ht="19.5" hidden="false" customHeight="true" outlineLevel="0" collapsed="false">
      <c r="A10" s="77"/>
      <c r="B10" s="78" t="str">
        <f aca="false">IF(A10&lt;&gt;"",IFERROR(INDEX('Trade Log'!$G$5:$G$1004,MATCH(A10,'Trade Log'!$B$5:$B$1004,0)),""),"")</f>
        <v/>
      </c>
      <c r="C10" s="79" t="str">
        <f aca="false">IF(A10&lt;&gt;"",IFERROR(INDEX('Trade Log'!$I$5:$I$1004,MATCH(A10,'Trade Log'!$B$5:$B$1004,0)),""),"")</f>
        <v/>
      </c>
      <c r="D10" s="80" t="str">
        <f aca="false">IF(A10&lt;&gt;"",COUNTIF('Trade Log'!$B$5:$B$1004,A10),"")</f>
        <v/>
      </c>
      <c r="E10" s="80" t="str">
        <f aca="false">IF(A10&lt;&gt;"",SUMIF('Trade Log'!$B$5:$B$1004,A10,'Trade Log'!$L$5:$L$1004),"")</f>
        <v/>
      </c>
      <c r="F10" s="81" t="str">
        <f aca="false">IF(A10&lt;&gt;"",SUMIF('Trade Log'!$B$5:$B$1004,A10,'Trade Log'!$Q$5:$Q$1004),"")</f>
        <v/>
      </c>
      <c r="G10" s="81" t="str">
        <f aca="false">IF(A10&lt;&gt;"",SUMIF('Trade Log'!$B$5:$B$1004,A10,'Trade Log'!$R$5:$R$1004),"")</f>
        <v/>
      </c>
      <c r="H10" s="82" t="str">
        <f aca="false">IF(A10&lt;&gt;"",SUMIF('Trade Log'!$B$5:$B$1004,A10,'Trade Log'!$T$5:$T$1004),"")</f>
        <v/>
      </c>
      <c r="I10" s="83" t="str">
        <f aca="false">IF(A10&lt;&gt;"",IFERROR(SUMIF('Trade Log'!$B$5:$B$1004,A10,'Trade Log'!$R$5:$R$1004)/SUMIF('Trade Log'!$B$5:$B$1004,A10,'Trade Log'!$Q$5:$Q$1004)-1,""),"")</f>
        <v/>
      </c>
      <c r="J10" s="84" t="str">
        <f aca="false">IF(A10&lt;&gt;"",SUMIF('Trade Log'!$B$5:$B$1004,A10,'Trade Log'!$V$5:$V$1004),"")</f>
        <v/>
      </c>
      <c r="K10" s="85" t="str">
        <f aca="false">IF(A10&lt;&gt;"",IFERROR(SUMIF('Trade Log'!$B$5:$B$1004,A10,'Trade Log'!$V$5:$V$1004)/SUMIF('Trade Log'!$B$5:$B$1004,A10,'Trade Log'!$Q$5:$Q$1004),""),"")</f>
        <v/>
      </c>
      <c r="L10" s="86" t="str">
        <f aca="false">IF(A10&lt;&gt;"",IFERROR(SUMIFS('Trade Log'!$L$5:$L$1004,'Trade Log'!$B$5:$B$1004,A10,'Trade Log'!$E$5:$E$1004,""),0),"")</f>
        <v/>
      </c>
      <c r="M10" s="87" t="str">
        <f aca="false">IF(A10&lt;&gt;"",IFERROR(INDEX('Trade Log'!$AB$5:$AB$1004,MATCH(2,1/('Trade Log'!$B$5:$B$1004=A10),1)),""),"")</f>
        <v/>
      </c>
    </row>
    <row r="11" customFormat="false" ht="19.5" hidden="false" customHeight="true" outlineLevel="0" collapsed="false">
      <c r="A11" s="88"/>
      <c r="B11" s="68" t="str">
        <f aca="false">IF(A11&lt;&gt;"",IFERROR(INDEX('Trade Log'!$G$5:$G$1004,MATCH(A11,'Trade Log'!$B$5:$B$1004,0)),""),"")</f>
        <v/>
      </c>
      <c r="C11" s="69" t="str">
        <f aca="false">IF(A11&lt;&gt;"",IFERROR(INDEX('Trade Log'!$I$5:$I$1004,MATCH(A11,'Trade Log'!$B$5:$B$1004,0)),""),"")</f>
        <v/>
      </c>
      <c r="D11" s="67" t="str">
        <f aca="false">IF(A11&lt;&gt;"",COUNTIF('Trade Log'!$B$5:$B$1004,A11),"")</f>
        <v/>
      </c>
      <c r="E11" s="67" t="str">
        <f aca="false">IF(A11&lt;&gt;"",SUMIF('Trade Log'!$B$5:$B$1004,A11,'Trade Log'!$L$5:$L$1004),"")</f>
        <v/>
      </c>
      <c r="F11" s="70" t="str">
        <f aca="false">IF(A11&lt;&gt;"",SUMIF('Trade Log'!$B$5:$B$1004,A11,'Trade Log'!$Q$5:$Q$1004),"")</f>
        <v/>
      </c>
      <c r="G11" s="70" t="str">
        <f aca="false">IF(A11&lt;&gt;"",SUMIF('Trade Log'!$B$5:$B$1004,A11,'Trade Log'!$R$5:$R$1004),"")</f>
        <v/>
      </c>
      <c r="H11" s="71" t="str">
        <f aca="false">IF(A11&lt;&gt;"",SUMIF('Trade Log'!$B$5:$B$1004,A11,'Trade Log'!$T$5:$T$1004),"")</f>
        <v/>
      </c>
      <c r="I11" s="72" t="str">
        <f aca="false">IF(A11&lt;&gt;"",IFERROR(SUMIF('Trade Log'!$B$5:$B$1004,A11,'Trade Log'!$R$5:$R$1004)/SUMIF('Trade Log'!$B$5:$B$1004,A11,'Trade Log'!$Q$5:$Q$1004)-1,""),"")</f>
        <v/>
      </c>
      <c r="J11" s="73" t="str">
        <f aca="false">IF(A11&lt;&gt;"",SUMIF('Trade Log'!$B$5:$B$1004,A11,'Trade Log'!$V$5:$V$1004),"")</f>
        <v/>
      </c>
      <c r="K11" s="74" t="str">
        <f aca="false">IF(A11&lt;&gt;"",IFERROR(SUMIF('Trade Log'!$B$5:$B$1004,A11,'Trade Log'!$V$5:$V$1004)/SUMIF('Trade Log'!$B$5:$B$1004,A11,'Trade Log'!$Q$5:$Q$1004),""),"")</f>
        <v/>
      </c>
      <c r="L11" s="75" t="str">
        <f aca="false">IF(A11&lt;&gt;"",IFERROR(SUMIFS('Trade Log'!$L$5:$L$1004,'Trade Log'!$B$5:$B$1004,A11,'Trade Log'!$E$5:$E$1004,""),0),"")</f>
        <v/>
      </c>
      <c r="M11" s="76" t="str">
        <f aca="false">IF(A11&lt;&gt;"",IFERROR(INDEX('Trade Log'!$AB$5:$AB$1004,MATCH(2,1/('Trade Log'!$B$5:$B$1004=A11),1)),""),"")</f>
        <v/>
      </c>
    </row>
    <row r="12" customFormat="false" ht="19.5" hidden="false" customHeight="true" outlineLevel="0" collapsed="false">
      <c r="A12" s="77"/>
      <c r="B12" s="78" t="str">
        <f aca="false">IF(A12&lt;&gt;"",IFERROR(INDEX('Trade Log'!$G$5:$G$1004,MATCH(A12,'Trade Log'!$B$5:$B$1004,0)),""),"")</f>
        <v/>
      </c>
      <c r="C12" s="79" t="str">
        <f aca="false">IF(A12&lt;&gt;"",IFERROR(INDEX('Trade Log'!$I$5:$I$1004,MATCH(A12,'Trade Log'!$B$5:$B$1004,0)),""),"")</f>
        <v/>
      </c>
      <c r="D12" s="80" t="str">
        <f aca="false">IF(A12&lt;&gt;"",COUNTIF('Trade Log'!$B$5:$B$1004,A12),"")</f>
        <v/>
      </c>
      <c r="E12" s="80" t="str">
        <f aca="false">IF(A12&lt;&gt;"",SUMIF('Trade Log'!$B$5:$B$1004,A12,'Trade Log'!$L$5:$L$1004),"")</f>
        <v/>
      </c>
      <c r="F12" s="81" t="str">
        <f aca="false">IF(A12&lt;&gt;"",SUMIF('Trade Log'!$B$5:$B$1004,A12,'Trade Log'!$Q$5:$Q$1004),"")</f>
        <v/>
      </c>
      <c r="G12" s="81" t="str">
        <f aca="false">IF(A12&lt;&gt;"",SUMIF('Trade Log'!$B$5:$B$1004,A12,'Trade Log'!$R$5:$R$1004),"")</f>
        <v/>
      </c>
      <c r="H12" s="82" t="str">
        <f aca="false">IF(A12&lt;&gt;"",SUMIF('Trade Log'!$B$5:$B$1004,A12,'Trade Log'!$T$5:$T$1004),"")</f>
        <v/>
      </c>
      <c r="I12" s="83" t="str">
        <f aca="false">IF(A12&lt;&gt;"",IFERROR(SUMIF('Trade Log'!$B$5:$B$1004,A12,'Trade Log'!$R$5:$R$1004)/SUMIF('Trade Log'!$B$5:$B$1004,A12,'Trade Log'!$Q$5:$Q$1004)-1,""),"")</f>
        <v/>
      </c>
      <c r="J12" s="84" t="str">
        <f aca="false">IF(A12&lt;&gt;"",SUMIF('Trade Log'!$B$5:$B$1004,A12,'Trade Log'!$V$5:$V$1004),"")</f>
        <v/>
      </c>
      <c r="K12" s="85" t="str">
        <f aca="false">IF(A12&lt;&gt;"",IFERROR(SUMIF('Trade Log'!$B$5:$B$1004,A12,'Trade Log'!$V$5:$V$1004)/SUMIF('Trade Log'!$B$5:$B$1004,A12,'Trade Log'!$Q$5:$Q$1004),""),"")</f>
        <v/>
      </c>
      <c r="L12" s="86" t="str">
        <f aca="false">IF(A12&lt;&gt;"",IFERROR(SUMIFS('Trade Log'!$L$5:$L$1004,'Trade Log'!$B$5:$B$1004,A12,'Trade Log'!$E$5:$E$1004,""),0),"")</f>
        <v/>
      </c>
      <c r="M12" s="87" t="str">
        <f aca="false">IF(A12&lt;&gt;"",IFERROR(INDEX('Trade Log'!$AB$5:$AB$1004,MATCH(2,1/('Trade Log'!$B$5:$B$1004=A12),1)),""),"")</f>
        <v/>
      </c>
    </row>
    <row r="13" customFormat="false" ht="19.5" hidden="false" customHeight="true" outlineLevel="0" collapsed="false">
      <c r="A13" s="88"/>
      <c r="B13" s="68" t="str">
        <f aca="false">IF(A13&lt;&gt;"",IFERROR(INDEX('Trade Log'!$G$5:$G$1004,MATCH(A13,'Trade Log'!$B$5:$B$1004,0)),""),"")</f>
        <v/>
      </c>
      <c r="C13" s="69" t="str">
        <f aca="false">IF(A13&lt;&gt;"",IFERROR(INDEX('Trade Log'!$I$5:$I$1004,MATCH(A13,'Trade Log'!$B$5:$B$1004,0)),""),"")</f>
        <v/>
      </c>
      <c r="D13" s="67" t="str">
        <f aca="false">IF(A13&lt;&gt;"",COUNTIF('Trade Log'!$B$5:$B$1004,A13),"")</f>
        <v/>
      </c>
      <c r="E13" s="67" t="str">
        <f aca="false">IF(A13&lt;&gt;"",SUMIF('Trade Log'!$B$5:$B$1004,A13,'Trade Log'!$L$5:$L$1004),"")</f>
        <v/>
      </c>
      <c r="F13" s="70" t="str">
        <f aca="false">IF(A13&lt;&gt;"",SUMIF('Trade Log'!$B$5:$B$1004,A13,'Trade Log'!$Q$5:$Q$1004),"")</f>
        <v/>
      </c>
      <c r="G13" s="70" t="str">
        <f aca="false">IF(A13&lt;&gt;"",SUMIF('Trade Log'!$B$5:$B$1004,A13,'Trade Log'!$R$5:$R$1004),"")</f>
        <v/>
      </c>
      <c r="H13" s="71" t="str">
        <f aca="false">IF(A13&lt;&gt;"",SUMIF('Trade Log'!$B$5:$B$1004,A13,'Trade Log'!$T$5:$T$1004),"")</f>
        <v/>
      </c>
      <c r="I13" s="72" t="str">
        <f aca="false">IF(A13&lt;&gt;"",IFERROR(SUMIF('Trade Log'!$B$5:$B$1004,A13,'Trade Log'!$R$5:$R$1004)/SUMIF('Trade Log'!$B$5:$B$1004,A13,'Trade Log'!$Q$5:$Q$1004)-1,""),"")</f>
        <v/>
      </c>
      <c r="J13" s="73" t="str">
        <f aca="false">IF(A13&lt;&gt;"",SUMIF('Trade Log'!$B$5:$B$1004,A13,'Trade Log'!$V$5:$V$1004),"")</f>
        <v/>
      </c>
      <c r="K13" s="74" t="str">
        <f aca="false">IF(A13&lt;&gt;"",IFERROR(SUMIF('Trade Log'!$B$5:$B$1004,A13,'Trade Log'!$V$5:$V$1004)/SUMIF('Trade Log'!$B$5:$B$1004,A13,'Trade Log'!$Q$5:$Q$1004),""),"")</f>
        <v/>
      </c>
      <c r="L13" s="75" t="str">
        <f aca="false">IF(A13&lt;&gt;"",IFERROR(SUMIFS('Trade Log'!$L$5:$L$1004,'Trade Log'!$B$5:$B$1004,A13,'Trade Log'!$E$5:$E$1004,""),0),"")</f>
        <v/>
      </c>
      <c r="M13" s="76" t="str">
        <f aca="false">IF(A13&lt;&gt;"",IFERROR(INDEX('Trade Log'!$AB$5:$AB$1004,MATCH(2,1/('Trade Log'!$B$5:$B$1004=A13),1)),""),"")</f>
        <v/>
      </c>
    </row>
    <row r="14" customFormat="false" ht="19.5" hidden="false" customHeight="true" outlineLevel="0" collapsed="false">
      <c r="A14" s="77"/>
      <c r="B14" s="78" t="str">
        <f aca="false">IF(A14&lt;&gt;"",IFERROR(INDEX('Trade Log'!$G$5:$G$1004,MATCH(A14,'Trade Log'!$B$5:$B$1004,0)),""),"")</f>
        <v/>
      </c>
      <c r="C14" s="79" t="str">
        <f aca="false">IF(A14&lt;&gt;"",IFERROR(INDEX('Trade Log'!$I$5:$I$1004,MATCH(A14,'Trade Log'!$B$5:$B$1004,0)),""),"")</f>
        <v/>
      </c>
      <c r="D14" s="80" t="str">
        <f aca="false">IF(A14&lt;&gt;"",COUNTIF('Trade Log'!$B$5:$B$1004,A14),"")</f>
        <v/>
      </c>
      <c r="E14" s="80" t="str">
        <f aca="false">IF(A14&lt;&gt;"",SUMIF('Trade Log'!$B$5:$B$1004,A14,'Trade Log'!$L$5:$L$1004),"")</f>
        <v/>
      </c>
      <c r="F14" s="81" t="str">
        <f aca="false">IF(A14&lt;&gt;"",SUMIF('Trade Log'!$B$5:$B$1004,A14,'Trade Log'!$Q$5:$Q$1004),"")</f>
        <v/>
      </c>
      <c r="G14" s="81" t="str">
        <f aca="false">IF(A14&lt;&gt;"",SUMIF('Trade Log'!$B$5:$B$1004,A14,'Trade Log'!$R$5:$R$1004),"")</f>
        <v/>
      </c>
      <c r="H14" s="82" t="str">
        <f aca="false">IF(A14&lt;&gt;"",SUMIF('Trade Log'!$B$5:$B$1004,A14,'Trade Log'!$T$5:$T$1004),"")</f>
        <v/>
      </c>
      <c r="I14" s="83" t="str">
        <f aca="false">IF(A14&lt;&gt;"",IFERROR(SUMIF('Trade Log'!$B$5:$B$1004,A14,'Trade Log'!$R$5:$R$1004)/SUMIF('Trade Log'!$B$5:$B$1004,A14,'Trade Log'!$Q$5:$Q$1004)-1,""),"")</f>
        <v/>
      </c>
      <c r="J14" s="84" t="str">
        <f aca="false">IF(A14&lt;&gt;"",SUMIF('Trade Log'!$B$5:$B$1004,A14,'Trade Log'!$V$5:$V$1004),"")</f>
        <v/>
      </c>
      <c r="K14" s="85" t="str">
        <f aca="false">IF(A14&lt;&gt;"",IFERROR(SUMIF('Trade Log'!$B$5:$B$1004,A14,'Trade Log'!$V$5:$V$1004)/SUMIF('Trade Log'!$B$5:$B$1004,A14,'Trade Log'!$Q$5:$Q$1004),""),"")</f>
        <v/>
      </c>
      <c r="L14" s="86" t="str">
        <f aca="false">IF(A14&lt;&gt;"",IFERROR(SUMIFS('Trade Log'!$L$5:$L$1004,'Trade Log'!$B$5:$B$1004,A14,'Trade Log'!$E$5:$E$1004,""),0),"")</f>
        <v/>
      </c>
      <c r="M14" s="87" t="str">
        <f aca="false">IF(A14&lt;&gt;"",IFERROR(INDEX('Trade Log'!$AB$5:$AB$1004,MATCH(2,1/('Trade Log'!$B$5:$B$1004=A14),1)),""),"")</f>
        <v/>
      </c>
    </row>
    <row r="15" customFormat="false" ht="19.5" hidden="false" customHeight="true" outlineLevel="0" collapsed="false">
      <c r="A15" s="88"/>
      <c r="B15" s="68" t="str">
        <f aca="false">IF(A15&lt;&gt;"",IFERROR(INDEX('Trade Log'!$G$5:$G$1004,MATCH(A15,'Trade Log'!$B$5:$B$1004,0)),""),"")</f>
        <v/>
      </c>
      <c r="C15" s="69" t="str">
        <f aca="false">IF(A15&lt;&gt;"",IFERROR(INDEX('Trade Log'!$I$5:$I$1004,MATCH(A15,'Trade Log'!$B$5:$B$1004,0)),""),"")</f>
        <v/>
      </c>
      <c r="D15" s="67" t="str">
        <f aca="false">IF(A15&lt;&gt;"",COUNTIF('Trade Log'!$B$5:$B$1004,A15),"")</f>
        <v/>
      </c>
      <c r="E15" s="67" t="str">
        <f aca="false">IF(A15&lt;&gt;"",SUMIF('Trade Log'!$B$5:$B$1004,A15,'Trade Log'!$L$5:$L$1004),"")</f>
        <v/>
      </c>
      <c r="F15" s="70" t="str">
        <f aca="false">IF(A15&lt;&gt;"",SUMIF('Trade Log'!$B$5:$B$1004,A15,'Trade Log'!$Q$5:$Q$1004),"")</f>
        <v/>
      </c>
      <c r="G15" s="70" t="str">
        <f aca="false">IF(A15&lt;&gt;"",SUMIF('Trade Log'!$B$5:$B$1004,A15,'Trade Log'!$R$5:$R$1004),"")</f>
        <v/>
      </c>
      <c r="H15" s="71" t="str">
        <f aca="false">IF(A15&lt;&gt;"",SUMIF('Trade Log'!$B$5:$B$1004,A15,'Trade Log'!$T$5:$T$1004),"")</f>
        <v/>
      </c>
      <c r="I15" s="72" t="str">
        <f aca="false">IF(A15&lt;&gt;"",IFERROR(SUMIF('Trade Log'!$B$5:$B$1004,A15,'Trade Log'!$R$5:$R$1004)/SUMIF('Trade Log'!$B$5:$B$1004,A15,'Trade Log'!$Q$5:$Q$1004)-1,""),"")</f>
        <v/>
      </c>
      <c r="J15" s="73" t="str">
        <f aca="false">IF(A15&lt;&gt;"",SUMIF('Trade Log'!$B$5:$B$1004,A15,'Trade Log'!$V$5:$V$1004),"")</f>
        <v/>
      </c>
      <c r="K15" s="74" t="str">
        <f aca="false">IF(A15&lt;&gt;"",IFERROR(SUMIF('Trade Log'!$B$5:$B$1004,A15,'Trade Log'!$V$5:$V$1004)/SUMIF('Trade Log'!$B$5:$B$1004,A15,'Trade Log'!$Q$5:$Q$1004),""),"")</f>
        <v/>
      </c>
      <c r="L15" s="75" t="str">
        <f aca="false">IF(A15&lt;&gt;"",IFERROR(SUMIFS('Trade Log'!$L$5:$L$1004,'Trade Log'!$B$5:$B$1004,A15,'Trade Log'!$E$5:$E$1004,""),0),"")</f>
        <v/>
      </c>
      <c r="M15" s="76" t="str">
        <f aca="false">IF(A15&lt;&gt;"",IFERROR(INDEX('Trade Log'!$AB$5:$AB$1004,MATCH(2,1/('Trade Log'!$B$5:$B$1004=A15),1)),""),"")</f>
        <v/>
      </c>
    </row>
    <row r="16" customFormat="false" ht="19.5" hidden="false" customHeight="true" outlineLevel="0" collapsed="false">
      <c r="A16" s="77"/>
      <c r="B16" s="78" t="str">
        <f aca="false">IF(A16&lt;&gt;"",IFERROR(INDEX('Trade Log'!$G$5:$G$1004,MATCH(A16,'Trade Log'!$B$5:$B$1004,0)),""),"")</f>
        <v/>
      </c>
      <c r="C16" s="79" t="str">
        <f aca="false">IF(A16&lt;&gt;"",IFERROR(INDEX('Trade Log'!$I$5:$I$1004,MATCH(A16,'Trade Log'!$B$5:$B$1004,0)),""),"")</f>
        <v/>
      </c>
      <c r="D16" s="80" t="str">
        <f aca="false">IF(A16&lt;&gt;"",COUNTIF('Trade Log'!$B$5:$B$1004,A16),"")</f>
        <v/>
      </c>
      <c r="E16" s="80" t="str">
        <f aca="false">IF(A16&lt;&gt;"",SUMIF('Trade Log'!$B$5:$B$1004,A16,'Trade Log'!$L$5:$L$1004),"")</f>
        <v/>
      </c>
      <c r="F16" s="81" t="str">
        <f aca="false">IF(A16&lt;&gt;"",SUMIF('Trade Log'!$B$5:$B$1004,A16,'Trade Log'!$Q$5:$Q$1004),"")</f>
        <v/>
      </c>
      <c r="G16" s="81" t="str">
        <f aca="false">IF(A16&lt;&gt;"",SUMIF('Trade Log'!$B$5:$B$1004,A16,'Trade Log'!$R$5:$R$1004),"")</f>
        <v/>
      </c>
      <c r="H16" s="82" t="str">
        <f aca="false">IF(A16&lt;&gt;"",SUMIF('Trade Log'!$B$5:$B$1004,A16,'Trade Log'!$T$5:$T$1004),"")</f>
        <v/>
      </c>
      <c r="I16" s="83" t="str">
        <f aca="false">IF(A16&lt;&gt;"",IFERROR(SUMIF('Trade Log'!$B$5:$B$1004,A16,'Trade Log'!$R$5:$R$1004)/SUMIF('Trade Log'!$B$5:$B$1004,A16,'Trade Log'!$Q$5:$Q$1004)-1,""),"")</f>
        <v/>
      </c>
      <c r="J16" s="84" t="str">
        <f aca="false">IF(A16&lt;&gt;"",SUMIF('Trade Log'!$B$5:$B$1004,A16,'Trade Log'!$V$5:$V$1004),"")</f>
        <v/>
      </c>
      <c r="K16" s="85" t="str">
        <f aca="false">IF(A16&lt;&gt;"",IFERROR(SUMIF('Trade Log'!$B$5:$B$1004,A16,'Trade Log'!$V$5:$V$1004)/SUMIF('Trade Log'!$B$5:$B$1004,A16,'Trade Log'!$Q$5:$Q$1004),""),"")</f>
        <v/>
      </c>
      <c r="L16" s="86" t="str">
        <f aca="false">IF(A16&lt;&gt;"",IFERROR(SUMIFS('Trade Log'!$L$5:$L$1004,'Trade Log'!$B$5:$B$1004,A16,'Trade Log'!$E$5:$E$1004,""),0),"")</f>
        <v/>
      </c>
      <c r="M16" s="87" t="str">
        <f aca="false">IF(A16&lt;&gt;"",IFERROR(INDEX('Trade Log'!$AB$5:$AB$1004,MATCH(2,1/('Trade Log'!$B$5:$B$1004=A16),1)),""),"")</f>
        <v/>
      </c>
    </row>
    <row r="17" customFormat="false" ht="19.5" hidden="false" customHeight="true" outlineLevel="0" collapsed="false">
      <c r="A17" s="88"/>
      <c r="B17" s="68" t="str">
        <f aca="false">IF(A17&lt;&gt;"",IFERROR(INDEX('Trade Log'!$G$5:$G$1004,MATCH(A17,'Trade Log'!$B$5:$B$1004,0)),""),"")</f>
        <v/>
      </c>
      <c r="C17" s="69" t="str">
        <f aca="false">IF(A17&lt;&gt;"",IFERROR(INDEX('Trade Log'!$I$5:$I$1004,MATCH(A17,'Trade Log'!$B$5:$B$1004,0)),""),"")</f>
        <v/>
      </c>
      <c r="D17" s="67" t="str">
        <f aca="false">IF(A17&lt;&gt;"",COUNTIF('Trade Log'!$B$5:$B$1004,A17),"")</f>
        <v/>
      </c>
      <c r="E17" s="67" t="str">
        <f aca="false">IF(A17&lt;&gt;"",SUMIF('Trade Log'!$B$5:$B$1004,A17,'Trade Log'!$L$5:$L$1004),"")</f>
        <v/>
      </c>
      <c r="F17" s="70" t="str">
        <f aca="false">IF(A17&lt;&gt;"",SUMIF('Trade Log'!$B$5:$B$1004,A17,'Trade Log'!$Q$5:$Q$1004),"")</f>
        <v/>
      </c>
      <c r="G17" s="70" t="str">
        <f aca="false">IF(A17&lt;&gt;"",SUMIF('Trade Log'!$B$5:$B$1004,A17,'Trade Log'!$R$5:$R$1004),"")</f>
        <v/>
      </c>
      <c r="H17" s="71" t="str">
        <f aca="false">IF(A17&lt;&gt;"",SUMIF('Trade Log'!$B$5:$B$1004,A17,'Trade Log'!$T$5:$T$1004),"")</f>
        <v/>
      </c>
      <c r="I17" s="72" t="str">
        <f aca="false">IF(A17&lt;&gt;"",IFERROR(SUMIF('Trade Log'!$B$5:$B$1004,A17,'Trade Log'!$R$5:$R$1004)/SUMIF('Trade Log'!$B$5:$B$1004,A17,'Trade Log'!$Q$5:$Q$1004)-1,""),"")</f>
        <v/>
      </c>
      <c r="J17" s="73" t="str">
        <f aca="false">IF(A17&lt;&gt;"",SUMIF('Trade Log'!$B$5:$B$1004,A17,'Trade Log'!$V$5:$V$1004),"")</f>
        <v/>
      </c>
      <c r="K17" s="74" t="str">
        <f aca="false">IF(A17&lt;&gt;"",IFERROR(SUMIF('Trade Log'!$B$5:$B$1004,A17,'Trade Log'!$V$5:$V$1004)/SUMIF('Trade Log'!$B$5:$B$1004,A17,'Trade Log'!$Q$5:$Q$1004),""),"")</f>
        <v/>
      </c>
      <c r="L17" s="75" t="str">
        <f aca="false">IF(A17&lt;&gt;"",IFERROR(SUMIFS('Trade Log'!$L$5:$L$1004,'Trade Log'!$B$5:$B$1004,A17,'Trade Log'!$E$5:$E$1004,""),0),"")</f>
        <v/>
      </c>
      <c r="M17" s="76" t="str">
        <f aca="false">IF(A17&lt;&gt;"",IFERROR(INDEX('Trade Log'!$AB$5:$AB$1004,MATCH(2,1/('Trade Log'!$B$5:$B$1004=A17),1)),""),"")</f>
        <v/>
      </c>
    </row>
    <row r="18" customFormat="false" ht="19.5" hidden="false" customHeight="true" outlineLevel="0" collapsed="false">
      <c r="A18" s="77"/>
      <c r="B18" s="78" t="str">
        <f aca="false">IF(A18&lt;&gt;"",IFERROR(INDEX('Trade Log'!$G$5:$G$1004,MATCH(A18,'Trade Log'!$B$5:$B$1004,0)),""),"")</f>
        <v/>
      </c>
      <c r="C18" s="79" t="str">
        <f aca="false">IF(A18&lt;&gt;"",IFERROR(INDEX('Trade Log'!$I$5:$I$1004,MATCH(A18,'Trade Log'!$B$5:$B$1004,0)),""),"")</f>
        <v/>
      </c>
      <c r="D18" s="80" t="str">
        <f aca="false">IF(A18&lt;&gt;"",COUNTIF('Trade Log'!$B$5:$B$1004,A18),"")</f>
        <v/>
      </c>
      <c r="E18" s="80" t="str">
        <f aca="false">IF(A18&lt;&gt;"",SUMIF('Trade Log'!$B$5:$B$1004,A18,'Trade Log'!$L$5:$L$1004),"")</f>
        <v/>
      </c>
      <c r="F18" s="81" t="str">
        <f aca="false">IF(A18&lt;&gt;"",SUMIF('Trade Log'!$B$5:$B$1004,A18,'Trade Log'!$Q$5:$Q$1004),"")</f>
        <v/>
      </c>
      <c r="G18" s="81" t="str">
        <f aca="false">IF(A18&lt;&gt;"",SUMIF('Trade Log'!$B$5:$B$1004,A18,'Trade Log'!$R$5:$R$1004),"")</f>
        <v/>
      </c>
      <c r="H18" s="82" t="str">
        <f aca="false">IF(A18&lt;&gt;"",SUMIF('Trade Log'!$B$5:$B$1004,A18,'Trade Log'!$T$5:$T$1004),"")</f>
        <v/>
      </c>
      <c r="I18" s="83" t="str">
        <f aca="false">IF(A18&lt;&gt;"",IFERROR(SUMIF('Trade Log'!$B$5:$B$1004,A18,'Trade Log'!$R$5:$R$1004)/SUMIF('Trade Log'!$B$5:$B$1004,A18,'Trade Log'!$Q$5:$Q$1004)-1,""),"")</f>
        <v/>
      </c>
      <c r="J18" s="84" t="str">
        <f aca="false">IF(A18&lt;&gt;"",SUMIF('Trade Log'!$B$5:$B$1004,A18,'Trade Log'!$V$5:$V$1004),"")</f>
        <v/>
      </c>
      <c r="K18" s="85" t="str">
        <f aca="false">IF(A18&lt;&gt;"",IFERROR(SUMIF('Trade Log'!$B$5:$B$1004,A18,'Trade Log'!$V$5:$V$1004)/SUMIF('Trade Log'!$B$5:$B$1004,A18,'Trade Log'!$Q$5:$Q$1004),""),"")</f>
        <v/>
      </c>
      <c r="L18" s="86" t="str">
        <f aca="false">IF(A18&lt;&gt;"",IFERROR(SUMIFS('Trade Log'!$L$5:$L$1004,'Trade Log'!$B$5:$B$1004,A18,'Trade Log'!$E$5:$E$1004,""),0),"")</f>
        <v/>
      </c>
      <c r="M18" s="87" t="str">
        <f aca="false">IF(A18&lt;&gt;"",IFERROR(INDEX('Trade Log'!$AB$5:$AB$1004,MATCH(2,1/('Trade Log'!$B$5:$B$1004=A18),1)),""),"")</f>
        <v/>
      </c>
    </row>
    <row r="19" customFormat="false" ht="19.5" hidden="false" customHeight="true" outlineLevel="0" collapsed="false">
      <c r="A19" s="88"/>
      <c r="B19" s="68" t="str">
        <f aca="false">IF(A19&lt;&gt;"",IFERROR(INDEX('Trade Log'!$G$5:$G$1004,MATCH(A19,'Trade Log'!$B$5:$B$1004,0)),""),"")</f>
        <v/>
      </c>
      <c r="C19" s="69" t="str">
        <f aca="false">IF(A19&lt;&gt;"",IFERROR(INDEX('Trade Log'!$I$5:$I$1004,MATCH(A19,'Trade Log'!$B$5:$B$1004,0)),""),"")</f>
        <v/>
      </c>
      <c r="D19" s="67" t="str">
        <f aca="false">IF(A19&lt;&gt;"",COUNTIF('Trade Log'!$B$5:$B$1004,A19),"")</f>
        <v/>
      </c>
      <c r="E19" s="67" t="str">
        <f aca="false">IF(A19&lt;&gt;"",SUMIF('Trade Log'!$B$5:$B$1004,A19,'Trade Log'!$L$5:$L$1004),"")</f>
        <v/>
      </c>
      <c r="F19" s="70" t="str">
        <f aca="false">IF(A19&lt;&gt;"",SUMIF('Trade Log'!$B$5:$B$1004,A19,'Trade Log'!$Q$5:$Q$1004),"")</f>
        <v/>
      </c>
      <c r="G19" s="70" t="str">
        <f aca="false">IF(A19&lt;&gt;"",SUMIF('Trade Log'!$B$5:$B$1004,A19,'Trade Log'!$R$5:$R$1004),"")</f>
        <v/>
      </c>
      <c r="H19" s="71" t="str">
        <f aca="false">IF(A19&lt;&gt;"",SUMIF('Trade Log'!$B$5:$B$1004,A19,'Trade Log'!$T$5:$T$1004),"")</f>
        <v/>
      </c>
      <c r="I19" s="72" t="str">
        <f aca="false">IF(A19&lt;&gt;"",IFERROR(SUMIF('Trade Log'!$B$5:$B$1004,A19,'Trade Log'!$R$5:$R$1004)/SUMIF('Trade Log'!$B$5:$B$1004,A19,'Trade Log'!$Q$5:$Q$1004)-1,""),"")</f>
        <v/>
      </c>
      <c r="J19" s="73" t="str">
        <f aca="false">IF(A19&lt;&gt;"",SUMIF('Trade Log'!$B$5:$B$1004,A19,'Trade Log'!$V$5:$V$1004),"")</f>
        <v/>
      </c>
      <c r="K19" s="74" t="str">
        <f aca="false">IF(A19&lt;&gt;"",IFERROR(SUMIF('Trade Log'!$B$5:$B$1004,A19,'Trade Log'!$V$5:$V$1004)/SUMIF('Trade Log'!$B$5:$B$1004,A19,'Trade Log'!$Q$5:$Q$1004),""),"")</f>
        <v/>
      </c>
      <c r="L19" s="75" t="str">
        <f aca="false">IF(A19&lt;&gt;"",IFERROR(SUMIFS('Trade Log'!$L$5:$L$1004,'Trade Log'!$B$5:$B$1004,A19,'Trade Log'!$E$5:$E$1004,""),0),"")</f>
        <v/>
      </c>
      <c r="M19" s="76" t="str">
        <f aca="false">IF(A19&lt;&gt;"",IFERROR(INDEX('Trade Log'!$AB$5:$AB$1004,MATCH(2,1/('Trade Log'!$B$5:$B$1004=A19),1)),""),"")</f>
        <v/>
      </c>
    </row>
    <row r="20" customFormat="false" ht="19.5" hidden="false" customHeight="true" outlineLevel="0" collapsed="false">
      <c r="A20" s="77"/>
      <c r="B20" s="78" t="str">
        <f aca="false">IF(A20&lt;&gt;"",IFERROR(INDEX('Trade Log'!$G$5:$G$1004,MATCH(A20,'Trade Log'!$B$5:$B$1004,0)),""),"")</f>
        <v/>
      </c>
      <c r="C20" s="79" t="str">
        <f aca="false">IF(A20&lt;&gt;"",IFERROR(INDEX('Trade Log'!$I$5:$I$1004,MATCH(A20,'Trade Log'!$B$5:$B$1004,0)),""),"")</f>
        <v/>
      </c>
      <c r="D20" s="80" t="str">
        <f aca="false">IF(A20&lt;&gt;"",COUNTIF('Trade Log'!$B$5:$B$1004,A20),"")</f>
        <v/>
      </c>
      <c r="E20" s="80" t="str">
        <f aca="false">IF(A20&lt;&gt;"",SUMIF('Trade Log'!$B$5:$B$1004,A20,'Trade Log'!$L$5:$L$1004),"")</f>
        <v/>
      </c>
      <c r="F20" s="81" t="str">
        <f aca="false">IF(A20&lt;&gt;"",SUMIF('Trade Log'!$B$5:$B$1004,A20,'Trade Log'!$Q$5:$Q$1004),"")</f>
        <v/>
      </c>
      <c r="G20" s="81" t="str">
        <f aca="false">IF(A20&lt;&gt;"",SUMIF('Trade Log'!$B$5:$B$1004,A20,'Trade Log'!$R$5:$R$1004),"")</f>
        <v/>
      </c>
      <c r="H20" s="82" t="str">
        <f aca="false">IF(A20&lt;&gt;"",SUMIF('Trade Log'!$B$5:$B$1004,A20,'Trade Log'!$T$5:$T$1004),"")</f>
        <v/>
      </c>
      <c r="I20" s="83" t="str">
        <f aca="false">IF(A20&lt;&gt;"",IFERROR(SUMIF('Trade Log'!$B$5:$B$1004,A20,'Trade Log'!$R$5:$R$1004)/SUMIF('Trade Log'!$B$5:$B$1004,A20,'Trade Log'!$Q$5:$Q$1004)-1,""),"")</f>
        <v/>
      </c>
      <c r="J20" s="84" t="str">
        <f aca="false">IF(A20&lt;&gt;"",SUMIF('Trade Log'!$B$5:$B$1004,A20,'Trade Log'!$V$5:$V$1004),"")</f>
        <v/>
      </c>
      <c r="K20" s="85" t="str">
        <f aca="false">IF(A20&lt;&gt;"",IFERROR(SUMIF('Trade Log'!$B$5:$B$1004,A20,'Trade Log'!$V$5:$V$1004)/SUMIF('Trade Log'!$B$5:$B$1004,A20,'Trade Log'!$Q$5:$Q$1004),""),"")</f>
        <v/>
      </c>
      <c r="L20" s="86" t="str">
        <f aca="false">IF(A20&lt;&gt;"",IFERROR(SUMIFS('Trade Log'!$L$5:$L$1004,'Trade Log'!$B$5:$B$1004,A20,'Trade Log'!$E$5:$E$1004,""),0),"")</f>
        <v/>
      </c>
      <c r="M20" s="87" t="str">
        <f aca="false">IF(A20&lt;&gt;"",IFERROR(INDEX('Trade Log'!$AB$5:$AB$1004,MATCH(2,1/('Trade Log'!$B$5:$B$1004=A20),1)),""),"")</f>
        <v/>
      </c>
    </row>
    <row r="21" customFormat="false" ht="19.5" hidden="false" customHeight="true" outlineLevel="0" collapsed="false">
      <c r="A21" s="88"/>
      <c r="B21" s="68" t="str">
        <f aca="false">IF(A21&lt;&gt;"",IFERROR(INDEX('Trade Log'!$G$5:$G$1004,MATCH(A21,'Trade Log'!$B$5:$B$1004,0)),""),"")</f>
        <v/>
      </c>
      <c r="C21" s="69" t="str">
        <f aca="false">IF(A21&lt;&gt;"",IFERROR(INDEX('Trade Log'!$I$5:$I$1004,MATCH(A21,'Trade Log'!$B$5:$B$1004,0)),""),"")</f>
        <v/>
      </c>
      <c r="D21" s="67" t="str">
        <f aca="false">IF(A21&lt;&gt;"",COUNTIF('Trade Log'!$B$5:$B$1004,A21),"")</f>
        <v/>
      </c>
      <c r="E21" s="67" t="str">
        <f aca="false">IF(A21&lt;&gt;"",SUMIF('Trade Log'!$B$5:$B$1004,A21,'Trade Log'!$L$5:$L$1004),"")</f>
        <v/>
      </c>
      <c r="F21" s="70" t="str">
        <f aca="false">IF(A21&lt;&gt;"",SUMIF('Trade Log'!$B$5:$B$1004,A21,'Trade Log'!$Q$5:$Q$1004),"")</f>
        <v/>
      </c>
      <c r="G21" s="70" t="str">
        <f aca="false">IF(A21&lt;&gt;"",SUMIF('Trade Log'!$B$5:$B$1004,A21,'Trade Log'!$R$5:$R$1004),"")</f>
        <v/>
      </c>
      <c r="H21" s="71" t="str">
        <f aca="false">IF(A21&lt;&gt;"",SUMIF('Trade Log'!$B$5:$B$1004,A21,'Trade Log'!$T$5:$T$1004),"")</f>
        <v/>
      </c>
      <c r="I21" s="72" t="str">
        <f aca="false">IF(A21&lt;&gt;"",IFERROR(SUMIF('Trade Log'!$B$5:$B$1004,A21,'Trade Log'!$R$5:$R$1004)/SUMIF('Trade Log'!$B$5:$B$1004,A21,'Trade Log'!$Q$5:$Q$1004)-1,""),"")</f>
        <v/>
      </c>
      <c r="J21" s="73" t="str">
        <f aca="false">IF(A21&lt;&gt;"",SUMIF('Trade Log'!$B$5:$B$1004,A21,'Trade Log'!$V$5:$V$1004),"")</f>
        <v/>
      </c>
      <c r="K21" s="74" t="str">
        <f aca="false">IF(A21&lt;&gt;"",IFERROR(SUMIF('Trade Log'!$B$5:$B$1004,A21,'Trade Log'!$V$5:$V$1004)/SUMIF('Trade Log'!$B$5:$B$1004,A21,'Trade Log'!$Q$5:$Q$1004),""),"")</f>
        <v/>
      </c>
      <c r="L21" s="75" t="str">
        <f aca="false">IF(A21&lt;&gt;"",IFERROR(SUMIFS('Trade Log'!$L$5:$L$1004,'Trade Log'!$B$5:$B$1004,A21,'Trade Log'!$E$5:$E$1004,""),0),"")</f>
        <v/>
      </c>
      <c r="M21" s="76" t="str">
        <f aca="false">IF(A21&lt;&gt;"",IFERROR(INDEX('Trade Log'!$AB$5:$AB$1004,MATCH(2,1/('Trade Log'!$B$5:$B$1004=A21),1)),""),"")</f>
        <v/>
      </c>
    </row>
    <row r="22" customFormat="false" ht="19.5" hidden="false" customHeight="true" outlineLevel="0" collapsed="false">
      <c r="A22" s="77"/>
      <c r="B22" s="78" t="str">
        <f aca="false">IF(A22&lt;&gt;"",IFERROR(INDEX('Trade Log'!$G$5:$G$1004,MATCH(A22,'Trade Log'!$B$5:$B$1004,0)),""),"")</f>
        <v/>
      </c>
      <c r="C22" s="79" t="str">
        <f aca="false">IF(A22&lt;&gt;"",IFERROR(INDEX('Trade Log'!$I$5:$I$1004,MATCH(A22,'Trade Log'!$B$5:$B$1004,0)),""),"")</f>
        <v/>
      </c>
      <c r="D22" s="80" t="str">
        <f aca="false">IF(A22&lt;&gt;"",COUNTIF('Trade Log'!$B$5:$B$1004,A22),"")</f>
        <v/>
      </c>
      <c r="E22" s="80" t="str">
        <f aca="false">IF(A22&lt;&gt;"",SUMIF('Trade Log'!$B$5:$B$1004,A22,'Trade Log'!$L$5:$L$1004),"")</f>
        <v/>
      </c>
      <c r="F22" s="81" t="str">
        <f aca="false">IF(A22&lt;&gt;"",SUMIF('Trade Log'!$B$5:$B$1004,A22,'Trade Log'!$Q$5:$Q$1004),"")</f>
        <v/>
      </c>
      <c r="G22" s="81" t="str">
        <f aca="false">IF(A22&lt;&gt;"",SUMIF('Trade Log'!$B$5:$B$1004,A22,'Trade Log'!$R$5:$R$1004),"")</f>
        <v/>
      </c>
      <c r="H22" s="82" t="str">
        <f aca="false">IF(A22&lt;&gt;"",SUMIF('Trade Log'!$B$5:$B$1004,A22,'Trade Log'!$T$5:$T$1004),"")</f>
        <v/>
      </c>
      <c r="I22" s="83" t="str">
        <f aca="false">IF(A22&lt;&gt;"",IFERROR(SUMIF('Trade Log'!$B$5:$B$1004,A22,'Trade Log'!$R$5:$R$1004)/SUMIF('Trade Log'!$B$5:$B$1004,A22,'Trade Log'!$Q$5:$Q$1004)-1,""),"")</f>
        <v/>
      </c>
      <c r="J22" s="84" t="str">
        <f aca="false">IF(A22&lt;&gt;"",SUMIF('Trade Log'!$B$5:$B$1004,A22,'Trade Log'!$V$5:$V$1004),"")</f>
        <v/>
      </c>
      <c r="K22" s="85" t="str">
        <f aca="false">IF(A22&lt;&gt;"",IFERROR(SUMIF('Trade Log'!$B$5:$B$1004,A22,'Trade Log'!$V$5:$V$1004)/SUMIF('Trade Log'!$B$5:$B$1004,A22,'Trade Log'!$Q$5:$Q$1004),""),"")</f>
        <v/>
      </c>
      <c r="L22" s="86" t="str">
        <f aca="false">IF(A22&lt;&gt;"",IFERROR(SUMIFS('Trade Log'!$L$5:$L$1004,'Trade Log'!$B$5:$B$1004,A22,'Trade Log'!$E$5:$E$1004,""),0),"")</f>
        <v/>
      </c>
      <c r="M22" s="87" t="str">
        <f aca="false">IF(A22&lt;&gt;"",IFERROR(INDEX('Trade Log'!$AB$5:$AB$1004,MATCH(2,1/('Trade Log'!$B$5:$B$1004=A22),1)),""),"")</f>
        <v/>
      </c>
    </row>
    <row r="23" customFormat="false" ht="19.5" hidden="false" customHeight="true" outlineLevel="0" collapsed="false">
      <c r="A23" s="88"/>
      <c r="B23" s="68" t="str">
        <f aca="false">IF(A23&lt;&gt;"",IFERROR(INDEX('Trade Log'!$G$5:$G$1004,MATCH(A23,'Trade Log'!$B$5:$B$1004,0)),""),"")</f>
        <v/>
      </c>
      <c r="C23" s="69" t="str">
        <f aca="false">IF(A23&lt;&gt;"",IFERROR(INDEX('Trade Log'!$I$5:$I$1004,MATCH(A23,'Trade Log'!$B$5:$B$1004,0)),""),"")</f>
        <v/>
      </c>
      <c r="D23" s="67" t="str">
        <f aca="false">IF(A23&lt;&gt;"",COUNTIF('Trade Log'!$B$5:$B$1004,A23),"")</f>
        <v/>
      </c>
      <c r="E23" s="67" t="str">
        <f aca="false">IF(A23&lt;&gt;"",SUMIF('Trade Log'!$B$5:$B$1004,A23,'Trade Log'!$L$5:$L$1004),"")</f>
        <v/>
      </c>
      <c r="F23" s="70" t="str">
        <f aca="false">IF(A23&lt;&gt;"",SUMIF('Trade Log'!$B$5:$B$1004,A23,'Trade Log'!$Q$5:$Q$1004),"")</f>
        <v/>
      </c>
      <c r="G23" s="70" t="str">
        <f aca="false">IF(A23&lt;&gt;"",SUMIF('Trade Log'!$B$5:$B$1004,A23,'Trade Log'!$R$5:$R$1004),"")</f>
        <v/>
      </c>
      <c r="H23" s="71" t="str">
        <f aca="false">IF(A23&lt;&gt;"",SUMIF('Trade Log'!$B$5:$B$1004,A23,'Trade Log'!$T$5:$T$1004),"")</f>
        <v/>
      </c>
      <c r="I23" s="72" t="str">
        <f aca="false">IF(A23&lt;&gt;"",IFERROR(SUMIF('Trade Log'!$B$5:$B$1004,A23,'Trade Log'!$R$5:$R$1004)/SUMIF('Trade Log'!$B$5:$B$1004,A23,'Trade Log'!$Q$5:$Q$1004)-1,""),"")</f>
        <v/>
      </c>
      <c r="J23" s="73" t="str">
        <f aca="false">IF(A23&lt;&gt;"",SUMIF('Trade Log'!$B$5:$B$1004,A23,'Trade Log'!$V$5:$V$1004),"")</f>
        <v/>
      </c>
      <c r="K23" s="74" t="str">
        <f aca="false">IF(A23&lt;&gt;"",IFERROR(SUMIF('Trade Log'!$B$5:$B$1004,A23,'Trade Log'!$V$5:$V$1004)/SUMIF('Trade Log'!$B$5:$B$1004,A23,'Trade Log'!$Q$5:$Q$1004),""),"")</f>
        <v/>
      </c>
      <c r="L23" s="75" t="str">
        <f aca="false">IF(A23&lt;&gt;"",IFERROR(SUMIFS('Trade Log'!$L$5:$L$1004,'Trade Log'!$B$5:$B$1004,A23,'Trade Log'!$E$5:$E$1004,""),0),"")</f>
        <v/>
      </c>
      <c r="M23" s="76" t="str">
        <f aca="false">IF(A23&lt;&gt;"",IFERROR(INDEX('Trade Log'!$AB$5:$AB$1004,MATCH(2,1/('Trade Log'!$B$5:$B$1004=A23),1)),""),"")</f>
        <v/>
      </c>
    </row>
    <row r="24" customFormat="false" ht="19.5" hidden="false" customHeight="true" outlineLevel="0" collapsed="false">
      <c r="A24" s="77"/>
      <c r="B24" s="78" t="str">
        <f aca="false">IF(A24&lt;&gt;"",IFERROR(INDEX('Trade Log'!$G$5:$G$1004,MATCH(A24,'Trade Log'!$B$5:$B$1004,0)),""),"")</f>
        <v/>
      </c>
      <c r="C24" s="79" t="str">
        <f aca="false">IF(A24&lt;&gt;"",IFERROR(INDEX('Trade Log'!$I$5:$I$1004,MATCH(A24,'Trade Log'!$B$5:$B$1004,0)),""),"")</f>
        <v/>
      </c>
      <c r="D24" s="80" t="str">
        <f aca="false">IF(A24&lt;&gt;"",COUNTIF('Trade Log'!$B$5:$B$1004,A24),"")</f>
        <v/>
      </c>
      <c r="E24" s="80" t="str">
        <f aca="false">IF(A24&lt;&gt;"",SUMIF('Trade Log'!$B$5:$B$1004,A24,'Trade Log'!$L$5:$L$1004),"")</f>
        <v/>
      </c>
      <c r="F24" s="81" t="str">
        <f aca="false">IF(A24&lt;&gt;"",SUMIF('Trade Log'!$B$5:$B$1004,A24,'Trade Log'!$Q$5:$Q$1004),"")</f>
        <v/>
      </c>
      <c r="G24" s="81" t="str">
        <f aca="false">IF(A24&lt;&gt;"",SUMIF('Trade Log'!$B$5:$B$1004,A24,'Trade Log'!$R$5:$R$1004),"")</f>
        <v/>
      </c>
      <c r="H24" s="82" t="str">
        <f aca="false">IF(A24&lt;&gt;"",SUMIF('Trade Log'!$B$5:$B$1004,A24,'Trade Log'!$T$5:$T$1004),"")</f>
        <v/>
      </c>
      <c r="I24" s="83" t="str">
        <f aca="false">IF(A24&lt;&gt;"",IFERROR(SUMIF('Trade Log'!$B$5:$B$1004,A24,'Trade Log'!$R$5:$R$1004)/SUMIF('Trade Log'!$B$5:$B$1004,A24,'Trade Log'!$Q$5:$Q$1004)-1,""),"")</f>
        <v/>
      </c>
      <c r="J24" s="84" t="str">
        <f aca="false">IF(A24&lt;&gt;"",SUMIF('Trade Log'!$B$5:$B$1004,A24,'Trade Log'!$V$5:$V$1004),"")</f>
        <v/>
      </c>
      <c r="K24" s="85" t="str">
        <f aca="false">IF(A24&lt;&gt;"",IFERROR(SUMIF('Trade Log'!$B$5:$B$1004,A24,'Trade Log'!$V$5:$V$1004)/SUMIF('Trade Log'!$B$5:$B$1004,A24,'Trade Log'!$Q$5:$Q$1004),""),"")</f>
        <v/>
      </c>
      <c r="L24" s="86" t="str">
        <f aca="false">IF(A24&lt;&gt;"",IFERROR(SUMIFS('Trade Log'!$L$5:$L$1004,'Trade Log'!$B$5:$B$1004,A24,'Trade Log'!$E$5:$E$1004,""),0),"")</f>
        <v/>
      </c>
      <c r="M24" s="87" t="str">
        <f aca="false">IF(A24&lt;&gt;"",IFERROR(INDEX('Trade Log'!$AB$5:$AB$1004,MATCH(2,1/('Trade Log'!$B$5:$B$1004=A24),1)),""),"")</f>
        <v/>
      </c>
    </row>
    <row r="25" customFormat="false" ht="19.5" hidden="false" customHeight="true" outlineLevel="0" collapsed="false">
      <c r="A25" s="88"/>
      <c r="B25" s="68" t="str">
        <f aca="false">IF(A25&lt;&gt;"",IFERROR(INDEX('Trade Log'!$G$5:$G$1004,MATCH(A25,'Trade Log'!$B$5:$B$1004,0)),""),"")</f>
        <v/>
      </c>
      <c r="C25" s="69" t="str">
        <f aca="false">IF(A25&lt;&gt;"",IFERROR(INDEX('Trade Log'!$I$5:$I$1004,MATCH(A25,'Trade Log'!$B$5:$B$1004,0)),""),"")</f>
        <v/>
      </c>
      <c r="D25" s="67" t="str">
        <f aca="false">IF(A25&lt;&gt;"",COUNTIF('Trade Log'!$B$5:$B$1004,A25),"")</f>
        <v/>
      </c>
      <c r="E25" s="67" t="str">
        <f aca="false">IF(A25&lt;&gt;"",SUMIF('Trade Log'!$B$5:$B$1004,A25,'Trade Log'!$L$5:$L$1004),"")</f>
        <v/>
      </c>
      <c r="F25" s="70" t="str">
        <f aca="false">IF(A25&lt;&gt;"",SUMIF('Trade Log'!$B$5:$B$1004,A25,'Trade Log'!$Q$5:$Q$1004),"")</f>
        <v/>
      </c>
      <c r="G25" s="70" t="str">
        <f aca="false">IF(A25&lt;&gt;"",SUMIF('Trade Log'!$B$5:$B$1004,A25,'Trade Log'!$R$5:$R$1004),"")</f>
        <v/>
      </c>
      <c r="H25" s="71" t="str">
        <f aca="false">IF(A25&lt;&gt;"",SUMIF('Trade Log'!$B$5:$B$1004,A25,'Trade Log'!$T$5:$T$1004),"")</f>
        <v/>
      </c>
      <c r="I25" s="72" t="str">
        <f aca="false">IF(A25&lt;&gt;"",IFERROR(SUMIF('Trade Log'!$B$5:$B$1004,A25,'Trade Log'!$R$5:$R$1004)/SUMIF('Trade Log'!$B$5:$B$1004,A25,'Trade Log'!$Q$5:$Q$1004)-1,""),"")</f>
        <v/>
      </c>
      <c r="J25" s="73" t="str">
        <f aca="false">IF(A25&lt;&gt;"",SUMIF('Trade Log'!$B$5:$B$1004,A25,'Trade Log'!$V$5:$V$1004),"")</f>
        <v/>
      </c>
      <c r="K25" s="74" t="str">
        <f aca="false">IF(A25&lt;&gt;"",IFERROR(SUMIF('Trade Log'!$B$5:$B$1004,A25,'Trade Log'!$V$5:$V$1004)/SUMIF('Trade Log'!$B$5:$B$1004,A25,'Trade Log'!$Q$5:$Q$1004),""),"")</f>
        <v/>
      </c>
      <c r="L25" s="75" t="str">
        <f aca="false">IF(A25&lt;&gt;"",IFERROR(SUMIFS('Trade Log'!$L$5:$L$1004,'Trade Log'!$B$5:$B$1004,A25,'Trade Log'!$E$5:$E$1004,""),0),"")</f>
        <v/>
      </c>
      <c r="M25" s="76" t="str">
        <f aca="false">IF(A25&lt;&gt;"",IFERROR(INDEX('Trade Log'!$AB$5:$AB$1004,MATCH(2,1/('Trade Log'!$B$5:$B$1004=A25),1)),""),"")</f>
        <v/>
      </c>
    </row>
    <row r="26" customFormat="false" ht="19.5" hidden="false" customHeight="true" outlineLevel="0" collapsed="false">
      <c r="A26" s="77"/>
      <c r="B26" s="78" t="str">
        <f aca="false">IF(A26&lt;&gt;"",IFERROR(INDEX('Trade Log'!$G$5:$G$1004,MATCH(A26,'Trade Log'!$B$5:$B$1004,0)),""),"")</f>
        <v/>
      </c>
      <c r="C26" s="79" t="str">
        <f aca="false">IF(A26&lt;&gt;"",IFERROR(INDEX('Trade Log'!$I$5:$I$1004,MATCH(A26,'Trade Log'!$B$5:$B$1004,0)),""),"")</f>
        <v/>
      </c>
      <c r="D26" s="80" t="str">
        <f aca="false">IF(A26&lt;&gt;"",COUNTIF('Trade Log'!$B$5:$B$1004,A26),"")</f>
        <v/>
      </c>
      <c r="E26" s="80" t="str">
        <f aca="false">IF(A26&lt;&gt;"",SUMIF('Trade Log'!$B$5:$B$1004,A26,'Trade Log'!$L$5:$L$1004),"")</f>
        <v/>
      </c>
      <c r="F26" s="81" t="str">
        <f aca="false">IF(A26&lt;&gt;"",SUMIF('Trade Log'!$B$5:$B$1004,A26,'Trade Log'!$Q$5:$Q$1004),"")</f>
        <v/>
      </c>
      <c r="G26" s="81" t="str">
        <f aca="false">IF(A26&lt;&gt;"",SUMIF('Trade Log'!$B$5:$B$1004,A26,'Trade Log'!$R$5:$R$1004),"")</f>
        <v/>
      </c>
      <c r="H26" s="82" t="str">
        <f aca="false">IF(A26&lt;&gt;"",SUMIF('Trade Log'!$B$5:$B$1004,A26,'Trade Log'!$T$5:$T$1004),"")</f>
        <v/>
      </c>
      <c r="I26" s="83" t="str">
        <f aca="false">IF(A26&lt;&gt;"",IFERROR(SUMIF('Trade Log'!$B$5:$B$1004,A26,'Trade Log'!$R$5:$R$1004)/SUMIF('Trade Log'!$B$5:$B$1004,A26,'Trade Log'!$Q$5:$Q$1004)-1,""),"")</f>
        <v/>
      </c>
      <c r="J26" s="84" t="str">
        <f aca="false">IF(A26&lt;&gt;"",SUMIF('Trade Log'!$B$5:$B$1004,A26,'Trade Log'!$V$5:$V$1004),"")</f>
        <v/>
      </c>
      <c r="K26" s="85" t="str">
        <f aca="false">IF(A26&lt;&gt;"",IFERROR(SUMIF('Trade Log'!$B$5:$B$1004,A26,'Trade Log'!$V$5:$V$1004)/SUMIF('Trade Log'!$B$5:$B$1004,A26,'Trade Log'!$Q$5:$Q$1004),""),"")</f>
        <v/>
      </c>
      <c r="L26" s="86" t="str">
        <f aca="false">IF(A26&lt;&gt;"",IFERROR(SUMIFS('Trade Log'!$L$5:$L$1004,'Trade Log'!$B$5:$B$1004,A26,'Trade Log'!$E$5:$E$1004,""),0),"")</f>
        <v/>
      </c>
      <c r="M26" s="87" t="str">
        <f aca="false">IF(A26&lt;&gt;"",IFERROR(INDEX('Trade Log'!$AB$5:$AB$1004,MATCH(2,1/('Trade Log'!$B$5:$B$1004=A26),1)),""),"")</f>
        <v/>
      </c>
    </row>
    <row r="27" customFormat="false" ht="19.5" hidden="false" customHeight="true" outlineLevel="0" collapsed="false">
      <c r="A27" s="88"/>
      <c r="B27" s="68" t="str">
        <f aca="false">IF(A27&lt;&gt;"",IFERROR(INDEX('Trade Log'!$G$5:$G$1004,MATCH(A27,'Trade Log'!$B$5:$B$1004,0)),""),"")</f>
        <v/>
      </c>
      <c r="C27" s="69" t="str">
        <f aca="false">IF(A27&lt;&gt;"",IFERROR(INDEX('Trade Log'!$I$5:$I$1004,MATCH(A27,'Trade Log'!$B$5:$B$1004,0)),""),"")</f>
        <v/>
      </c>
      <c r="D27" s="67" t="str">
        <f aca="false">IF(A27&lt;&gt;"",COUNTIF('Trade Log'!$B$5:$B$1004,A27),"")</f>
        <v/>
      </c>
      <c r="E27" s="67" t="str">
        <f aca="false">IF(A27&lt;&gt;"",SUMIF('Trade Log'!$B$5:$B$1004,A27,'Trade Log'!$L$5:$L$1004),"")</f>
        <v/>
      </c>
      <c r="F27" s="70" t="str">
        <f aca="false">IF(A27&lt;&gt;"",SUMIF('Trade Log'!$B$5:$B$1004,A27,'Trade Log'!$Q$5:$Q$1004),"")</f>
        <v/>
      </c>
      <c r="G27" s="70" t="str">
        <f aca="false">IF(A27&lt;&gt;"",SUMIF('Trade Log'!$B$5:$B$1004,A27,'Trade Log'!$R$5:$R$1004),"")</f>
        <v/>
      </c>
      <c r="H27" s="71" t="str">
        <f aca="false">IF(A27&lt;&gt;"",SUMIF('Trade Log'!$B$5:$B$1004,A27,'Trade Log'!$T$5:$T$1004),"")</f>
        <v/>
      </c>
      <c r="I27" s="72" t="str">
        <f aca="false">IF(A27&lt;&gt;"",IFERROR(SUMIF('Trade Log'!$B$5:$B$1004,A27,'Trade Log'!$R$5:$R$1004)/SUMIF('Trade Log'!$B$5:$B$1004,A27,'Trade Log'!$Q$5:$Q$1004)-1,""),"")</f>
        <v/>
      </c>
      <c r="J27" s="73" t="str">
        <f aca="false">IF(A27&lt;&gt;"",SUMIF('Trade Log'!$B$5:$B$1004,A27,'Trade Log'!$V$5:$V$1004),"")</f>
        <v/>
      </c>
      <c r="K27" s="74" t="str">
        <f aca="false">IF(A27&lt;&gt;"",IFERROR(SUMIF('Trade Log'!$B$5:$B$1004,A27,'Trade Log'!$V$5:$V$1004)/SUMIF('Trade Log'!$B$5:$B$1004,A27,'Trade Log'!$Q$5:$Q$1004),""),"")</f>
        <v/>
      </c>
      <c r="L27" s="75" t="str">
        <f aca="false">IF(A27&lt;&gt;"",IFERROR(SUMIFS('Trade Log'!$L$5:$L$1004,'Trade Log'!$B$5:$B$1004,A27,'Trade Log'!$E$5:$E$1004,""),0),"")</f>
        <v/>
      </c>
      <c r="M27" s="76" t="str">
        <f aca="false">IF(A27&lt;&gt;"",IFERROR(INDEX('Trade Log'!$AB$5:$AB$1004,MATCH(2,1/('Trade Log'!$B$5:$B$1004=A27),1)),""),"")</f>
        <v/>
      </c>
    </row>
    <row r="28" customFormat="false" ht="19.5" hidden="false" customHeight="true" outlineLevel="0" collapsed="false">
      <c r="A28" s="77"/>
      <c r="B28" s="78" t="str">
        <f aca="false">IF(A28&lt;&gt;"",IFERROR(INDEX('Trade Log'!$G$5:$G$1004,MATCH(A28,'Trade Log'!$B$5:$B$1004,0)),""),"")</f>
        <v/>
      </c>
      <c r="C28" s="79" t="str">
        <f aca="false">IF(A28&lt;&gt;"",IFERROR(INDEX('Trade Log'!$I$5:$I$1004,MATCH(A28,'Trade Log'!$B$5:$B$1004,0)),""),"")</f>
        <v/>
      </c>
      <c r="D28" s="80" t="str">
        <f aca="false">IF(A28&lt;&gt;"",COUNTIF('Trade Log'!$B$5:$B$1004,A28),"")</f>
        <v/>
      </c>
      <c r="E28" s="80" t="str">
        <f aca="false">IF(A28&lt;&gt;"",SUMIF('Trade Log'!$B$5:$B$1004,A28,'Trade Log'!$L$5:$L$1004),"")</f>
        <v/>
      </c>
      <c r="F28" s="81" t="str">
        <f aca="false">IF(A28&lt;&gt;"",SUMIF('Trade Log'!$B$5:$B$1004,A28,'Trade Log'!$Q$5:$Q$1004),"")</f>
        <v/>
      </c>
      <c r="G28" s="81" t="str">
        <f aca="false">IF(A28&lt;&gt;"",SUMIF('Trade Log'!$B$5:$B$1004,A28,'Trade Log'!$R$5:$R$1004),"")</f>
        <v/>
      </c>
      <c r="H28" s="82" t="str">
        <f aca="false">IF(A28&lt;&gt;"",SUMIF('Trade Log'!$B$5:$B$1004,A28,'Trade Log'!$T$5:$T$1004),"")</f>
        <v/>
      </c>
      <c r="I28" s="83" t="str">
        <f aca="false">IF(A28&lt;&gt;"",IFERROR(SUMIF('Trade Log'!$B$5:$B$1004,A28,'Trade Log'!$R$5:$R$1004)/SUMIF('Trade Log'!$B$5:$B$1004,A28,'Trade Log'!$Q$5:$Q$1004)-1,""),"")</f>
        <v/>
      </c>
      <c r="J28" s="84" t="str">
        <f aca="false">IF(A28&lt;&gt;"",SUMIF('Trade Log'!$B$5:$B$1004,A28,'Trade Log'!$V$5:$V$1004),"")</f>
        <v/>
      </c>
      <c r="K28" s="85" t="str">
        <f aca="false">IF(A28&lt;&gt;"",IFERROR(SUMIF('Trade Log'!$B$5:$B$1004,A28,'Trade Log'!$V$5:$V$1004)/SUMIF('Trade Log'!$B$5:$B$1004,A28,'Trade Log'!$Q$5:$Q$1004),""),"")</f>
        <v/>
      </c>
      <c r="L28" s="86" t="str">
        <f aca="false">IF(A28&lt;&gt;"",IFERROR(SUMIFS('Trade Log'!$L$5:$L$1004,'Trade Log'!$B$5:$B$1004,A28,'Trade Log'!$E$5:$E$1004,""),0),"")</f>
        <v/>
      </c>
      <c r="M28" s="87" t="str">
        <f aca="false">IF(A28&lt;&gt;"",IFERROR(INDEX('Trade Log'!$AB$5:$AB$1004,MATCH(2,1/('Trade Log'!$B$5:$B$1004=A28),1)),""),"")</f>
        <v/>
      </c>
    </row>
    <row r="29" customFormat="false" ht="19.5" hidden="false" customHeight="true" outlineLevel="0" collapsed="false">
      <c r="A29" s="88"/>
      <c r="B29" s="68" t="str">
        <f aca="false">IF(A29&lt;&gt;"",IFERROR(INDEX('Trade Log'!$G$5:$G$1004,MATCH(A29,'Trade Log'!$B$5:$B$1004,0)),""),"")</f>
        <v/>
      </c>
      <c r="C29" s="69" t="str">
        <f aca="false">IF(A29&lt;&gt;"",IFERROR(INDEX('Trade Log'!$I$5:$I$1004,MATCH(A29,'Trade Log'!$B$5:$B$1004,0)),""),"")</f>
        <v/>
      </c>
      <c r="D29" s="67" t="str">
        <f aca="false">IF(A29&lt;&gt;"",COUNTIF('Trade Log'!$B$5:$B$1004,A29),"")</f>
        <v/>
      </c>
      <c r="E29" s="67" t="str">
        <f aca="false">IF(A29&lt;&gt;"",SUMIF('Trade Log'!$B$5:$B$1004,A29,'Trade Log'!$L$5:$L$1004),"")</f>
        <v/>
      </c>
      <c r="F29" s="70" t="str">
        <f aca="false">IF(A29&lt;&gt;"",SUMIF('Trade Log'!$B$5:$B$1004,A29,'Trade Log'!$Q$5:$Q$1004),"")</f>
        <v/>
      </c>
      <c r="G29" s="70" t="str">
        <f aca="false">IF(A29&lt;&gt;"",SUMIF('Trade Log'!$B$5:$B$1004,A29,'Trade Log'!$R$5:$R$1004),"")</f>
        <v/>
      </c>
      <c r="H29" s="71" t="str">
        <f aca="false">IF(A29&lt;&gt;"",SUMIF('Trade Log'!$B$5:$B$1004,A29,'Trade Log'!$T$5:$T$1004),"")</f>
        <v/>
      </c>
      <c r="I29" s="72" t="str">
        <f aca="false">IF(A29&lt;&gt;"",IFERROR(SUMIF('Trade Log'!$B$5:$B$1004,A29,'Trade Log'!$R$5:$R$1004)/SUMIF('Trade Log'!$B$5:$B$1004,A29,'Trade Log'!$Q$5:$Q$1004)-1,""),"")</f>
        <v/>
      </c>
      <c r="J29" s="73" t="str">
        <f aca="false">IF(A29&lt;&gt;"",SUMIF('Trade Log'!$B$5:$B$1004,A29,'Trade Log'!$V$5:$V$1004),"")</f>
        <v/>
      </c>
      <c r="K29" s="74" t="str">
        <f aca="false">IF(A29&lt;&gt;"",IFERROR(SUMIF('Trade Log'!$B$5:$B$1004,A29,'Trade Log'!$V$5:$V$1004)/SUMIF('Trade Log'!$B$5:$B$1004,A29,'Trade Log'!$Q$5:$Q$1004),""),"")</f>
        <v/>
      </c>
      <c r="L29" s="75" t="str">
        <f aca="false">IF(A29&lt;&gt;"",IFERROR(SUMIFS('Trade Log'!$L$5:$L$1004,'Trade Log'!$B$5:$B$1004,A29,'Trade Log'!$E$5:$E$1004,""),0),"")</f>
        <v/>
      </c>
      <c r="M29" s="76" t="str">
        <f aca="false">IF(A29&lt;&gt;"",IFERROR(INDEX('Trade Log'!$AB$5:$AB$1004,MATCH(2,1/('Trade Log'!$B$5:$B$1004=A29),1)),""),"")</f>
        <v/>
      </c>
    </row>
    <row r="30" customFormat="false" ht="19.5" hidden="false" customHeight="true" outlineLevel="0" collapsed="false">
      <c r="A30" s="77"/>
      <c r="B30" s="78" t="str">
        <f aca="false">IF(A30&lt;&gt;"",IFERROR(INDEX('Trade Log'!$G$5:$G$1004,MATCH(A30,'Trade Log'!$B$5:$B$1004,0)),""),"")</f>
        <v/>
      </c>
      <c r="C30" s="79" t="str">
        <f aca="false">IF(A30&lt;&gt;"",IFERROR(INDEX('Trade Log'!$I$5:$I$1004,MATCH(A30,'Trade Log'!$B$5:$B$1004,0)),""),"")</f>
        <v/>
      </c>
      <c r="D30" s="80" t="str">
        <f aca="false">IF(A30&lt;&gt;"",COUNTIF('Trade Log'!$B$5:$B$1004,A30),"")</f>
        <v/>
      </c>
      <c r="E30" s="80" t="str">
        <f aca="false">IF(A30&lt;&gt;"",SUMIF('Trade Log'!$B$5:$B$1004,A30,'Trade Log'!$L$5:$L$1004),"")</f>
        <v/>
      </c>
      <c r="F30" s="81" t="str">
        <f aca="false">IF(A30&lt;&gt;"",SUMIF('Trade Log'!$B$5:$B$1004,A30,'Trade Log'!$Q$5:$Q$1004),"")</f>
        <v/>
      </c>
      <c r="G30" s="81" t="str">
        <f aca="false">IF(A30&lt;&gt;"",SUMIF('Trade Log'!$B$5:$B$1004,A30,'Trade Log'!$R$5:$R$1004),"")</f>
        <v/>
      </c>
      <c r="H30" s="82" t="str">
        <f aca="false">IF(A30&lt;&gt;"",SUMIF('Trade Log'!$B$5:$B$1004,A30,'Trade Log'!$T$5:$T$1004),"")</f>
        <v/>
      </c>
      <c r="I30" s="83" t="str">
        <f aca="false">IF(A30&lt;&gt;"",IFERROR(SUMIF('Trade Log'!$B$5:$B$1004,A30,'Trade Log'!$R$5:$R$1004)/SUMIF('Trade Log'!$B$5:$B$1004,A30,'Trade Log'!$Q$5:$Q$1004)-1,""),"")</f>
        <v/>
      </c>
      <c r="J30" s="84" t="str">
        <f aca="false">IF(A30&lt;&gt;"",SUMIF('Trade Log'!$B$5:$B$1004,A30,'Trade Log'!$V$5:$V$1004),"")</f>
        <v/>
      </c>
      <c r="K30" s="85" t="str">
        <f aca="false">IF(A30&lt;&gt;"",IFERROR(SUMIF('Trade Log'!$B$5:$B$1004,A30,'Trade Log'!$V$5:$V$1004)/SUMIF('Trade Log'!$B$5:$B$1004,A30,'Trade Log'!$Q$5:$Q$1004),""),"")</f>
        <v/>
      </c>
      <c r="L30" s="86" t="str">
        <f aca="false">IF(A30&lt;&gt;"",IFERROR(SUMIFS('Trade Log'!$L$5:$L$1004,'Trade Log'!$B$5:$B$1004,A30,'Trade Log'!$E$5:$E$1004,""),0),"")</f>
        <v/>
      </c>
      <c r="M30" s="87" t="str">
        <f aca="false">IF(A30&lt;&gt;"",IFERROR(INDEX('Trade Log'!$AB$5:$AB$1004,MATCH(2,1/('Trade Log'!$B$5:$B$1004=A30),1)),""),"")</f>
        <v/>
      </c>
    </row>
    <row r="31" customFormat="false" ht="19.5" hidden="false" customHeight="true" outlineLevel="0" collapsed="false">
      <c r="A31" s="88"/>
      <c r="B31" s="68" t="str">
        <f aca="false">IF(A31&lt;&gt;"",IFERROR(INDEX('Trade Log'!$G$5:$G$1004,MATCH(A31,'Trade Log'!$B$5:$B$1004,0)),""),"")</f>
        <v/>
      </c>
      <c r="C31" s="69" t="str">
        <f aca="false">IF(A31&lt;&gt;"",IFERROR(INDEX('Trade Log'!$I$5:$I$1004,MATCH(A31,'Trade Log'!$B$5:$B$1004,0)),""),"")</f>
        <v/>
      </c>
      <c r="D31" s="67" t="str">
        <f aca="false">IF(A31&lt;&gt;"",COUNTIF('Trade Log'!$B$5:$B$1004,A31),"")</f>
        <v/>
      </c>
      <c r="E31" s="67" t="str">
        <f aca="false">IF(A31&lt;&gt;"",SUMIF('Trade Log'!$B$5:$B$1004,A31,'Trade Log'!$L$5:$L$1004),"")</f>
        <v/>
      </c>
      <c r="F31" s="70" t="str">
        <f aca="false">IF(A31&lt;&gt;"",SUMIF('Trade Log'!$B$5:$B$1004,A31,'Trade Log'!$Q$5:$Q$1004),"")</f>
        <v/>
      </c>
      <c r="G31" s="70" t="str">
        <f aca="false">IF(A31&lt;&gt;"",SUMIF('Trade Log'!$B$5:$B$1004,A31,'Trade Log'!$R$5:$R$1004),"")</f>
        <v/>
      </c>
      <c r="H31" s="71" t="str">
        <f aca="false">IF(A31&lt;&gt;"",SUMIF('Trade Log'!$B$5:$B$1004,A31,'Trade Log'!$T$5:$T$1004),"")</f>
        <v/>
      </c>
      <c r="I31" s="72" t="str">
        <f aca="false">IF(A31&lt;&gt;"",IFERROR(SUMIF('Trade Log'!$B$5:$B$1004,A31,'Trade Log'!$R$5:$R$1004)/SUMIF('Trade Log'!$B$5:$B$1004,A31,'Trade Log'!$Q$5:$Q$1004)-1,""),"")</f>
        <v/>
      </c>
      <c r="J31" s="73" t="str">
        <f aca="false">IF(A31&lt;&gt;"",SUMIF('Trade Log'!$B$5:$B$1004,A31,'Trade Log'!$V$5:$V$1004),"")</f>
        <v/>
      </c>
      <c r="K31" s="74" t="str">
        <f aca="false">IF(A31&lt;&gt;"",IFERROR(SUMIF('Trade Log'!$B$5:$B$1004,A31,'Trade Log'!$V$5:$V$1004)/SUMIF('Trade Log'!$B$5:$B$1004,A31,'Trade Log'!$Q$5:$Q$1004),""),"")</f>
        <v/>
      </c>
      <c r="L31" s="75" t="str">
        <f aca="false">IF(A31&lt;&gt;"",IFERROR(SUMIFS('Trade Log'!$L$5:$L$1004,'Trade Log'!$B$5:$B$1004,A31,'Trade Log'!$E$5:$E$1004,""),0),"")</f>
        <v/>
      </c>
      <c r="M31" s="76" t="str">
        <f aca="false">IF(A31&lt;&gt;"",IFERROR(INDEX('Trade Log'!$AB$5:$AB$1004,MATCH(2,1/('Trade Log'!$B$5:$B$1004=A31),1)),""),"")</f>
        <v/>
      </c>
    </row>
    <row r="32" customFormat="false" ht="19.5" hidden="false" customHeight="true" outlineLevel="0" collapsed="false">
      <c r="A32" s="77"/>
      <c r="B32" s="78" t="str">
        <f aca="false">IF(A32&lt;&gt;"",IFERROR(INDEX('Trade Log'!$G$5:$G$1004,MATCH(A32,'Trade Log'!$B$5:$B$1004,0)),""),"")</f>
        <v/>
      </c>
      <c r="C32" s="79" t="str">
        <f aca="false">IF(A32&lt;&gt;"",IFERROR(INDEX('Trade Log'!$I$5:$I$1004,MATCH(A32,'Trade Log'!$B$5:$B$1004,0)),""),"")</f>
        <v/>
      </c>
      <c r="D32" s="80" t="str">
        <f aca="false">IF(A32&lt;&gt;"",COUNTIF('Trade Log'!$B$5:$B$1004,A32),"")</f>
        <v/>
      </c>
      <c r="E32" s="80" t="str">
        <f aca="false">IF(A32&lt;&gt;"",SUMIF('Trade Log'!$B$5:$B$1004,A32,'Trade Log'!$L$5:$L$1004),"")</f>
        <v/>
      </c>
      <c r="F32" s="81" t="str">
        <f aca="false">IF(A32&lt;&gt;"",SUMIF('Trade Log'!$B$5:$B$1004,A32,'Trade Log'!$Q$5:$Q$1004),"")</f>
        <v/>
      </c>
      <c r="G32" s="81" t="str">
        <f aca="false">IF(A32&lt;&gt;"",SUMIF('Trade Log'!$B$5:$B$1004,A32,'Trade Log'!$R$5:$R$1004),"")</f>
        <v/>
      </c>
      <c r="H32" s="82" t="str">
        <f aca="false">IF(A32&lt;&gt;"",SUMIF('Trade Log'!$B$5:$B$1004,A32,'Trade Log'!$T$5:$T$1004),"")</f>
        <v/>
      </c>
      <c r="I32" s="83" t="str">
        <f aca="false">IF(A32&lt;&gt;"",IFERROR(SUMIF('Trade Log'!$B$5:$B$1004,A32,'Trade Log'!$R$5:$R$1004)/SUMIF('Trade Log'!$B$5:$B$1004,A32,'Trade Log'!$Q$5:$Q$1004)-1,""),"")</f>
        <v/>
      </c>
      <c r="J32" s="84" t="str">
        <f aca="false">IF(A32&lt;&gt;"",SUMIF('Trade Log'!$B$5:$B$1004,A32,'Trade Log'!$V$5:$V$1004),"")</f>
        <v/>
      </c>
      <c r="K32" s="85" t="str">
        <f aca="false">IF(A32&lt;&gt;"",IFERROR(SUMIF('Trade Log'!$B$5:$B$1004,A32,'Trade Log'!$V$5:$V$1004)/SUMIF('Trade Log'!$B$5:$B$1004,A32,'Trade Log'!$Q$5:$Q$1004),""),"")</f>
        <v/>
      </c>
      <c r="L32" s="86" t="str">
        <f aca="false">IF(A32&lt;&gt;"",IFERROR(SUMIFS('Trade Log'!$L$5:$L$1004,'Trade Log'!$B$5:$B$1004,A32,'Trade Log'!$E$5:$E$1004,""),0),"")</f>
        <v/>
      </c>
      <c r="M32" s="87" t="str">
        <f aca="false">IF(A32&lt;&gt;"",IFERROR(INDEX('Trade Log'!$AB$5:$AB$1004,MATCH(2,1/('Trade Log'!$B$5:$B$1004=A32),1)),""),"")</f>
        <v/>
      </c>
    </row>
    <row r="33" customFormat="false" ht="19.5" hidden="false" customHeight="true" outlineLevel="0" collapsed="false">
      <c r="A33" s="88"/>
      <c r="B33" s="68" t="str">
        <f aca="false">IF(A33&lt;&gt;"",IFERROR(INDEX('Trade Log'!$G$5:$G$1004,MATCH(A33,'Trade Log'!$B$5:$B$1004,0)),""),"")</f>
        <v/>
      </c>
      <c r="C33" s="69" t="str">
        <f aca="false">IF(A33&lt;&gt;"",IFERROR(INDEX('Trade Log'!$I$5:$I$1004,MATCH(A33,'Trade Log'!$B$5:$B$1004,0)),""),"")</f>
        <v/>
      </c>
      <c r="D33" s="67" t="str">
        <f aca="false">IF(A33&lt;&gt;"",COUNTIF('Trade Log'!$B$5:$B$1004,A33),"")</f>
        <v/>
      </c>
      <c r="E33" s="67" t="str">
        <f aca="false">IF(A33&lt;&gt;"",SUMIF('Trade Log'!$B$5:$B$1004,A33,'Trade Log'!$L$5:$L$1004),"")</f>
        <v/>
      </c>
      <c r="F33" s="70" t="str">
        <f aca="false">IF(A33&lt;&gt;"",SUMIF('Trade Log'!$B$5:$B$1004,A33,'Trade Log'!$Q$5:$Q$1004),"")</f>
        <v/>
      </c>
      <c r="G33" s="70" t="str">
        <f aca="false">IF(A33&lt;&gt;"",SUMIF('Trade Log'!$B$5:$B$1004,A33,'Trade Log'!$R$5:$R$1004),"")</f>
        <v/>
      </c>
      <c r="H33" s="71" t="str">
        <f aca="false">IF(A33&lt;&gt;"",SUMIF('Trade Log'!$B$5:$B$1004,A33,'Trade Log'!$T$5:$T$1004),"")</f>
        <v/>
      </c>
      <c r="I33" s="72" t="str">
        <f aca="false">IF(A33&lt;&gt;"",IFERROR(SUMIF('Trade Log'!$B$5:$B$1004,A33,'Trade Log'!$R$5:$R$1004)/SUMIF('Trade Log'!$B$5:$B$1004,A33,'Trade Log'!$Q$5:$Q$1004)-1,""),"")</f>
        <v/>
      </c>
      <c r="J33" s="73" t="str">
        <f aca="false">IF(A33&lt;&gt;"",SUMIF('Trade Log'!$B$5:$B$1004,A33,'Trade Log'!$V$5:$V$1004),"")</f>
        <v/>
      </c>
      <c r="K33" s="74" t="str">
        <f aca="false">IF(A33&lt;&gt;"",IFERROR(SUMIF('Trade Log'!$B$5:$B$1004,A33,'Trade Log'!$V$5:$V$1004)/SUMIF('Trade Log'!$B$5:$B$1004,A33,'Trade Log'!$Q$5:$Q$1004),""),"")</f>
        <v/>
      </c>
      <c r="L33" s="75" t="str">
        <f aca="false">IF(A33&lt;&gt;"",IFERROR(SUMIFS('Trade Log'!$L$5:$L$1004,'Trade Log'!$B$5:$B$1004,A33,'Trade Log'!$E$5:$E$1004,""),0),"")</f>
        <v/>
      </c>
      <c r="M33" s="76" t="str">
        <f aca="false">IF(A33&lt;&gt;"",IFERROR(INDEX('Trade Log'!$AB$5:$AB$1004,MATCH(2,1/('Trade Log'!$B$5:$B$1004=A33),1)),""),"")</f>
        <v/>
      </c>
    </row>
    <row r="34" customFormat="false" ht="19.5" hidden="false" customHeight="true" outlineLevel="0" collapsed="false">
      <c r="A34" s="77"/>
      <c r="B34" s="78" t="str">
        <f aca="false">IF(A34&lt;&gt;"",IFERROR(INDEX('Trade Log'!$G$5:$G$1004,MATCH(A34,'Trade Log'!$B$5:$B$1004,0)),""),"")</f>
        <v/>
      </c>
      <c r="C34" s="79" t="str">
        <f aca="false">IF(A34&lt;&gt;"",IFERROR(INDEX('Trade Log'!$I$5:$I$1004,MATCH(A34,'Trade Log'!$B$5:$B$1004,0)),""),"")</f>
        <v/>
      </c>
      <c r="D34" s="80" t="str">
        <f aca="false">IF(A34&lt;&gt;"",COUNTIF('Trade Log'!$B$5:$B$1004,A34),"")</f>
        <v/>
      </c>
      <c r="E34" s="80" t="str">
        <f aca="false">IF(A34&lt;&gt;"",SUMIF('Trade Log'!$B$5:$B$1004,A34,'Trade Log'!$L$5:$L$1004),"")</f>
        <v/>
      </c>
      <c r="F34" s="81" t="str">
        <f aca="false">IF(A34&lt;&gt;"",SUMIF('Trade Log'!$B$5:$B$1004,A34,'Trade Log'!$Q$5:$Q$1004),"")</f>
        <v/>
      </c>
      <c r="G34" s="81" t="str">
        <f aca="false">IF(A34&lt;&gt;"",SUMIF('Trade Log'!$B$5:$B$1004,A34,'Trade Log'!$R$5:$R$1004),"")</f>
        <v/>
      </c>
      <c r="H34" s="82" t="str">
        <f aca="false">IF(A34&lt;&gt;"",SUMIF('Trade Log'!$B$5:$B$1004,A34,'Trade Log'!$T$5:$T$1004),"")</f>
        <v/>
      </c>
      <c r="I34" s="83" t="str">
        <f aca="false">IF(A34&lt;&gt;"",IFERROR(SUMIF('Trade Log'!$B$5:$B$1004,A34,'Trade Log'!$R$5:$R$1004)/SUMIF('Trade Log'!$B$5:$B$1004,A34,'Trade Log'!$Q$5:$Q$1004)-1,""),"")</f>
        <v/>
      </c>
      <c r="J34" s="84" t="str">
        <f aca="false">IF(A34&lt;&gt;"",SUMIF('Trade Log'!$B$5:$B$1004,A34,'Trade Log'!$V$5:$V$1004),"")</f>
        <v/>
      </c>
      <c r="K34" s="85" t="str">
        <f aca="false">IF(A34&lt;&gt;"",IFERROR(SUMIF('Trade Log'!$B$5:$B$1004,A34,'Trade Log'!$V$5:$V$1004)/SUMIF('Trade Log'!$B$5:$B$1004,A34,'Trade Log'!$Q$5:$Q$1004),""),"")</f>
        <v/>
      </c>
      <c r="L34" s="86" t="str">
        <f aca="false">IF(A34&lt;&gt;"",IFERROR(SUMIFS('Trade Log'!$L$5:$L$1004,'Trade Log'!$B$5:$B$1004,A34,'Trade Log'!$E$5:$E$1004,""),0),"")</f>
        <v/>
      </c>
      <c r="M34" s="87" t="str">
        <f aca="false">IF(A34&lt;&gt;"",IFERROR(INDEX('Trade Log'!$AB$5:$AB$1004,MATCH(2,1/('Trade Log'!$B$5:$B$1004=A34),1)),""),"")</f>
        <v/>
      </c>
    </row>
    <row r="35" customFormat="false" ht="19.5" hidden="false" customHeight="true" outlineLevel="0" collapsed="false">
      <c r="A35" s="88"/>
      <c r="B35" s="68" t="str">
        <f aca="false">IF(A35&lt;&gt;"",IFERROR(INDEX('Trade Log'!$G$5:$G$1004,MATCH(A35,'Trade Log'!$B$5:$B$1004,0)),""),"")</f>
        <v/>
      </c>
      <c r="C35" s="69" t="str">
        <f aca="false">IF(A35&lt;&gt;"",IFERROR(INDEX('Trade Log'!$I$5:$I$1004,MATCH(A35,'Trade Log'!$B$5:$B$1004,0)),""),"")</f>
        <v/>
      </c>
      <c r="D35" s="67" t="str">
        <f aca="false">IF(A35&lt;&gt;"",COUNTIF('Trade Log'!$B$5:$B$1004,A35),"")</f>
        <v/>
      </c>
      <c r="E35" s="67" t="str">
        <f aca="false">IF(A35&lt;&gt;"",SUMIF('Trade Log'!$B$5:$B$1004,A35,'Trade Log'!$L$5:$L$1004),"")</f>
        <v/>
      </c>
      <c r="F35" s="70" t="str">
        <f aca="false">IF(A35&lt;&gt;"",SUMIF('Trade Log'!$B$5:$B$1004,A35,'Trade Log'!$Q$5:$Q$1004),"")</f>
        <v/>
      </c>
      <c r="G35" s="70" t="str">
        <f aca="false">IF(A35&lt;&gt;"",SUMIF('Trade Log'!$B$5:$B$1004,A35,'Trade Log'!$R$5:$R$1004),"")</f>
        <v/>
      </c>
      <c r="H35" s="71" t="str">
        <f aca="false">IF(A35&lt;&gt;"",SUMIF('Trade Log'!$B$5:$B$1004,A35,'Trade Log'!$T$5:$T$1004),"")</f>
        <v/>
      </c>
      <c r="I35" s="72" t="str">
        <f aca="false">IF(A35&lt;&gt;"",IFERROR(SUMIF('Trade Log'!$B$5:$B$1004,A35,'Trade Log'!$R$5:$R$1004)/SUMIF('Trade Log'!$B$5:$B$1004,A35,'Trade Log'!$Q$5:$Q$1004)-1,""),"")</f>
        <v/>
      </c>
      <c r="J35" s="73" t="str">
        <f aca="false">IF(A35&lt;&gt;"",SUMIF('Trade Log'!$B$5:$B$1004,A35,'Trade Log'!$V$5:$V$1004),"")</f>
        <v/>
      </c>
      <c r="K35" s="74" t="str">
        <f aca="false">IF(A35&lt;&gt;"",IFERROR(SUMIF('Trade Log'!$B$5:$B$1004,A35,'Trade Log'!$V$5:$V$1004)/SUMIF('Trade Log'!$B$5:$B$1004,A35,'Trade Log'!$Q$5:$Q$1004),""),"")</f>
        <v/>
      </c>
      <c r="L35" s="75" t="str">
        <f aca="false">IF(A35&lt;&gt;"",IFERROR(SUMIFS('Trade Log'!$L$5:$L$1004,'Trade Log'!$B$5:$B$1004,A35,'Trade Log'!$E$5:$E$1004,""),0),"")</f>
        <v/>
      </c>
      <c r="M35" s="76" t="str">
        <f aca="false">IF(A35&lt;&gt;"",IFERROR(INDEX('Trade Log'!$AB$5:$AB$1004,MATCH(2,1/('Trade Log'!$B$5:$B$1004=A35),1)),""),"")</f>
        <v/>
      </c>
    </row>
    <row r="36" customFormat="false" ht="19.5" hidden="false" customHeight="true" outlineLevel="0" collapsed="false">
      <c r="A36" s="77"/>
      <c r="B36" s="78" t="str">
        <f aca="false">IF(A36&lt;&gt;"",IFERROR(INDEX('Trade Log'!$G$5:$G$1004,MATCH(A36,'Trade Log'!$B$5:$B$1004,0)),""),"")</f>
        <v/>
      </c>
      <c r="C36" s="79" t="str">
        <f aca="false">IF(A36&lt;&gt;"",IFERROR(INDEX('Trade Log'!$I$5:$I$1004,MATCH(A36,'Trade Log'!$B$5:$B$1004,0)),""),"")</f>
        <v/>
      </c>
      <c r="D36" s="80" t="str">
        <f aca="false">IF(A36&lt;&gt;"",COUNTIF('Trade Log'!$B$5:$B$1004,A36),"")</f>
        <v/>
      </c>
      <c r="E36" s="80" t="str">
        <f aca="false">IF(A36&lt;&gt;"",SUMIF('Trade Log'!$B$5:$B$1004,A36,'Trade Log'!$L$5:$L$1004),"")</f>
        <v/>
      </c>
      <c r="F36" s="81" t="str">
        <f aca="false">IF(A36&lt;&gt;"",SUMIF('Trade Log'!$B$5:$B$1004,A36,'Trade Log'!$Q$5:$Q$1004),"")</f>
        <v/>
      </c>
      <c r="G36" s="81" t="str">
        <f aca="false">IF(A36&lt;&gt;"",SUMIF('Trade Log'!$B$5:$B$1004,A36,'Trade Log'!$R$5:$R$1004),"")</f>
        <v/>
      </c>
      <c r="H36" s="82" t="str">
        <f aca="false">IF(A36&lt;&gt;"",SUMIF('Trade Log'!$B$5:$B$1004,A36,'Trade Log'!$T$5:$T$1004),"")</f>
        <v/>
      </c>
      <c r="I36" s="83" t="str">
        <f aca="false">IF(A36&lt;&gt;"",IFERROR(SUMIF('Trade Log'!$B$5:$B$1004,A36,'Trade Log'!$R$5:$R$1004)/SUMIF('Trade Log'!$B$5:$B$1004,A36,'Trade Log'!$Q$5:$Q$1004)-1,""),"")</f>
        <v/>
      </c>
      <c r="J36" s="84" t="str">
        <f aca="false">IF(A36&lt;&gt;"",SUMIF('Trade Log'!$B$5:$B$1004,A36,'Trade Log'!$V$5:$V$1004),"")</f>
        <v/>
      </c>
      <c r="K36" s="85" t="str">
        <f aca="false">IF(A36&lt;&gt;"",IFERROR(SUMIF('Trade Log'!$B$5:$B$1004,A36,'Trade Log'!$V$5:$V$1004)/SUMIF('Trade Log'!$B$5:$B$1004,A36,'Trade Log'!$Q$5:$Q$1004),""),"")</f>
        <v/>
      </c>
      <c r="L36" s="86" t="str">
        <f aca="false">IF(A36&lt;&gt;"",IFERROR(SUMIFS('Trade Log'!$L$5:$L$1004,'Trade Log'!$B$5:$B$1004,A36,'Trade Log'!$E$5:$E$1004,""),0),"")</f>
        <v/>
      </c>
      <c r="M36" s="87" t="str">
        <f aca="false">IF(A36&lt;&gt;"",IFERROR(INDEX('Trade Log'!$AB$5:$AB$1004,MATCH(2,1/('Trade Log'!$B$5:$B$1004=A36),1)),""),"")</f>
        <v/>
      </c>
    </row>
    <row r="37" customFormat="false" ht="19.5" hidden="false" customHeight="true" outlineLevel="0" collapsed="false">
      <c r="A37" s="88"/>
      <c r="B37" s="68" t="str">
        <f aca="false">IF(A37&lt;&gt;"",IFERROR(INDEX('Trade Log'!$G$5:$G$1004,MATCH(A37,'Trade Log'!$B$5:$B$1004,0)),""),"")</f>
        <v/>
      </c>
      <c r="C37" s="69" t="str">
        <f aca="false">IF(A37&lt;&gt;"",IFERROR(INDEX('Trade Log'!$I$5:$I$1004,MATCH(A37,'Trade Log'!$B$5:$B$1004,0)),""),"")</f>
        <v/>
      </c>
      <c r="D37" s="67" t="str">
        <f aca="false">IF(A37&lt;&gt;"",COUNTIF('Trade Log'!$B$5:$B$1004,A37),"")</f>
        <v/>
      </c>
      <c r="E37" s="67" t="str">
        <f aca="false">IF(A37&lt;&gt;"",SUMIF('Trade Log'!$B$5:$B$1004,A37,'Trade Log'!$L$5:$L$1004),"")</f>
        <v/>
      </c>
      <c r="F37" s="70" t="str">
        <f aca="false">IF(A37&lt;&gt;"",SUMIF('Trade Log'!$B$5:$B$1004,A37,'Trade Log'!$Q$5:$Q$1004),"")</f>
        <v/>
      </c>
      <c r="G37" s="70" t="str">
        <f aca="false">IF(A37&lt;&gt;"",SUMIF('Trade Log'!$B$5:$B$1004,A37,'Trade Log'!$R$5:$R$1004),"")</f>
        <v/>
      </c>
      <c r="H37" s="71" t="str">
        <f aca="false">IF(A37&lt;&gt;"",SUMIF('Trade Log'!$B$5:$B$1004,A37,'Trade Log'!$T$5:$T$1004),"")</f>
        <v/>
      </c>
      <c r="I37" s="72" t="str">
        <f aca="false">IF(A37&lt;&gt;"",IFERROR(SUMIF('Trade Log'!$B$5:$B$1004,A37,'Trade Log'!$R$5:$R$1004)/SUMIF('Trade Log'!$B$5:$B$1004,A37,'Trade Log'!$Q$5:$Q$1004)-1,""),"")</f>
        <v/>
      </c>
      <c r="J37" s="73" t="str">
        <f aca="false">IF(A37&lt;&gt;"",SUMIF('Trade Log'!$B$5:$B$1004,A37,'Trade Log'!$V$5:$V$1004),"")</f>
        <v/>
      </c>
      <c r="K37" s="74" t="str">
        <f aca="false">IF(A37&lt;&gt;"",IFERROR(SUMIF('Trade Log'!$B$5:$B$1004,A37,'Trade Log'!$V$5:$V$1004)/SUMIF('Trade Log'!$B$5:$B$1004,A37,'Trade Log'!$Q$5:$Q$1004),""),"")</f>
        <v/>
      </c>
      <c r="L37" s="75" t="str">
        <f aca="false">IF(A37&lt;&gt;"",IFERROR(SUMIFS('Trade Log'!$L$5:$L$1004,'Trade Log'!$B$5:$B$1004,A37,'Trade Log'!$E$5:$E$1004,""),0),"")</f>
        <v/>
      </c>
      <c r="M37" s="76" t="str">
        <f aca="false">IF(A37&lt;&gt;"",IFERROR(INDEX('Trade Log'!$AB$5:$AB$1004,MATCH(2,1/('Trade Log'!$B$5:$B$1004=A37),1)),""),"")</f>
        <v/>
      </c>
    </row>
    <row r="38" customFormat="false" ht="19.5" hidden="false" customHeight="true" outlineLevel="0" collapsed="false">
      <c r="A38" s="77"/>
      <c r="B38" s="78" t="str">
        <f aca="false">IF(A38&lt;&gt;"",IFERROR(INDEX('Trade Log'!$G$5:$G$1004,MATCH(A38,'Trade Log'!$B$5:$B$1004,0)),""),"")</f>
        <v/>
      </c>
      <c r="C38" s="79" t="str">
        <f aca="false">IF(A38&lt;&gt;"",IFERROR(INDEX('Trade Log'!$I$5:$I$1004,MATCH(A38,'Trade Log'!$B$5:$B$1004,0)),""),"")</f>
        <v/>
      </c>
      <c r="D38" s="80" t="str">
        <f aca="false">IF(A38&lt;&gt;"",COUNTIF('Trade Log'!$B$5:$B$1004,A38),"")</f>
        <v/>
      </c>
      <c r="E38" s="80" t="str">
        <f aca="false">IF(A38&lt;&gt;"",SUMIF('Trade Log'!$B$5:$B$1004,A38,'Trade Log'!$L$5:$L$1004),"")</f>
        <v/>
      </c>
      <c r="F38" s="81" t="str">
        <f aca="false">IF(A38&lt;&gt;"",SUMIF('Trade Log'!$B$5:$B$1004,A38,'Trade Log'!$Q$5:$Q$1004),"")</f>
        <v/>
      </c>
      <c r="G38" s="81" t="str">
        <f aca="false">IF(A38&lt;&gt;"",SUMIF('Trade Log'!$B$5:$B$1004,A38,'Trade Log'!$R$5:$R$1004),"")</f>
        <v/>
      </c>
      <c r="H38" s="82" t="str">
        <f aca="false">IF(A38&lt;&gt;"",SUMIF('Trade Log'!$B$5:$B$1004,A38,'Trade Log'!$T$5:$T$1004),"")</f>
        <v/>
      </c>
      <c r="I38" s="83" t="str">
        <f aca="false">IF(A38&lt;&gt;"",IFERROR(SUMIF('Trade Log'!$B$5:$B$1004,A38,'Trade Log'!$R$5:$R$1004)/SUMIF('Trade Log'!$B$5:$B$1004,A38,'Trade Log'!$Q$5:$Q$1004)-1,""),"")</f>
        <v/>
      </c>
      <c r="J38" s="84" t="str">
        <f aca="false">IF(A38&lt;&gt;"",SUMIF('Trade Log'!$B$5:$B$1004,A38,'Trade Log'!$V$5:$V$1004),"")</f>
        <v/>
      </c>
      <c r="K38" s="85" t="str">
        <f aca="false">IF(A38&lt;&gt;"",IFERROR(SUMIF('Trade Log'!$B$5:$B$1004,A38,'Trade Log'!$V$5:$V$1004)/SUMIF('Trade Log'!$B$5:$B$1004,A38,'Trade Log'!$Q$5:$Q$1004),""),"")</f>
        <v/>
      </c>
      <c r="L38" s="86" t="str">
        <f aca="false">IF(A38&lt;&gt;"",IFERROR(SUMIFS('Trade Log'!$L$5:$L$1004,'Trade Log'!$B$5:$B$1004,A38,'Trade Log'!$E$5:$E$1004,""),0),"")</f>
        <v/>
      </c>
      <c r="M38" s="87" t="str">
        <f aca="false">IF(A38&lt;&gt;"",IFERROR(INDEX('Trade Log'!$AB$5:$AB$1004,MATCH(2,1/('Trade Log'!$B$5:$B$1004=A38),1)),""),"")</f>
        <v/>
      </c>
    </row>
    <row r="39" customFormat="false" ht="19.5" hidden="false" customHeight="true" outlineLevel="0" collapsed="false">
      <c r="A39" s="88"/>
      <c r="B39" s="68" t="str">
        <f aca="false">IF(A39&lt;&gt;"",IFERROR(INDEX('Trade Log'!$G$5:$G$1004,MATCH(A39,'Trade Log'!$B$5:$B$1004,0)),""),"")</f>
        <v/>
      </c>
      <c r="C39" s="69" t="str">
        <f aca="false">IF(A39&lt;&gt;"",IFERROR(INDEX('Trade Log'!$I$5:$I$1004,MATCH(A39,'Trade Log'!$B$5:$B$1004,0)),""),"")</f>
        <v/>
      </c>
      <c r="D39" s="67" t="str">
        <f aca="false">IF(A39&lt;&gt;"",COUNTIF('Trade Log'!$B$5:$B$1004,A39),"")</f>
        <v/>
      </c>
      <c r="E39" s="67" t="str">
        <f aca="false">IF(A39&lt;&gt;"",SUMIF('Trade Log'!$B$5:$B$1004,A39,'Trade Log'!$L$5:$L$1004),"")</f>
        <v/>
      </c>
      <c r="F39" s="70" t="str">
        <f aca="false">IF(A39&lt;&gt;"",SUMIF('Trade Log'!$B$5:$B$1004,A39,'Trade Log'!$Q$5:$Q$1004),"")</f>
        <v/>
      </c>
      <c r="G39" s="70" t="str">
        <f aca="false">IF(A39&lt;&gt;"",SUMIF('Trade Log'!$B$5:$B$1004,A39,'Trade Log'!$R$5:$R$1004),"")</f>
        <v/>
      </c>
      <c r="H39" s="71" t="str">
        <f aca="false">IF(A39&lt;&gt;"",SUMIF('Trade Log'!$B$5:$B$1004,A39,'Trade Log'!$T$5:$T$1004),"")</f>
        <v/>
      </c>
      <c r="I39" s="72" t="str">
        <f aca="false">IF(A39&lt;&gt;"",IFERROR(SUMIF('Trade Log'!$B$5:$B$1004,A39,'Trade Log'!$R$5:$R$1004)/SUMIF('Trade Log'!$B$5:$B$1004,A39,'Trade Log'!$Q$5:$Q$1004)-1,""),"")</f>
        <v/>
      </c>
      <c r="J39" s="73" t="str">
        <f aca="false">IF(A39&lt;&gt;"",SUMIF('Trade Log'!$B$5:$B$1004,A39,'Trade Log'!$V$5:$V$1004),"")</f>
        <v/>
      </c>
      <c r="K39" s="74" t="str">
        <f aca="false">IF(A39&lt;&gt;"",IFERROR(SUMIF('Trade Log'!$B$5:$B$1004,A39,'Trade Log'!$V$5:$V$1004)/SUMIF('Trade Log'!$B$5:$B$1004,A39,'Trade Log'!$Q$5:$Q$1004),""),"")</f>
        <v/>
      </c>
      <c r="L39" s="75" t="str">
        <f aca="false">IF(A39&lt;&gt;"",IFERROR(SUMIFS('Trade Log'!$L$5:$L$1004,'Trade Log'!$B$5:$B$1004,A39,'Trade Log'!$E$5:$E$1004,""),0),"")</f>
        <v/>
      </c>
      <c r="M39" s="76" t="str">
        <f aca="false">IF(A39&lt;&gt;"",IFERROR(INDEX('Trade Log'!$AB$5:$AB$1004,MATCH(2,1/('Trade Log'!$B$5:$B$1004=A39),1)),""),"")</f>
        <v/>
      </c>
    </row>
    <row r="40" customFormat="false" ht="19.5" hidden="false" customHeight="true" outlineLevel="0" collapsed="false">
      <c r="A40" s="77"/>
      <c r="B40" s="78" t="str">
        <f aca="false">IF(A40&lt;&gt;"",IFERROR(INDEX('Trade Log'!$G$5:$G$1004,MATCH(A40,'Trade Log'!$B$5:$B$1004,0)),""),"")</f>
        <v/>
      </c>
      <c r="C40" s="79" t="str">
        <f aca="false">IF(A40&lt;&gt;"",IFERROR(INDEX('Trade Log'!$I$5:$I$1004,MATCH(A40,'Trade Log'!$B$5:$B$1004,0)),""),"")</f>
        <v/>
      </c>
      <c r="D40" s="80" t="str">
        <f aca="false">IF(A40&lt;&gt;"",COUNTIF('Trade Log'!$B$5:$B$1004,A40),"")</f>
        <v/>
      </c>
      <c r="E40" s="80" t="str">
        <f aca="false">IF(A40&lt;&gt;"",SUMIF('Trade Log'!$B$5:$B$1004,A40,'Trade Log'!$L$5:$L$1004),"")</f>
        <v/>
      </c>
      <c r="F40" s="81" t="str">
        <f aca="false">IF(A40&lt;&gt;"",SUMIF('Trade Log'!$B$5:$B$1004,A40,'Trade Log'!$Q$5:$Q$1004),"")</f>
        <v/>
      </c>
      <c r="G40" s="81" t="str">
        <f aca="false">IF(A40&lt;&gt;"",SUMIF('Trade Log'!$B$5:$B$1004,A40,'Trade Log'!$R$5:$R$1004),"")</f>
        <v/>
      </c>
      <c r="H40" s="82" t="str">
        <f aca="false">IF(A40&lt;&gt;"",SUMIF('Trade Log'!$B$5:$B$1004,A40,'Trade Log'!$T$5:$T$1004),"")</f>
        <v/>
      </c>
      <c r="I40" s="83" t="str">
        <f aca="false">IF(A40&lt;&gt;"",IFERROR(SUMIF('Trade Log'!$B$5:$B$1004,A40,'Trade Log'!$R$5:$R$1004)/SUMIF('Trade Log'!$B$5:$B$1004,A40,'Trade Log'!$Q$5:$Q$1004)-1,""),"")</f>
        <v/>
      </c>
      <c r="J40" s="84" t="str">
        <f aca="false">IF(A40&lt;&gt;"",SUMIF('Trade Log'!$B$5:$B$1004,A40,'Trade Log'!$V$5:$V$1004),"")</f>
        <v/>
      </c>
      <c r="K40" s="85" t="str">
        <f aca="false">IF(A40&lt;&gt;"",IFERROR(SUMIF('Trade Log'!$B$5:$B$1004,A40,'Trade Log'!$V$5:$V$1004)/SUMIF('Trade Log'!$B$5:$B$1004,A40,'Trade Log'!$Q$5:$Q$1004),""),"")</f>
        <v/>
      </c>
      <c r="L40" s="86" t="str">
        <f aca="false">IF(A40&lt;&gt;"",IFERROR(SUMIFS('Trade Log'!$L$5:$L$1004,'Trade Log'!$B$5:$B$1004,A40,'Trade Log'!$E$5:$E$1004,""),0),"")</f>
        <v/>
      </c>
      <c r="M40" s="87" t="str">
        <f aca="false">IF(A40&lt;&gt;"",IFERROR(INDEX('Trade Log'!$AB$5:$AB$1004,MATCH(2,1/('Trade Log'!$B$5:$B$1004=A40),1)),""),"")</f>
        <v/>
      </c>
    </row>
    <row r="41" customFormat="false" ht="19.5" hidden="false" customHeight="true" outlineLevel="0" collapsed="false">
      <c r="A41" s="88"/>
      <c r="B41" s="68" t="str">
        <f aca="false">IF(A41&lt;&gt;"",IFERROR(INDEX('Trade Log'!$G$5:$G$1004,MATCH(A41,'Trade Log'!$B$5:$B$1004,0)),""),"")</f>
        <v/>
      </c>
      <c r="C41" s="69" t="str">
        <f aca="false">IF(A41&lt;&gt;"",IFERROR(INDEX('Trade Log'!$I$5:$I$1004,MATCH(A41,'Trade Log'!$B$5:$B$1004,0)),""),"")</f>
        <v/>
      </c>
      <c r="D41" s="67" t="str">
        <f aca="false">IF(A41&lt;&gt;"",COUNTIF('Trade Log'!$B$5:$B$1004,A41),"")</f>
        <v/>
      </c>
      <c r="E41" s="67" t="str">
        <f aca="false">IF(A41&lt;&gt;"",SUMIF('Trade Log'!$B$5:$B$1004,A41,'Trade Log'!$L$5:$L$1004),"")</f>
        <v/>
      </c>
      <c r="F41" s="70" t="str">
        <f aca="false">IF(A41&lt;&gt;"",SUMIF('Trade Log'!$B$5:$B$1004,A41,'Trade Log'!$Q$5:$Q$1004),"")</f>
        <v/>
      </c>
      <c r="G41" s="70" t="str">
        <f aca="false">IF(A41&lt;&gt;"",SUMIF('Trade Log'!$B$5:$B$1004,A41,'Trade Log'!$R$5:$R$1004),"")</f>
        <v/>
      </c>
      <c r="H41" s="71" t="str">
        <f aca="false">IF(A41&lt;&gt;"",SUMIF('Trade Log'!$B$5:$B$1004,A41,'Trade Log'!$T$5:$T$1004),"")</f>
        <v/>
      </c>
      <c r="I41" s="72" t="str">
        <f aca="false">IF(A41&lt;&gt;"",IFERROR(SUMIF('Trade Log'!$B$5:$B$1004,A41,'Trade Log'!$R$5:$R$1004)/SUMIF('Trade Log'!$B$5:$B$1004,A41,'Trade Log'!$Q$5:$Q$1004)-1,""),"")</f>
        <v/>
      </c>
      <c r="J41" s="73" t="str">
        <f aca="false">IF(A41&lt;&gt;"",SUMIF('Trade Log'!$B$5:$B$1004,A41,'Trade Log'!$V$5:$V$1004),"")</f>
        <v/>
      </c>
      <c r="K41" s="74" t="str">
        <f aca="false">IF(A41&lt;&gt;"",IFERROR(SUMIF('Trade Log'!$B$5:$B$1004,A41,'Trade Log'!$V$5:$V$1004)/SUMIF('Trade Log'!$B$5:$B$1004,A41,'Trade Log'!$Q$5:$Q$1004),""),"")</f>
        <v/>
      </c>
      <c r="L41" s="75" t="str">
        <f aca="false">IF(A41&lt;&gt;"",IFERROR(SUMIFS('Trade Log'!$L$5:$L$1004,'Trade Log'!$B$5:$B$1004,A41,'Trade Log'!$E$5:$E$1004,""),0),"")</f>
        <v/>
      </c>
      <c r="M41" s="76" t="str">
        <f aca="false">IF(A41&lt;&gt;"",IFERROR(INDEX('Trade Log'!$AB$5:$AB$1004,MATCH(2,1/('Trade Log'!$B$5:$B$1004=A41),1)),""),"")</f>
        <v/>
      </c>
    </row>
    <row r="42" customFormat="false" ht="19.5" hidden="false" customHeight="true" outlineLevel="0" collapsed="false">
      <c r="A42" s="77"/>
      <c r="B42" s="78" t="str">
        <f aca="false">IF(A42&lt;&gt;"",IFERROR(INDEX('Trade Log'!$G$5:$G$1004,MATCH(A42,'Trade Log'!$B$5:$B$1004,0)),""),"")</f>
        <v/>
      </c>
      <c r="C42" s="79" t="str">
        <f aca="false">IF(A42&lt;&gt;"",IFERROR(INDEX('Trade Log'!$I$5:$I$1004,MATCH(A42,'Trade Log'!$B$5:$B$1004,0)),""),"")</f>
        <v/>
      </c>
      <c r="D42" s="80" t="str">
        <f aca="false">IF(A42&lt;&gt;"",COUNTIF('Trade Log'!$B$5:$B$1004,A42),"")</f>
        <v/>
      </c>
      <c r="E42" s="80" t="str">
        <f aca="false">IF(A42&lt;&gt;"",SUMIF('Trade Log'!$B$5:$B$1004,A42,'Trade Log'!$L$5:$L$1004),"")</f>
        <v/>
      </c>
      <c r="F42" s="81" t="str">
        <f aca="false">IF(A42&lt;&gt;"",SUMIF('Trade Log'!$B$5:$B$1004,A42,'Trade Log'!$Q$5:$Q$1004),"")</f>
        <v/>
      </c>
      <c r="G42" s="81" t="str">
        <f aca="false">IF(A42&lt;&gt;"",SUMIF('Trade Log'!$B$5:$B$1004,A42,'Trade Log'!$R$5:$R$1004),"")</f>
        <v/>
      </c>
      <c r="H42" s="82" t="str">
        <f aca="false">IF(A42&lt;&gt;"",SUMIF('Trade Log'!$B$5:$B$1004,A42,'Trade Log'!$T$5:$T$1004),"")</f>
        <v/>
      </c>
      <c r="I42" s="83" t="str">
        <f aca="false">IF(A42&lt;&gt;"",IFERROR(SUMIF('Trade Log'!$B$5:$B$1004,A42,'Trade Log'!$R$5:$R$1004)/SUMIF('Trade Log'!$B$5:$B$1004,A42,'Trade Log'!$Q$5:$Q$1004)-1,""),"")</f>
        <v/>
      </c>
      <c r="J42" s="84" t="str">
        <f aca="false">IF(A42&lt;&gt;"",SUMIF('Trade Log'!$B$5:$B$1004,A42,'Trade Log'!$V$5:$V$1004),"")</f>
        <v/>
      </c>
      <c r="K42" s="85" t="str">
        <f aca="false">IF(A42&lt;&gt;"",IFERROR(SUMIF('Trade Log'!$B$5:$B$1004,A42,'Trade Log'!$V$5:$V$1004)/SUMIF('Trade Log'!$B$5:$B$1004,A42,'Trade Log'!$Q$5:$Q$1004),""),"")</f>
        <v/>
      </c>
      <c r="L42" s="86" t="str">
        <f aca="false">IF(A42&lt;&gt;"",IFERROR(SUMIFS('Trade Log'!$L$5:$L$1004,'Trade Log'!$B$5:$B$1004,A42,'Trade Log'!$E$5:$E$1004,""),0),"")</f>
        <v/>
      </c>
      <c r="M42" s="87" t="str">
        <f aca="false">IF(A42&lt;&gt;"",IFERROR(INDEX('Trade Log'!$AB$5:$AB$1004,MATCH(2,1/('Trade Log'!$B$5:$B$1004=A42),1)),""),"")</f>
        <v/>
      </c>
    </row>
    <row r="43" customFormat="false" ht="19.5" hidden="false" customHeight="true" outlineLevel="0" collapsed="false">
      <c r="A43" s="88"/>
      <c r="B43" s="68" t="str">
        <f aca="false">IF(A43&lt;&gt;"",IFERROR(INDEX('Trade Log'!$G$5:$G$1004,MATCH(A43,'Trade Log'!$B$5:$B$1004,0)),""),"")</f>
        <v/>
      </c>
      <c r="C43" s="69" t="str">
        <f aca="false">IF(A43&lt;&gt;"",IFERROR(INDEX('Trade Log'!$I$5:$I$1004,MATCH(A43,'Trade Log'!$B$5:$B$1004,0)),""),"")</f>
        <v/>
      </c>
      <c r="D43" s="67" t="str">
        <f aca="false">IF(A43&lt;&gt;"",COUNTIF('Trade Log'!$B$5:$B$1004,A43),"")</f>
        <v/>
      </c>
      <c r="E43" s="67" t="str">
        <f aca="false">IF(A43&lt;&gt;"",SUMIF('Trade Log'!$B$5:$B$1004,A43,'Trade Log'!$L$5:$L$1004),"")</f>
        <v/>
      </c>
      <c r="F43" s="70" t="str">
        <f aca="false">IF(A43&lt;&gt;"",SUMIF('Trade Log'!$B$5:$B$1004,A43,'Trade Log'!$Q$5:$Q$1004),"")</f>
        <v/>
      </c>
      <c r="G43" s="70" t="str">
        <f aca="false">IF(A43&lt;&gt;"",SUMIF('Trade Log'!$B$5:$B$1004,A43,'Trade Log'!$R$5:$R$1004),"")</f>
        <v/>
      </c>
      <c r="H43" s="71" t="str">
        <f aca="false">IF(A43&lt;&gt;"",SUMIF('Trade Log'!$B$5:$B$1004,A43,'Trade Log'!$T$5:$T$1004),"")</f>
        <v/>
      </c>
      <c r="I43" s="72" t="str">
        <f aca="false">IF(A43&lt;&gt;"",IFERROR(SUMIF('Trade Log'!$B$5:$B$1004,A43,'Trade Log'!$R$5:$R$1004)/SUMIF('Trade Log'!$B$5:$B$1004,A43,'Trade Log'!$Q$5:$Q$1004)-1,""),"")</f>
        <v/>
      </c>
      <c r="J43" s="73" t="str">
        <f aca="false">IF(A43&lt;&gt;"",SUMIF('Trade Log'!$B$5:$B$1004,A43,'Trade Log'!$V$5:$V$1004),"")</f>
        <v/>
      </c>
      <c r="K43" s="74" t="str">
        <f aca="false">IF(A43&lt;&gt;"",IFERROR(SUMIF('Trade Log'!$B$5:$B$1004,A43,'Trade Log'!$V$5:$V$1004)/SUMIF('Trade Log'!$B$5:$B$1004,A43,'Trade Log'!$Q$5:$Q$1004),""),"")</f>
        <v/>
      </c>
      <c r="L43" s="75" t="str">
        <f aca="false">IF(A43&lt;&gt;"",IFERROR(SUMIFS('Trade Log'!$L$5:$L$1004,'Trade Log'!$B$5:$B$1004,A43,'Trade Log'!$E$5:$E$1004,""),0),"")</f>
        <v/>
      </c>
      <c r="M43" s="76" t="str">
        <f aca="false">IF(A43&lt;&gt;"",IFERROR(INDEX('Trade Log'!$AB$5:$AB$1004,MATCH(2,1/('Trade Log'!$B$5:$B$1004=A43),1)),""),"")</f>
        <v/>
      </c>
    </row>
    <row r="44" customFormat="false" ht="19.5" hidden="false" customHeight="true" outlineLevel="0" collapsed="false">
      <c r="A44" s="77"/>
      <c r="B44" s="78" t="str">
        <f aca="false">IF(A44&lt;&gt;"",IFERROR(INDEX('Trade Log'!$G$5:$G$1004,MATCH(A44,'Trade Log'!$B$5:$B$1004,0)),""),"")</f>
        <v/>
      </c>
      <c r="C44" s="79" t="str">
        <f aca="false">IF(A44&lt;&gt;"",IFERROR(INDEX('Trade Log'!$I$5:$I$1004,MATCH(A44,'Trade Log'!$B$5:$B$1004,0)),""),"")</f>
        <v/>
      </c>
      <c r="D44" s="80" t="str">
        <f aca="false">IF(A44&lt;&gt;"",COUNTIF('Trade Log'!$B$5:$B$1004,A44),"")</f>
        <v/>
      </c>
      <c r="E44" s="80" t="str">
        <f aca="false">IF(A44&lt;&gt;"",SUMIF('Trade Log'!$B$5:$B$1004,A44,'Trade Log'!$L$5:$L$1004),"")</f>
        <v/>
      </c>
      <c r="F44" s="81" t="str">
        <f aca="false">IF(A44&lt;&gt;"",SUMIF('Trade Log'!$B$5:$B$1004,A44,'Trade Log'!$Q$5:$Q$1004),"")</f>
        <v/>
      </c>
      <c r="G44" s="81" t="str">
        <f aca="false">IF(A44&lt;&gt;"",SUMIF('Trade Log'!$B$5:$B$1004,A44,'Trade Log'!$R$5:$R$1004),"")</f>
        <v/>
      </c>
      <c r="H44" s="82" t="str">
        <f aca="false">IF(A44&lt;&gt;"",SUMIF('Trade Log'!$B$5:$B$1004,A44,'Trade Log'!$T$5:$T$1004),"")</f>
        <v/>
      </c>
      <c r="I44" s="83" t="str">
        <f aca="false">IF(A44&lt;&gt;"",IFERROR(SUMIF('Trade Log'!$B$5:$B$1004,A44,'Trade Log'!$R$5:$R$1004)/SUMIF('Trade Log'!$B$5:$B$1004,A44,'Trade Log'!$Q$5:$Q$1004)-1,""),"")</f>
        <v/>
      </c>
      <c r="J44" s="84" t="str">
        <f aca="false">IF(A44&lt;&gt;"",SUMIF('Trade Log'!$B$5:$B$1004,A44,'Trade Log'!$V$5:$V$1004),"")</f>
        <v/>
      </c>
      <c r="K44" s="85" t="str">
        <f aca="false">IF(A44&lt;&gt;"",IFERROR(SUMIF('Trade Log'!$B$5:$B$1004,A44,'Trade Log'!$V$5:$V$1004)/SUMIF('Trade Log'!$B$5:$B$1004,A44,'Trade Log'!$Q$5:$Q$1004),""),"")</f>
        <v/>
      </c>
      <c r="L44" s="86" t="str">
        <f aca="false">IF(A44&lt;&gt;"",IFERROR(SUMIFS('Trade Log'!$L$5:$L$1004,'Trade Log'!$B$5:$B$1004,A44,'Trade Log'!$E$5:$E$1004,""),0),"")</f>
        <v/>
      </c>
      <c r="M44" s="87" t="str">
        <f aca="false">IF(A44&lt;&gt;"",IFERROR(INDEX('Trade Log'!$AB$5:$AB$1004,MATCH(2,1/('Trade Log'!$B$5:$B$1004=A44),1)),""),"")</f>
        <v/>
      </c>
    </row>
    <row r="45" customFormat="false" ht="19.5" hidden="false" customHeight="true" outlineLevel="0" collapsed="false">
      <c r="A45" s="88"/>
      <c r="B45" s="68" t="str">
        <f aca="false">IF(A45&lt;&gt;"",IFERROR(INDEX('Trade Log'!$G$5:$G$1004,MATCH(A45,'Trade Log'!$B$5:$B$1004,0)),""),"")</f>
        <v/>
      </c>
      <c r="C45" s="69" t="str">
        <f aca="false">IF(A45&lt;&gt;"",IFERROR(INDEX('Trade Log'!$I$5:$I$1004,MATCH(A45,'Trade Log'!$B$5:$B$1004,0)),""),"")</f>
        <v/>
      </c>
      <c r="D45" s="67" t="str">
        <f aca="false">IF(A45&lt;&gt;"",COUNTIF('Trade Log'!$B$5:$B$1004,A45),"")</f>
        <v/>
      </c>
      <c r="E45" s="67" t="str">
        <f aca="false">IF(A45&lt;&gt;"",SUMIF('Trade Log'!$B$5:$B$1004,A45,'Trade Log'!$L$5:$L$1004),"")</f>
        <v/>
      </c>
      <c r="F45" s="70" t="str">
        <f aca="false">IF(A45&lt;&gt;"",SUMIF('Trade Log'!$B$5:$B$1004,A45,'Trade Log'!$Q$5:$Q$1004),"")</f>
        <v/>
      </c>
      <c r="G45" s="70" t="str">
        <f aca="false">IF(A45&lt;&gt;"",SUMIF('Trade Log'!$B$5:$B$1004,A45,'Trade Log'!$R$5:$R$1004),"")</f>
        <v/>
      </c>
      <c r="H45" s="71" t="str">
        <f aca="false">IF(A45&lt;&gt;"",SUMIF('Trade Log'!$B$5:$B$1004,A45,'Trade Log'!$T$5:$T$1004),"")</f>
        <v/>
      </c>
      <c r="I45" s="72" t="str">
        <f aca="false">IF(A45&lt;&gt;"",IFERROR(SUMIF('Trade Log'!$B$5:$B$1004,A45,'Trade Log'!$R$5:$R$1004)/SUMIF('Trade Log'!$B$5:$B$1004,A45,'Trade Log'!$Q$5:$Q$1004)-1,""),"")</f>
        <v/>
      </c>
      <c r="J45" s="73" t="str">
        <f aca="false">IF(A45&lt;&gt;"",SUMIF('Trade Log'!$B$5:$B$1004,A45,'Trade Log'!$V$5:$V$1004),"")</f>
        <v/>
      </c>
      <c r="K45" s="74" t="str">
        <f aca="false">IF(A45&lt;&gt;"",IFERROR(SUMIF('Trade Log'!$B$5:$B$1004,A45,'Trade Log'!$V$5:$V$1004)/SUMIF('Trade Log'!$B$5:$B$1004,A45,'Trade Log'!$Q$5:$Q$1004),""),"")</f>
        <v/>
      </c>
      <c r="L45" s="75" t="str">
        <f aca="false">IF(A45&lt;&gt;"",IFERROR(SUMIFS('Trade Log'!$L$5:$L$1004,'Trade Log'!$B$5:$B$1004,A45,'Trade Log'!$E$5:$E$1004,""),0),"")</f>
        <v/>
      </c>
      <c r="M45" s="76" t="str">
        <f aca="false">IF(A45&lt;&gt;"",IFERROR(INDEX('Trade Log'!$AB$5:$AB$1004,MATCH(2,1/('Trade Log'!$B$5:$B$1004=A45),1)),""),"")</f>
        <v/>
      </c>
    </row>
    <row r="46" customFormat="false" ht="19.5" hidden="false" customHeight="true" outlineLevel="0" collapsed="false">
      <c r="A46" s="77"/>
      <c r="B46" s="78" t="str">
        <f aca="false">IF(A46&lt;&gt;"",IFERROR(INDEX('Trade Log'!$G$5:$G$1004,MATCH(A46,'Trade Log'!$B$5:$B$1004,0)),""),"")</f>
        <v/>
      </c>
      <c r="C46" s="79" t="str">
        <f aca="false">IF(A46&lt;&gt;"",IFERROR(INDEX('Trade Log'!$I$5:$I$1004,MATCH(A46,'Trade Log'!$B$5:$B$1004,0)),""),"")</f>
        <v/>
      </c>
      <c r="D46" s="80" t="str">
        <f aca="false">IF(A46&lt;&gt;"",COUNTIF('Trade Log'!$B$5:$B$1004,A46),"")</f>
        <v/>
      </c>
      <c r="E46" s="80" t="str">
        <f aca="false">IF(A46&lt;&gt;"",SUMIF('Trade Log'!$B$5:$B$1004,A46,'Trade Log'!$L$5:$L$1004),"")</f>
        <v/>
      </c>
      <c r="F46" s="81" t="str">
        <f aca="false">IF(A46&lt;&gt;"",SUMIF('Trade Log'!$B$5:$B$1004,A46,'Trade Log'!$Q$5:$Q$1004),"")</f>
        <v/>
      </c>
      <c r="G46" s="81" t="str">
        <f aca="false">IF(A46&lt;&gt;"",SUMIF('Trade Log'!$B$5:$B$1004,A46,'Trade Log'!$R$5:$R$1004),"")</f>
        <v/>
      </c>
      <c r="H46" s="82" t="str">
        <f aca="false">IF(A46&lt;&gt;"",SUMIF('Trade Log'!$B$5:$B$1004,A46,'Trade Log'!$T$5:$T$1004),"")</f>
        <v/>
      </c>
      <c r="I46" s="83" t="str">
        <f aca="false">IF(A46&lt;&gt;"",IFERROR(SUMIF('Trade Log'!$B$5:$B$1004,A46,'Trade Log'!$R$5:$R$1004)/SUMIF('Trade Log'!$B$5:$B$1004,A46,'Trade Log'!$Q$5:$Q$1004)-1,""),"")</f>
        <v/>
      </c>
      <c r="J46" s="84" t="str">
        <f aca="false">IF(A46&lt;&gt;"",SUMIF('Trade Log'!$B$5:$B$1004,A46,'Trade Log'!$V$5:$V$1004),"")</f>
        <v/>
      </c>
      <c r="K46" s="85" t="str">
        <f aca="false">IF(A46&lt;&gt;"",IFERROR(SUMIF('Trade Log'!$B$5:$B$1004,A46,'Trade Log'!$V$5:$V$1004)/SUMIF('Trade Log'!$B$5:$B$1004,A46,'Trade Log'!$Q$5:$Q$1004),""),"")</f>
        <v/>
      </c>
      <c r="L46" s="86" t="str">
        <f aca="false">IF(A46&lt;&gt;"",IFERROR(SUMIFS('Trade Log'!$L$5:$L$1004,'Trade Log'!$B$5:$B$1004,A46,'Trade Log'!$E$5:$E$1004,""),0),"")</f>
        <v/>
      </c>
      <c r="M46" s="87" t="str">
        <f aca="false">IF(A46&lt;&gt;"",IFERROR(INDEX('Trade Log'!$AB$5:$AB$1004,MATCH(2,1/('Trade Log'!$B$5:$B$1004=A46),1)),""),"")</f>
        <v/>
      </c>
    </row>
    <row r="47" customFormat="false" ht="19.5" hidden="false" customHeight="true" outlineLevel="0" collapsed="false">
      <c r="A47" s="88"/>
      <c r="B47" s="68" t="str">
        <f aca="false">IF(A47&lt;&gt;"",IFERROR(INDEX('Trade Log'!$G$5:$G$1004,MATCH(A47,'Trade Log'!$B$5:$B$1004,0)),""),"")</f>
        <v/>
      </c>
      <c r="C47" s="69" t="str">
        <f aca="false">IF(A47&lt;&gt;"",IFERROR(INDEX('Trade Log'!$I$5:$I$1004,MATCH(A47,'Trade Log'!$B$5:$B$1004,0)),""),"")</f>
        <v/>
      </c>
      <c r="D47" s="67" t="str">
        <f aca="false">IF(A47&lt;&gt;"",COUNTIF('Trade Log'!$B$5:$B$1004,A47),"")</f>
        <v/>
      </c>
      <c r="E47" s="67" t="str">
        <f aca="false">IF(A47&lt;&gt;"",SUMIF('Trade Log'!$B$5:$B$1004,A47,'Trade Log'!$L$5:$L$1004),"")</f>
        <v/>
      </c>
      <c r="F47" s="70" t="str">
        <f aca="false">IF(A47&lt;&gt;"",SUMIF('Trade Log'!$B$5:$B$1004,A47,'Trade Log'!$Q$5:$Q$1004),"")</f>
        <v/>
      </c>
      <c r="G47" s="70" t="str">
        <f aca="false">IF(A47&lt;&gt;"",SUMIF('Trade Log'!$B$5:$B$1004,A47,'Trade Log'!$R$5:$R$1004),"")</f>
        <v/>
      </c>
      <c r="H47" s="71" t="str">
        <f aca="false">IF(A47&lt;&gt;"",SUMIF('Trade Log'!$B$5:$B$1004,A47,'Trade Log'!$T$5:$T$1004),"")</f>
        <v/>
      </c>
      <c r="I47" s="72" t="str">
        <f aca="false">IF(A47&lt;&gt;"",IFERROR(SUMIF('Trade Log'!$B$5:$B$1004,A47,'Trade Log'!$R$5:$R$1004)/SUMIF('Trade Log'!$B$5:$B$1004,A47,'Trade Log'!$Q$5:$Q$1004)-1,""),"")</f>
        <v/>
      </c>
      <c r="J47" s="73" t="str">
        <f aca="false">IF(A47&lt;&gt;"",SUMIF('Trade Log'!$B$5:$B$1004,A47,'Trade Log'!$V$5:$V$1004),"")</f>
        <v/>
      </c>
      <c r="K47" s="74" t="str">
        <f aca="false">IF(A47&lt;&gt;"",IFERROR(SUMIF('Trade Log'!$B$5:$B$1004,A47,'Trade Log'!$V$5:$V$1004)/SUMIF('Trade Log'!$B$5:$B$1004,A47,'Trade Log'!$Q$5:$Q$1004),""),"")</f>
        <v/>
      </c>
      <c r="L47" s="75" t="str">
        <f aca="false">IF(A47&lt;&gt;"",IFERROR(SUMIFS('Trade Log'!$L$5:$L$1004,'Trade Log'!$B$5:$B$1004,A47,'Trade Log'!$E$5:$E$1004,""),0),"")</f>
        <v/>
      </c>
      <c r="M47" s="76" t="str">
        <f aca="false">IF(A47&lt;&gt;"",IFERROR(INDEX('Trade Log'!$AB$5:$AB$1004,MATCH(2,1/('Trade Log'!$B$5:$B$1004=A47),1)),""),"")</f>
        <v/>
      </c>
    </row>
    <row r="48" customFormat="false" ht="19.5" hidden="false" customHeight="true" outlineLevel="0" collapsed="false">
      <c r="A48" s="77"/>
      <c r="B48" s="78" t="str">
        <f aca="false">IF(A48&lt;&gt;"",IFERROR(INDEX('Trade Log'!$G$5:$G$1004,MATCH(A48,'Trade Log'!$B$5:$B$1004,0)),""),"")</f>
        <v/>
      </c>
      <c r="C48" s="79" t="str">
        <f aca="false">IF(A48&lt;&gt;"",IFERROR(INDEX('Trade Log'!$I$5:$I$1004,MATCH(A48,'Trade Log'!$B$5:$B$1004,0)),""),"")</f>
        <v/>
      </c>
      <c r="D48" s="80" t="str">
        <f aca="false">IF(A48&lt;&gt;"",COUNTIF('Trade Log'!$B$5:$B$1004,A48),"")</f>
        <v/>
      </c>
      <c r="E48" s="80" t="str">
        <f aca="false">IF(A48&lt;&gt;"",SUMIF('Trade Log'!$B$5:$B$1004,A48,'Trade Log'!$L$5:$L$1004),"")</f>
        <v/>
      </c>
      <c r="F48" s="81" t="str">
        <f aca="false">IF(A48&lt;&gt;"",SUMIF('Trade Log'!$B$5:$B$1004,A48,'Trade Log'!$Q$5:$Q$1004),"")</f>
        <v/>
      </c>
      <c r="G48" s="81" t="str">
        <f aca="false">IF(A48&lt;&gt;"",SUMIF('Trade Log'!$B$5:$B$1004,A48,'Trade Log'!$R$5:$R$1004),"")</f>
        <v/>
      </c>
      <c r="H48" s="82" t="str">
        <f aca="false">IF(A48&lt;&gt;"",SUMIF('Trade Log'!$B$5:$B$1004,A48,'Trade Log'!$T$5:$T$1004),"")</f>
        <v/>
      </c>
      <c r="I48" s="83" t="str">
        <f aca="false">IF(A48&lt;&gt;"",IFERROR(SUMIF('Trade Log'!$B$5:$B$1004,A48,'Trade Log'!$R$5:$R$1004)/SUMIF('Trade Log'!$B$5:$B$1004,A48,'Trade Log'!$Q$5:$Q$1004)-1,""),"")</f>
        <v/>
      </c>
      <c r="J48" s="84" t="str">
        <f aca="false">IF(A48&lt;&gt;"",SUMIF('Trade Log'!$B$5:$B$1004,A48,'Trade Log'!$V$5:$V$1004),"")</f>
        <v/>
      </c>
      <c r="K48" s="85" t="str">
        <f aca="false">IF(A48&lt;&gt;"",IFERROR(SUMIF('Trade Log'!$B$5:$B$1004,A48,'Trade Log'!$V$5:$V$1004)/SUMIF('Trade Log'!$B$5:$B$1004,A48,'Trade Log'!$Q$5:$Q$1004),""),"")</f>
        <v/>
      </c>
      <c r="L48" s="86" t="str">
        <f aca="false">IF(A48&lt;&gt;"",IFERROR(SUMIFS('Trade Log'!$L$5:$L$1004,'Trade Log'!$B$5:$B$1004,A48,'Trade Log'!$E$5:$E$1004,""),0),"")</f>
        <v/>
      </c>
      <c r="M48" s="87" t="str">
        <f aca="false">IF(A48&lt;&gt;"",IFERROR(INDEX('Trade Log'!$AB$5:$AB$1004,MATCH(2,1/('Trade Log'!$B$5:$B$1004=A48),1)),""),"")</f>
        <v/>
      </c>
    </row>
    <row r="49" customFormat="false" ht="19.5" hidden="false" customHeight="true" outlineLevel="0" collapsed="false">
      <c r="A49" s="88"/>
      <c r="B49" s="68" t="str">
        <f aca="false">IF(A49&lt;&gt;"",IFERROR(INDEX('Trade Log'!$G$5:$G$1004,MATCH(A49,'Trade Log'!$B$5:$B$1004,0)),""),"")</f>
        <v/>
      </c>
      <c r="C49" s="69" t="str">
        <f aca="false">IF(A49&lt;&gt;"",IFERROR(INDEX('Trade Log'!$I$5:$I$1004,MATCH(A49,'Trade Log'!$B$5:$B$1004,0)),""),"")</f>
        <v/>
      </c>
      <c r="D49" s="67" t="str">
        <f aca="false">IF(A49&lt;&gt;"",COUNTIF('Trade Log'!$B$5:$B$1004,A49),"")</f>
        <v/>
      </c>
      <c r="E49" s="67" t="str">
        <f aca="false">IF(A49&lt;&gt;"",SUMIF('Trade Log'!$B$5:$B$1004,A49,'Trade Log'!$L$5:$L$1004),"")</f>
        <v/>
      </c>
      <c r="F49" s="70" t="str">
        <f aca="false">IF(A49&lt;&gt;"",SUMIF('Trade Log'!$B$5:$B$1004,A49,'Trade Log'!$Q$5:$Q$1004),"")</f>
        <v/>
      </c>
      <c r="G49" s="70" t="str">
        <f aca="false">IF(A49&lt;&gt;"",SUMIF('Trade Log'!$B$5:$B$1004,A49,'Trade Log'!$R$5:$R$1004),"")</f>
        <v/>
      </c>
      <c r="H49" s="71" t="str">
        <f aca="false">IF(A49&lt;&gt;"",SUMIF('Trade Log'!$B$5:$B$1004,A49,'Trade Log'!$T$5:$T$1004),"")</f>
        <v/>
      </c>
      <c r="I49" s="72" t="str">
        <f aca="false">IF(A49&lt;&gt;"",IFERROR(SUMIF('Trade Log'!$B$5:$B$1004,A49,'Trade Log'!$R$5:$R$1004)/SUMIF('Trade Log'!$B$5:$B$1004,A49,'Trade Log'!$Q$5:$Q$1004)-1,""),"")</f>
        <v/>
      </c>
      <c r="J49" s="73" t="str">
        <f aca="false">IF(A49&lt;&gt;"",SUMIF('Trade Log'!$B$5:$B$1004,A49,'Trade Log'!$V$5:$V$1004),"")</f>
        <v/>
      </c>
      <c r="K49" s="74" t="str">
        <f aca="false">IF(A49&lt;&gt;"",IFERROR(SUMIF('Trade Log'!$B$5:$B$1004,A49,'Trade Log'!$V$5:$V$1004)/SUMIF('Trade Log'!$B$5:$B$1004,A49,'Trade Log'!$Q$5:$Q$1004),""),"")</f>
        <v/>
      </c>
      <c r="L49" s="75" t="str">
        <f aca="false">IF(A49&lt;&gt;"",IFERROR(SUMIFS('Trade Log'!$L$5:$L$1004,'Trade Log'!$B$5:$B$1004,A49,'Trade Log'!$E$5:$E$1004,""),0),"")</f>
        <v/>
      </c>
      <c r="M49" s="76" t="str">
        <f aca="false">IF(A49&lt;&gt;"",IFERROR(INDEX('Trade Log'!$AB$5:$AB$1004,MATCH(2,1/('Trade Log'!$B$5:$B$1004=A49),1)),""),"")</f>
        <v/>
      </c>
    </row>
    <row r="50" customFormat="false" ht="19.5" hidden="false" customHeight="true" outlineLevel="0" collapsed="false">
      <c r="A50" s="77"/>
      <c r="B50" s="78" t="str">
        <f aca="false">IF(A50&lt;&gt;"",IFERROR(INDEX('Trade Log'!$G$5:$G$1004,MATCH(A50,'Trade Log'!$B$5:$B$1004,0)),""),"")</f>
        <v/>
      </c>
      <c r="C50" s="79" t="str">
        <f aca="false">IF(A50&lt;&gt;"",IFERROR(INDEX('Trade Log'!$I$5:$I$1004,MATCH(A50,'Trade Log'!$B$5:$B$1004,0)),""),"")</f>
        <v/>
      </c>
      <c r="D50" s="80" t="str">
        <f aca="false">IF(A50&lt;&gt;"",COUNTIF('Trade Log'!$B$5:$B$1004,A50),"")</f>
        <v/>
      </c>
      <c r="E50" s="80" t="str">
        <f aca="false">IF(A50&lt;&gt;"",SUMIF('Trade Log'!$B$5:$B$1004,A50,'Trade Log'!$L$5:$L$1004),"")</f>
        <v/>
      </c>
      <c r="F50" s="81" t="str">
        <f aca="false">IF(A50&lt;&gt;"",SUMIF('Trade Log'!$B$5:$B$1004,A50,'Trade Log'!$Q$5:$Q$1004),"")</f>
        <v/>
      </c>
      <c r="G50" s="81" t="str">
        <f aca="false">IF(A50&lt;&gt;"",SUMIF('Trade Log'!$B$5:$B$1004,A50,'Trade Log'!$R$5:$R$1004),"")</f>
        <v/>
      </c>
      <c r="H50" s="82" t="str">
        <f aca="false">IF(A50&lt;&gt;"",SUMIF('Trade Log'!$B$5:$B$1004,A50,'Trade Log'!$T$5:$T$1004),"")</f>
        <v/>
      </c>
      <c r="I50" s="83" t="str">
        <f aca="false">IF(A50&lt;&gt;"",IFERROR(SUMIF('Trade Log'!$B$5:$B$1004,A50,'Trade Log'!$R$5:$R$1004)/SUMIF('Trade Log'!$B$5:$B$1004,A50,'Trade Log'!$Q$5:$Q$1004)-1,""),"")</f>
        <v/>
      </c>
      <c r="J50" s="84" t="str">
        <f aca="false">IF(A50&lt;&gt;"",SUMIF('Trade Log'!$B$5:$B$1004,A50,'Trade Log'!$V$5:$V$1004),"")</f>
        <v/>
      </c>
      <c r="K50" s="85" t="str">
        <f aca="false">IF(A50&lt;&gt;"",IFERROR(SUMIF('Trade Log'!$B$5:$B$1004,A50,'Trade Log'!$V$5:$V$1004)/SUMIF('Trade Log'!$B$5:$B$1004,A50,'Trade Log'!$Q$5:$Q$1004),""),"")</f>
        <v/>
      </c>
      <c r="L50" s="86" t="str">
        <f aca="false">IF(A50&lt;&gt;"",IFERROR(SUMIFS('Trade Log'!$L$5:$L$1004,'Trade Log'!$B$5:$B$1004,A50,'Trade Log'!$E$5:$E$1004,""),0),"")</f>
        <v/>
      </c>
      <c r="M50" s="87" t="str">
        <f aca="false">IF(A50&lt;&gt;"",IFERROR(INDEX('Trade Log'!$AB$5:$AB$1004,MATCH(2,1/('Trade Log'!$B$5:$B$1004=A50),1)),""),"")</f>
        <v/>
      </c>
    </row>
    <row r="51" customFormat="false" ht="19.5" hidden="false" customHeight="true" outlineLevel="0" collapsed="false">
      <c r="A51" s="88"/>
      <c r="B51" s="68" t="str">
        <f aca="false">IF(A51&lt;&gt;"",IFERROR(INDEX('Trade Log'!$G$5:$G$1004,MATCH(A51,'Trade Log'!$B$5:$B$1004,0)),""),"")</f>
        <v/>
      </c>
      <c r="C51" s="69" t="str">
        <f aca="false">IF(A51&lt;&gt;"",IFERROR(INDEX('Trade Log'!$I$5:$I$1004,MATCH(A51,'Trade Log'!$B$5:$B$1004,0)),""),"")</f>
        <v/>
      </c>
      <c r="D51" s="67" t="str">
        <f aca="false">IF(A51&lt;&gt;"",COUNTIF('Trade Log'!$B$5:$B$1004,A51),"")</f>
        <v/>
      </c>
      <c r="E51" s="67" t="str">
        <f aca="false">IF(A51&lt;&gt;"",SUMIF('Trade Log'!$B$5:$B$1004,A51,'Trade Log'!$L$5:$L$1004),"")</f>
        <v/>
      </c>
      <c r="F51" s="70" t="str">
        <f aca="false">IF(A51&lt;&gt;"",SUMIF('Trade Log'!$B$5:$B$1004,A51,'Trade Log'!$Q$5:$Q$1004),"")</f>
        <v/>
      </c>
      <c r="G51" s="70" t="str">
        <f aca="false">IF(A51&lt;&gt;"",SUMIF('Trade Log'!$B$5:$B$1004,A51,'Trade Log'!$R$5:$R$1004),"")</f>
        <v/>
      </c>
      <c r="H51" s="71" t="str">
        <f aca="false">IF(A51&lt;&gt;"",SUMIF('Trade Log'!$B$5:$B$1004,A51,'Trade Log'!$T$5:$T$1004),"")</f>
        <v/>
      </c>
      <c r="I51" s="72" t="str">
        <f aca="false">IF(A51&lt;&gt;"",IFERROR(SUMIF('Trade Log'!$B$5:$B$1004,A51,'Trade Log'!$R$5:$R$1004)/SUMIF('Trade Log'!$B$5:$B$1004,A51,'Trade Log'!$Q$5:$Q$1004)-1,""),"")</f>
        <v/>
      </c>
      <c r="J51" s="73" t="str">
        <f aca="false">IF(A51&lt;&gt;"",SUMIF('Trade Log'!$B$5:$B$1004,A51,'Trade Log'!$V$5:$V$1004),"")</f>
        <v/>
      </c>
      <c r="K51" s="74" t="str">
        <f aca="false">IF(A51&lt;&gt;"",IFERROR(SUMIF('Trade Log'!$B$5:$B$1004,A51,'Trade Log'!$V$5:$V$1004)/SUMIF('Trade Log'!$B$5:$B$1004,A51,'Trade Log'!$Q$5:$Q$1004),""),"")</f>
        <v/>
      </c>
      <c r="L51" s="75" t="str">
        <f aca="false">IF(A51&lt;&gt;"",IFERROR(SUMIFS('Trade Log'!$L$5:$L$1004,'Trade Log'!$B$5:$B$1004,A51,'Trade Log'!$E$5:$E$1004,""),0),"")</f>
        <v/>
      </c>
      <c r="M51" s="76" t="str">
        <f aca="false">IF(A51&lt;&gt;"",IFERROR(INDEX('Trade Log'!$AB$5:$AB$1004,MATCH(2,1/('Trade Log'!$B$5:$B$1004=A51),1)),""),"")</f>
        <v/>
      </c>
    </row>
    <row r="52" customFormat="false" ht="19.5" hidden="false" customHeight="true" outlineLevel="0" collapsed="false">
      <c r="A52" s="77"/>
      <c r="B52" s="78" t="str">
        <f aca="false">IF(A52&lt;&gt;"",IFERROR(INDEX('Trade Log'!$G$5:$G$1004,MATCH(A52,'Trade Log'!$B$5:$B$1004,0)),""),"")</f>
        <v/>
      </c>
      <c r="C52" s="79" t="str">
        <f aca="false">IF(A52&lt;&gt;"",IFERROR(INDEX('Trade Log'!$I$5:$I$1004,MATCH(A52,'Trade Log'!$B$5:$B$1004,0)),""),"")</f>
        <v/>
      </c>
      <c r="D52" s="80" t="str">
        <f aca="false">IF(A52&lt;&gt;"",COUNTIF('Trade Log'!$B$5:$B$1004,A52),"")</f>
        <v/>
      </c>
      <c r="E52" s="80" t="str">
        <f aca="false">IF(A52&lt;&gt;"",SUMIF('Trade Log'!$B$5:$B$1004,A52,'Trade Log'!$L$5:$L$1004),"")</f>
        <v/>
      </c>
      <c r="F52" s="81" t="str">
        <f aca="false">IF(A52&lt;&gt;"",SUMIF('Trade Log'!$B$5:$B$1004,A52,'Trade Log'!$Q$5:$Q$1004),"")</f>
        <v/>
      </c>
      <c r="G52" s="81" t="str">
        <f aca="false">IF(A52&lt;&gt;"",SUMIF('Trade Log'!$B$5:$B$1004,A52,'Trade Log'!$R$5:$R$1004),"")</f>
        <v/>
      </c>
      <c r="H52" s="82" t="str">
        <f aca="false">IF(A52&lt;&gt;"",SUMIF('Trade Log'!$B$5:$B$1004,A52,'Trade Log'!$T$5:$T$1004),"")</f>
        <v/>
      </c>
      <c r="I52" s="83" t="str">
        <f aca="false">IF(A52&lt;&gt;"",IFERROR(SUMIF('Trade Log'!$B$5:$B$1004,A52,'Trade Log'!$R$5:$R$1004)/SUMIF('Trade Log'!$B$5:$B$1004,A52,'Trade Log'!$Q$5:$Q$1004)-1,""),"")</f>
        <v/>
      </c>
      <c r="J52" s="84" t="str">
        <f aca="false">IF(A52&lt;&gt;"",SUMIF('Trade Log'!$B$5:$B$1004,A52,'Trade Log'!$V$5:$V$1004),"")</f>
        <v/>
      </c>
      <c r="K52" s="85" t="str">
        <f aca="false">IF(A52&lt;&gt;"",IFERROR(SUMIF('Trade Log'!$B$5:$B$1004,A52,'Trade Log'!$V$5:$V$1004)/SUMIF('Trade Log'!$B$5:$B$1004,A52,'Trade Log'!$Q$5:$Q$1004),""),"")</f>
        <v/>
      </c>
      <c r="L52" s="86" t="str">
        <f aca="false">IF(A52&lt;&gt;"",IFERROR(SUMIFS('Trade Log'!$L$5:$L$1004,'Trade Log'!$B$5:$B$1004,A52,'Trade Log'!$E$5:$E$1004,""),0),"")</f>
        <v/>
      </c>
      <c r="M52" s="87" t="str">
        <f aca="false">IF(A52&lt;&gt;"",IFERROR(INDEX('Trade Log'!$AB$5:$AB$1004,MATCH(2,1/('Trade Log'!$B$5:$B$1004=A52),1)),""),"")</f>
        <v/>
      </c>
    </row>
    <row r="53" customFormat="false" ht="19.5" hidden="false" customHeight="true" outlineLevel="0" collapsed="false">
      <c r="A53" s="88"/>
      <c r="B53" s="68" t="str">
        <f aca="false">IF(A53&lt;&gt;"",IFERROR(INDEX('Trade Log'!$G$5:$G$1004,MATCH(A53,'Trade Log'!$B$5:$B$1004,0)),""),"")</f>
        <v/>
      </c>
      <c r="C53" s="69" t="str">
        <f aca="false">IF(A53&lt;&gt;"",IFERROR(INDEX('Trade Log'!$I$5:$I$1004,MATCH(A53,'Trade Log'!$B$5:$B$1004,0)),""),"")</f>
        <v/>
      </c>
      <c r="D53" s="67" t="str">
        <f aca="false">IF(A53&lt;&gt;"",COUNTIF('Trade Log'!$B$5:$B$1004,A53),"")</f>
        <v/>
      </c>
      <c r="E53" s="67" t="str">
        <f aca="false">IF(A53&lt;&gt;"",SUMIF('Trade Log'!$B$5:$B$1004,A53,'Trade Log'!$L$5:$L$1004),"")</f>
        <v/>
      </c>
      <c r="F53" s="70" t="str">
        <f aca="false">IF(A53&lt;&gt;"",SUMIF('Trade Log'!$B$5:$B$1004,A53,'Trade Log'!$Q$5:$Q$1004),"")</f>
        <v/>
      </c>
      <c r="G53" s="70" t="str">
        <f aca="false">IF(A53&lt;&gt;"",SUMIF('Trade Log'!$B$5:$B$1004,A53,'Trade Log'!$R$5:$R$1004),"")</f>
        <v/>
      </c>
      <c r="H53" s="71" t="str">
        <f aca="false">IF(A53&lt;&gt;"",SUMIF('Trade Log'!$B$5:$B$1004,A53,'Trade Log'!$T$5:$T$1004),"")</f>
        <v/>
      </c>
      <c r="I53" s="72" t="str">
        <f aca="false">IF(A53&lt;&gt;"",IFERROR(SUMIF('Trade Log'!$B$5:$B$1004,A53,'Trade Log'!$R$5:$R$1004)/SUMIF('Trade Log'!$B$5:$B$1004,A53,'Trade Log'!$Q$5:$Q$1004)-1,""),"")</f>
        <v/>
      </c>
      <c r="J53" s="73" t="str">
        <f aca="false">IF(A53&lt;&gt;"",SUMIF('Trade Log'!$B$5:$B$1004,A53,'Trade Log'!$V$5:$V$1004),"")</f>
        <v/>
      </c>
      <c r="K53" s="74" t="str">
        <f aca="false">IF(A53&lt;&gt;"",IFERROR(SUMIF('Trade Log'!$B$5:$B$1004,A53,'Trade Log'!$V$5:$V$1004)/SUMIF('Trade Log'!$B$5:$B$1004,A53,'Trade Log'!$Q$5:$Q$1004),""),"")</f>
        <v/>
      </c>
      <c r="L53" s="75" t="str">
        <f aca="false">IF(A53&lt;&gt;"",IFERROR(SUMIFS('Trade Log'!$L$5:$L$1004,'Trade Log'!$B$5:$B$1004,A53,'Trade Log'!$E$5:$E$1004,""),0),"")</f>
        <v/>
      </c>
      <c r="M53" s="76" t="str">
        <f aca="false">IF(A53&lt;&gt;"",IFERROR(INDEX('Trade Log'!$AB$5:$AB$1004,MATCH(2,1/('Trade Log'!$B$5:$B$1004=A53),1)),""),"")</f>
        <v/>
      </c>
    </row>
    <row r="54" customFormat="false" ht="19.5" hidden="false" customHeight="true" outlineLevel="0" collapsed="false">
      <c r="A54" s="77"/>
      <c r="B54" s="78" t="str">
        <f aca="false">IF(A54&lt;&gt;"",IFERROR(INDEX('Trade Log'!$G$5:$G$1004,MATCH(A54,'Trade Log'!$B$5:$B$1004,0)),""),"")</f>
        <v/>
      </c>
      <c r="C54" s="79" t="str">
        <f aca="false">IF(A54&lt;&gt;"",IFERROR(INDEX('Trade Log'!$I$5:$I$1004,MATCH(A54,'Trade Log'!$B$5:$B$1004,0)),""),"")</f>
        <v/>
      </c>
      <c r="D54" s="80" t="str">
        <f aca="false">IF(A54&lt;&gt;"",COUNTIF('Trade Log'!$B$5:$B$1004,A54),"")</f>
        <v/>
      </c>
      <c r="E54" s="80" t="str">
        <f aca="false">IF(A54&lt;&gt;"",SUMIF('Trade Log'!$B$5:$B$1004,A54,'Trade Log'!$L$5:$L$1004),"")</f>
        <v/>
      </c>
      <c r="F54" s="81" t="str">
        <f aca="false">IF(A54&lt;&gt;"",SUMIF('Trade Log'!$B$5:$B$1004,A54,'Trade Log'!$Q$5:$Q$1004),"")</f>
        <v/>
      </c>
      <c r="G54" s="81" t="str">
        <f aca="false">IF(A54&lt;&gt;"",SUMIF('Trade Log'!$B$5:$B$1004,A54,'Trade Log'!$R$5:$R$1004),"")</f>
        <v/>
      </c>
      <c r="H54" s="82" t="str">
        <f aca="false">IF(A54&lt;&gt;"",SUMIF('Trade Log'!$B$5:$B$1004,A54,'Trade Log'!$T$5:$T$1004),"")</f>
        <v/>
      </c>
      <c r="I54" s="83" t="str">
        <f aca="false">IF(A54&lt;&gt;"",IFERROR(SUMIF('Trade Log'!$B$5:$B$1004,A54,'Trade Log'!$R$5:$R$1004)/SUMIF('Trade Log'!$B$5:$B$1004,A54,'Trade Log'!$Q$5:$Q$1004)-1,""),"")</f>
        <v/>
      </c>
      <c r="J54" s="84" t="str">
        <f aca="false">IF(A54&lt;&gt;"",SUMIF('Trade Log'!$B$5:$B$1004,A54,'Trade Log'!$V$5:$V$1004),"")</f>
        <v/>
      </c>
      <c r="K54" s="85" t="str">
        <f aca="false">IF(A54&lt;&gt;"",IFERROR(SUMIF('Trade Log'!$B$5:$B$1004,A54,'Trade Log'!$V$5:$V$1004)/SUMIF('Trade Log'!$B$5:$B$1004,A54,'Trade Log'!$Q$5:$Q$1004),""),"")</f>
        <v/>
      </c>
      <c r="L54" s="86" t="str">
        <f aca="false">IF(A54&lt;&gt;"",IFERROR(SUMIFS('Trade Log'!$L$5:$L$1004,'Trade Log'!$B$5:$B$1004,A54,'Trade Log'!$E$5:$E$1004,""),0),"")</f>
        <v/>
      </c>
      <c r="M54" s="87" t="str">
        <f aca="false">IF(A54&lt;&gt;"",IFERROR(INDEX('Trade Log'!$AB$5:$AB$1004,MATCH(2,1/('Trade Log'!$B$5:$B$1004=A54),1)),""),"")</f>
        <v/>
      </c>
    </row>
    <row r="55" customFormat="false" ht="19.5" hidden="false" customHeight="true" outlineLevel="0" collapsed="false">
      <c r="A55" s="88"/>
      <c r="B55" s="68" t="str">
        <f aca="false">IF(A55&lt;&gt;"",IFERROR(INDEX('Trade Log'!$G$5:$G$1004,MATCH(A55,'Trade Log'!$B$5:$B$1004,0)),""),"")</f>
        <v/>
      </c>
      <c r="C55" s="69" t="str">
        <f aca="false">IF(A55&lt;&gt;"",IFERROR(INDEX('Trade Log'!$I$5:$I$1004,MATCH(A55,'Trade Log'!$B$5:$B$1004,0)),""),"")</f>
        <v/>
      </c>
      <c r="D55" s="67" t="str">
        <f aca="false">IF(A55&lt;&gt;"",COUNTIF('Trade Log'!$B$5:$B$1004,A55),"")</f>
        <v/>
      </c>
      <c r="E55" s="67" t="str">
        <f aca="false">IF(A55&lt;&gt;"",SUMIF('Trade Log'!$B$5:$B$1004,A55,'Trade Log'!$L$5:$L$1004),"")</f>
        <v/>
      </c>
      <c r="F55" s="70" t="str">
        <f aca="false">IF(A55&lt;&gt;"",SUMIF('Trade Log'!$B$5:$B$1004,A55,'Trade Log'!$Q$5:$Q$1004),"")</f>
        <v/>
      </c>
      <c r="G55" s="70" t="str">
        <f aca="false">IF(A55&lt;&gt;"",SUMIF('Trade Log'!$B$5:$B$1004,A55,'Trade Log'!$R$5:$R$1004),"")</f>
        <v/>
      </c>
      <c r="H55" s="71" t="str">
        <f aca="false">IF(A55&lt;&gt;"",SUMIF('Trade Log'!$B$5:$B$1004,A55,'Trade Log'!$T$5:$T$1004),"")</f>
        <v/>
      </c>
      <c r="I55" s="72" t="str">
        <f aca="false">IF(A55&lt;&gt;"",IFERROR(SUMIF('Trade Log'!$B$5:$B$1004,A55,'Trade Log'!$R$5:$R$1004)/SUMIF('Trade Log'!$B$5:$B$1004,A55,'Trade Log'!$Q$5:$Q$1004)-1,""),"")</f>
        <v/>
      </c>
      <c r="J55" s="73" t="str">
        <f aca="false">IF(A55&lt;&gt;"",SUMIF('Trade Log'!$B$5:$B$1004,A55,'Trade Log'!$V$5:$V$1004),"")</f>
        <v/>
      </c>
      <c r="K55" s="74" t="str">
        <f aca="false">IF(A55&lt;&gt;"",IFERROR(SUMIF('Trade Log'!$B$5:$B$1004,A55,'Trade Log'!$V$5:$V$1004)/SUMIF('Trade Log'!$B$5:$B$1004,A55,'Trade Log'!$Q$5:$Q$1004),""),"")</f>
        <v/>
      </c>
      <c r="L55" s="75" t="str">
        <f aca="false">IF(A55&lt;&gt;"",IFERROR(SUMIFS('Trade Log'!$L$5:$L$1004,'Trade Log'!$B$5:$B$1004,A55,'Trade Log'!$E$5:$E$1004,""),0),"")</f>
        <v/>
      </c>
      <c r="M55" s="76" t="str">
        <f aca="false">IF(A55&lt;&gt;"",IFERROR(INDEX('Trade Log'!$AB$5:$AB$1004,MATCH(2,1/('Trade Log'!$B$5:$B$1004=A55),1)),""),"")</f>
        <v/>
      </c>
    </row>
    <row r="56" customFormat="false" ht="19.5" hidden="false" customHeight="true" outlineLevel="0" collapsed="false">
      <c r="A56" s="77"/>
      <c r="B56" s="78" t="str">
        <f aca="false">IF(A56&lt;&gt;"",IFERROR(INDEX('Trade Log'!$G$5:$G$1004,MATCH(A56,'Trade Log'!$B$5:$B$1004,0)),""),"")</f>
        <v/>
      </c>
      <c r="C56" s="79" t="str">
        <f aca="false">IF(A56&lt;&gt;"",IFERROR(INDEX('Trade Log'!$I$5:$I$1004,MATCH(A56,'Trade Log'!$B$5:$B$1004,0)),""),"")</f>
        <v/>
      </c>
      <c r="D56" s="80" t="str">
        <f aca="false">IF(A56&lt;&gt;"",COUNTIF('Trade Log'!$B$5:$B$1004,A56),"")</f>
        <v/>
      </c>
      <c r="E56" s="80" t="str">
        <f aca="false">IF(A56&lt;&gt;"",SUMIF('Trade Log'!$B$5:$B$1004,A56,'Trade Log'!$L$5:$L$1004),"")</f>
        <v/>
      </c>
      <c r="F56" s="81" t="str">
        <f aca="false">IF(A56&lt;&gt;"",SUMIF('Trade Log'!$B$5:$B$1004,A56,'Trade Log'!$Q$5:$Q$1004),"")</f>
        <v/>
      </c>
      <c r="G56" s="81" t="str">
        <f aca="false">IF(A56&lt;&gt;"",SUMIF('Trade Log'!$B$5:$B$1004,A56,'Trade Log'!$R$5:$R$1004),"")</f>
        <v/>
      </c>
      <c r="H56" s="82" t="str">
        <f aca="false">IF(A56&lt;&gt;"",SUMIF('Trade Log'!$B$5:$B$1004,A56,'Trade Log'!$T$5:$T$1004),"")</f>
        <v/>
      </c>
      <c r="I56" s="83" t="str">
        <f aca="false">IF(A56&lt;&gt;"",IFERROR(SUMIF('Trade Log'!$B$5:$B$1004,A56,'Trade Log'!$R$5:$R$1004)/SUMIF('Trade Log'!$B$5:$B$1004,A56,'Trade Log'!$Q$5:$Q$1004)-1,""),"")</f>
        <v/>
      </c>
      <c r="J56" s="84" t="str">
        <f aca="false">IF(A56&lt;&gt;"",SUMIF('Trade Log'!$B$5:$B$1004,A56,'Trade Log'!$V$5:$V$1004),"")</f>
        <v/>
      </c>
      <c r="K56" s="85" t="str">
        <f aca="false">IF(A56&lt;&gt;"",IFERROR(SUMIF('Trade Log'!$B$5:$B$1004,A56,'Trade Log'!$V$5:$V$1004)/SUMIF('Trade Log'!$B$5:$B$1004,A56,'Trade Log'!$Q$5:$Q$1004),""),"")</f>
        <v/>
      </c>
      <c r="L56" s="86" t="str">
        <f aca="false">IF(A56&lt;&gt;"",IFERROR(SUMIFS('Trade Log'!$L$5:$L$1004,'Trade Log'!$B$5:$B$1004,A56,'Trade Log'!$E$5:$E$1004,""),0),"")</f>
        <v/>
      </c>
      <c r="M56" s="87" t="str">
        <f aca="false">IF(A56&lt;&gt;"",IFERROR(INDEX('Trade Log'!$AB$5:$AB$1004,MATCH(2,1/('Trade Log'!$B$5:$B$1004=A56),1)),""),"")</f>
        <v/>
      </c>
    </row>
    <row r="57" customFormat="false" ht="19.5" hidden="false" customHeight="true" outlineLevel="0" collapsed="false">
      <c r="A57" s="88"/>
      <c r="B57" s="68" t="str">
        <f aca="false">IF(A57&lt;&gt;"",IFERROR(INDEX('Trade Log'!$G$5:$G$1004,MATCH(A57,'Trade Log'!$B$5:$B$1004,0)),""),"")</f>
        <v/>
      </c>
      <c r="C57" s="69" t="str">
        <f aca="false">IF(A57&lt;&gt;"",IFERROR(INDEX('Trade Log'!$I$5:$I$1004,MATCH(A57,'Trade Log'!$B$5:$B$1004,0)),""),"")</f>
        <v/>
      </c>
      <c r="D57" s="67" t="str">
        <f aca="false">IF(A57&lt;&gt;"",COUNTIF('Trade Log'!$B$5:$B$1004,A57),"")</f>
        <v/>
      </c>
      <c r="E57" s="67" t="str">
        <f aca="false">IF(A57&lt;&gt;"",SUMIF('Trade Log'!$B$5:$B$1004,A57,'Trade Log'!$L$5:$L$1004),"")</f>
        <v/>
      </c>
      <c r="F57" s="70" t="str">
        <f aca="false">IF(A57&lt;&gt;"",SUMIF('Trade Log'!$B$5:$B$1004,A57,'Trade Log'!$Q$5:$Q$1004),"")</f>
        <v/>
      </c>
      <c r="G57" s="70" t="str">
        <f aca="false">IF(A57&lt;&gt;"",SUMIF('Trade Log'!$B$5:$B$1004,A57,'Trade Log'!$R$5:$R$1004),"")</f>
        <v/>
      </c>
      <c r="H57" s="71" t="str">
        <f aca="false">IF(A57&lt;&gt;"",SUMIF('Trade Log'!$B$5:$B$1004,A57,'Trade Log'!$T$5:$T$1004),"")</f>
        <v/>
      </c>
      <c r="I57" s="72" t="str">
        <f aca="false">IF(A57&lt;&gt;"",IFERROR(SUMIF('Trade Log'!$B$5:$B$1004,A57,'Trade Log'!$R$5:$R$1004)/SUMIF('Trade Log'!$B$5:$B$1004,A57,'Trade Log'!$Q$5:$Q$1004)-1,""),"")</f>
        <v/>
      </c>
      <c r="J57" s="73" t="str">
        <f aca="false">IF(A57&lt;&gt;"",SUMIF('Trade Log'!$B$5:$B$1004,A57,'Trade Log'!$V$5:$V$1004),"")</f>
        <v/>
      </c>
      <c r="K57" s="74" t="str">
        <f aca="false">IF(A57&lt;&gt;"",IFERROR(SUMIF('Trade Log'!$B$5:$B$1004,A57,'Trade Log'!$V$5:$V$1004)/SUMIF('Trade Log'!$B$5:$B$1004,A57,'Trade Log'!$Q$5:$Q$1004),""),"")</f>
        <v/>
      </c>
      <c r="L57" s="75" t="str">
        <f aca="false">IF(A57&lt;&gt;"",IFERROR(SUMIFS('Trade Log'!$L$5:$L$1004,'Trade Log'!$B$5:$B$1004,A57,'Trade Log'!$E$5:$E$1004,""),0),"")</f>
        <v/>
      </c>
      <c r="M57" s="76" t="str">
        <f aca="false">IF(A57&lt;&gt;"",IFERROR(INDEX('Trade Log'!$AB$5:$AB$1004,MATCH(2,1/('Trade Log'!$B$5:$B$1004=A57),1)),""),"")</f>
        <v/>
      </c>
    </row>
    <row r="58" customFormat="false" ht="19.5" hidden="false" customHeight="true" outlineLevel="0" collapsed="false">
      <c r="A58" s="77"/>
      <c r="B58" s="78" t="str">
        <f aca="false">IF(A58&lt;&gt;"",IFERROR(INDEX('Trade Log'!$G$5:$G$1004,MATCH(A58,'Trade Log'!$B$5:$B$1004,0)),""),"")</f>
        <v/>
      </c>
      <c r="C58" s="79" t="str">
        <f aca="false">IF(A58&lt;&gt;"",IFERROR(INDEX('Trade Log'!$I$5:$I$1004,MATCH(A58,'Trade Log'!$B$5:$B$1004,0)),""),"")</f>
        <v/>
      </c>
      <c r="D58" s="80" t="str">
        <f aca="false">IF(A58&lt;&gt;"",COUNTIF('Trade Log'!$B$5:$B$1004,A58),"")</f>
        <v/>
      </c>
      <c r="E58" s="80" t="str">
        <f aca="false">IF(A58&lt;&gt;"",SUMIF('Trade Log'!$B$5:$B$1004,A58,'Trade Log'!$L$5:$L$1004),"")</f>
        <v/>
      </c>
      <c r="F58" s="81" t="str">
        <f aca="false">IF(A58&lt;&gt;"",SUMIF('Trade Log'!$B$5:$B$1004,A58,'Trade Log'!$Q$5:$Q$1004),"")</f>
        <v/>
      </c>
      <c r="G58" s="81" t="str">
        <f aca="false">IF(A58&lt;&gt;"",SUMIF('Trade Log'!$B$5:$B$1004,A58,'Trade Log'!$R$5:$R$1004),"")</f>
        <v/>
      </c>
      <c r="H58" s="82" t="str">
        <f aca="false">IF(A58&lt;&gt;"",SUMIF('Trade Log'!$B$5:$B$1004,A58,'Trade Log'!$T$5:$T$1004),"")</f>
        <v/>
      </c>
      <c r="I58" s="83" t="str">
        <f aca="false">IF(A58&lt;&gt;"",IFERROR(SUMIF('Trade Log'!$B$5:$B$1004,A58,'Trade Log'!$R$5:$R$1004)/SUMIF('Trade Log'!$B$5:$B$1004,A58,'Trade Log'!$Q$5:$Q$1004)-1,""),"")</f>
        <v/>
      </c>
      <c r="J58" s="84" t="str">
        <f aca="false">IF(A58&lt;&gt;"",SUMIF('Trade Log'!$B$5:$B$1004,A58,'Trade Log'!$V$5:$V$1004),"")</f>
        <v/>
      </c>
      <c r="K58" s="85" t="str">
        <f aca="false">IF(A58&lt;&gt;"",IFERROR(SUMIF('Trade Log'!$B$5:$B$1004,A58,'Trade Log'!$V$5:$V$1004)/SUMIF('Trade Log'!$B$5:$B$1004,A58,'Trade Log'!$Q$5:$Q$1004),""),"")</f>
        <v/>
      </c>
      <c r="L58" s="86" t="str">
        <f aca="false">IF(A58&lt;&gt;"",IFERROR(SUMIFS('Trade Log'!$L$5:$L$1004,'Trade Log'!$B$5:$B$1004,A58,'Trade Log'!$E$5:$E$1004,""),0),"")</f>
        <v/>
      </c>
      <c r="M58" s="87" t="str">
        <f aca="false">IF(A58&lt;&gt;"",IFERROR(INDEX('Trade Log'!$AB$5:$AB$1004,MATCH(2,1/('Trade Log'!$B$5:$B$1004=A58),1)),""),"")</f>
        <v/>
      </c>
    </row>
    <row r="59" customFormat="false" ht="19.5" hidden="false" customHeight="true" outlineLevel="0" collapsed="false">
      <c r="A59" s="88"/>
      <c r="B59" s="68" t="str">
        <f aca="false">IF(A59&lt;&gt;"",IFERROR(INDEX('Trade Log'!$G$5:$G$1004,MATCH(A59,'Trade Log'!$B$5:$B$1004,0)),""),"")</f>
        <v/>
      </c>
      <c r="C59" s="69" t="str">
        <f aca="false">IF(A59&lt;&gt;"",IFERROR(INDEX('Trade Log'!$I$5:$I$1004,MATCH(A59,'Trade Log'!$B$5:$B$1004,0)),""),"")</f>
        <v/>
      </c>
      <c r="D59" s="67" t="str">
        <f aca="false">IF(A59&lt;&gt;"",COUNTIF('Trade Log'!$B$5:$B$1004,A59),"")</f>
        <v/>
      </c>
      <c r="E59" s="67" t="str">
        <f aca="false">IF(A59&lt;&gt;"",SUMIF('Trade Log'!$B$5:$B$1004,A59,'Trade Log'!$L$5:$L$1004),"")</f>
        <v/>
      </c>
      <c r="F59" s="70" t="str">
        <f aca="false">IF(A59&lt;&gt;"",SUMIF('Trade Log'!$B$5:$B$1004,A59,'Trade Log'!$Q$5:$Q$1004),"")</f>
        <v/>
      </c>
      <c r="G59" s="70" t="str">
        <f aca="false">IF(A59&lt;&gt;"",SUMIF('Trade Log'!$B$5:$B$1004,A59,'Trade Log'!$R$5:$R$1004),"")</f>
        <v/>
      </c>
      <c r="H59" s="71" t="str">
        <f aca="false">IF(A59&lt;&gt;"",SUMIF('Trade Log'!$B$5:$B$1004,A59,'Trade Log'!$T$5:$T$1004),"")</f>
        <v/>
      </c>
      <c r="I59" s="72" t="str">
        <f aca="false">IF(A59&lt;&gt;"",IFERROR(SUMIF('Trade Log'!$B$5:$B$1004,A59,'Trade Log'!$R$5:$R$1004)/SUMIF('Trade Log'!$B$5:$B$1004,A59,'Trade Log'!$Q$5:$Q$1004)-1,""),"")</f>
        <v/>
      </c>
      <c r="J59" s="73" t="str">
        <f aca="false">IF(A59&lt;&gt;"",SUMIF('Trade Log'!$B$5:$B$1004,A59,'Trade Log'!$V$5:$V$1004),"")</f>
        <v/>
      </c>
      <c r="K59" s="74" t="str">
        <f aca="false">IF(A59&lt;&gt;"",IFERROR(SUMIF('Trade Log'!$B$5:$B$1004,A59,'Trade Log'!$V$5:$V$1004)/SUMIF('Trade Log'!$B$5:$B$1004,A59,'Trade Log'!$Q$5:$Q$1004),""),"")</f>
        <v/>
      </c>
      <c r="L59" s="75" t="str">
        <f aca="false">IF(A59&lt;&gt;"",IFERROR(SUMIFS('Trade Log'!$L$5:$L$1004,'Trade Log'!$B$5:$B$1004,A59,'Trade Log'!$E$5:$E$1004,""),0),"")</f>
        <v/>
      </c>
      <c r="M59" s="76" t="str">
        <f aca="false">IF(A59&lt;&gt;"",IFERROR(INDEX('Trade Log'!$AB$5:$AB$1004,MATCH(2,1/('Trade Log'!$B$5:$B$1004=A59),1)),""),"")</f>
        <v/>
      </c>
    </row>
    <row r="60" customFormat="false" ht="19.5" hidden="false" customHeight="true" outlineLevel="0" collapsed="false">
      <c r="A60" s="77"/>
      <c r="B60" s="78" t="str">
        <f aca="false">IF(A60&lt;&gt;"",IFERROR(INDEX('Trade Log'!$G$5:$G$1004,MATCH(A60,'Trade Log'!$B$5:$B$1004,0)),""),"")</f>
        <v/>
      </c>
      <c r="C60" s="79" t="str">
        <f aca="false">IF(A60&lt;&gt;"",IFERROR(INDEX('Trade Log'!$I$5:$I$1004,MATCH(A60,'Trade Log'!$B$5:$B$1004,0)),""),"")</f>
        <v/>
      </c>
      <c r="D60" s="80" t="str">
        <f aca="false">IF(A60&lt;&gt;"",COUNTIF('Trade Log'!$B$5:$B$1004,A60),"")</f>
        <v/>
      </c>
      <c r="E60" s="80" t="str">
        <f aca="false">IF(A60&lt;&gt;"",SUMIF('Trade Log'!$B$5:$B$1004,A60,'Trade Log'!$L$5:$L$1004),"")</f>
        <v/>
      </c>
      <c r="F60" s="81" t="str">
        <f aca="false">IF(A60&lt;&gt;"",SUMIF('Trade Log'!$B$5:$B$1004,A60,'Trade Log'!$Q$5:$Q$1004),"")</f>
        <v/>
      </c>
      <c r="G60" s="81" t="str">
        <f aca="false">IF(A60&lt;&gt;"",SUMIF('Trade Log'!$B$5:$B$1004,A60,'Trade Log'!$R$5:$R$1004),"")</f>
        <v/>
      </c>
      <c r="H60" s="82" t="str">
        <f aca="false">IF(A60&lt;&gt;"",SUMIF('Trade Log'!$B$5:$B$1004,A60,'Trade Log'!$T$5:$T$1004),"")</f>
        <v/>
      </c>
      <c r="I60" s="83" t="str">
        <f aca="false">IF(A60&lt;&gt;"",IFERROR(SUMIF('Trade Log'!$B$5:$B$1004,A60,'Trade Log'!$R$5:$R$1004)/SUMIF('Trade Log'!$B$5:$B$1004,A60,'Trade Log'!$Q$5:$Q$1004)-1,""),"")</f>
        <v/>
      </c>
      <c r="J60" s="84" t="str">
        <f aca="false">IF(A60&lt;&gt;"",SUMIF('Trade Log'!$B$5:$B$1004,A60,'Trade Log'!$V$5:$V$1004),"")</f>
        <v/>
      </c>
      <c r="K60" s="85" t="str">
        <f aca="false">IF(A60&lt;&gt;"",IFERROR(SUMIF('Trade Log'!$B$5:$B$1004,A60,'Trade Log'!$V$5:$V$1004)/SUMIF('Trade Log'!$B$5:$B$1004,A60,'Trade Log'!$Q$5:$Q$1004),""),"")</f>
        <v/>
      </c>
      <c r="L60" s="86" t="str">
        <f aca="false">IF(A60&lt;&gt;"",IFERROR(SUMIFS('Trade Log'!$L$5:$L$1004,'Trade Log'!$B$5:$B$1004,A60,'Trade Log'!$E$5:$E$1004,""),0),"")</f>
        <v/>
      </c>
      <c r="M60" s="87" t="str">
        <f aca="false">IF(A60&lt;&gt;"",IFERROR(INDEX('Trade Log'!$AB$5:$AB$1004,MATCH(2,1/('Trade Log'!$B$5:$B$1004=A60),1)),""),"")</f>
        <v/>
      </c>
    </row>
    <row r="61" customFormat="false" ht="19.5" hidden="false" customHeight="true" outlineLevel="0" collapsed="false">
      <c r="A61" s="88"/>
      <c r="B61" s="68" t="str">
        <f aca="false">IF(A61&lt;&gt;"",IFERROR(INDEX('Trade Log'!$G$5:$G$1004,MATCH(A61,'Trade Log'!$B$5:$B$1004,0)),""),"")</f>
        <v/>
      </c>
      <c r="C61" s="69" t="str">
        <f aca="false">IF(A61&lt;&gt;"",IFERROR(INDEX('Trade Log'!$I$5:$I$1004,MATCH(A61,'Trade Log'!$B$5:$B$1004,0)),""),"")</f>
        <v/>
      </c>
      <c r="D61" s="67" t="str">
        <f aca="false">IF(A61&lt;&gt;"",COUNTIF('Trade Log'!$B$5:$B$1004,A61),"")</f>
        <v/>
      </c>
      <c r="E61" s="67" t="str">
        <f aca="false">IF(A61&lt;&gt;"",SUMIF('Trade Log'!$B$5:$B$1004,A61,'Trade Log'!$L$5:$L$1004),"")</f>
        <v/>
      </c>
      <c r="F61" s="70" t="str">
        <f aca="false">IF(A61&lt;&gt;"",SUMIF('Trade Log'!$B$5:$B$1004,A61,'Trade Log'!$Q$5:$Q$1004),"")</f>
        <v/>
      </c>
      <c r="G61" s="70" t="str">
        <f aca="false">IF(A61&lt;&gt;"",SUMIF('Trade Log'!$B$5:$B$1004,A61,'Trade Log'!$R$5:$R$1004),"")</f>
        <v/>
      </c>
      <c r="H61" s="71" t="str">
        <f aca="false">IF(A61&lt;&gt;"",SUMIF('Trade Log'!$B$5:$B$1004,A61,'Trade Log'!$T$5:$T$1004),"")</f>
        <v/>
      </c>
      <c r="I61" s="72" t="str">
        <f aca="false">IF(A61&lt;&gt;"",IFERROR(SUMIF('Trade Log'!$B$5:$B$1004,A61,'Trade Log'!$R$5:$R$1004)/SUMIF('Trade Log'!$B$5:$B$1004,A61,'Trade Log'!$Q$5:$Q$1004)-1,""),"")</f>
        <v/>
      </c>
      <c r="J61" s="73" t="str">
        <f aca="false">IF(A61&lt;&gt;"",SUMIF('Trade Log'!$B$5:$B$1004,A61,'Trade Log'!$V$5:$V$1004),"")</f>
        <v/>
      </c>
      <c r="K61" s="74" t="str">
        <f aca="false">IF(A61&lt;&gt;"",IFERROR(SUMIF('Trade Log'!$B$5:$B$1004,A61,'Trade Log'!$V$5:$V$1004)/SUMIF('Trade Log'!$B$5:$B$1004,A61,'Trade Log'!$Q$5:$Q$1004),""),"")</f>
        <v/>
      </c>
      <c r="L61" s="75" t="str">
        <f aca="false">IF(A61&lt;&gt;"",IFERROR(SUMIFS('Trade Log'!$L$5:$L$1004,'Trade Log'!$B$5:$B$1004,A61,'Trade Log'!$E$5:$E$1004,""),0),"")</f>
        <v/>
      </c>
      <c r="M61" s="76" t="str">
        <f aca="false">IF(A61&lt;&gt;"",IFERROR(INDEX('Trade Log'!$AB$5:$AB$1004,MATCH(2,1/('Trade Log'!$B$5:$B$1004=A61),1)),""),"")</f>
        <v/>
      </c>
    </row>
    <row r="62" customFormat="false" ht="19.5" hidden="false" customHeight="true" outlineLevel="0" collapsed="false">
      <c r="A62" s="77"/>
      <c r="B62" s="78" t="str">
        <f aca="false">IF(A62&lt;&gt;"",IFERROR(INDEX('Trade Log'!$G$5:$G$1004,MATCH(A62,'Trade Log'!$B$5:$B$1004,0)),""),"")</f>
        <v/>
      </c>
      <c r="C62" s="79" t="str">
        <f aca="false">IF(A62&lt;&gt;"",IFERROR(INDEX('Trade Log'!$I$5:$I$1004,MATCH(A62,'Trade Log'!$B$5:$B$1004,0)),""),"")</f>
        <v/>
      </c>
      <c r="D62" s="80" t="str">
        <f aca="false">IF(A62&lt;&gt;"",COUNTIF('Trade Log'!$B$5:$B$1004,A62),"")</f>
        <v/>
      </c>
      <c r="E62" s="80" t="str">
        <f aca="false">IF(A62&lt;&gt;"",SUMIF('Trade Log'!$B$5:$B$1004,A62,'Trade Log'!$L$5:$L$1004),"")</f>
        <v/>
      </c>
      <c r="F62" s="81" t="str">
        <f aca="false">IF(A62&lt;&gt;"",SUMIF('Trade Log'!$B$5:$B$1004,A62,'Trade Log'!$Q$5:$Q$1004),"")</f>
        <v/>
      </c>
      <c r="G62" s="81" t="str">
        <f aca="false">IF(A62&lt;&gt;"",SUMIF('Trade Log'!$B$5:$B$1004,A62,'Trade Log'!$R$5:$R$1004),"")</f>
        <v/>
      </c>
      <c r="H62" s="82" t="str">
        <f aca="false">IF(A62&lt;&gt;"",SUMIF('Trade Log'!$B$5:$B$1004,A62,'Trade Log'!$T$5:$T$1004),"")</f>
        <v/>
      </c>
      <c r="I62" s="83" t="str">
        <f aca="false">IF(A62&lt;&gt;"",IFERROR(SUMIF('Trade Log'!$B$5:$B$1004,A62,'Trade Log'!$R$5:$R$1004)/SUMIF('Trade Log'!$B$5:$B$1004,A62,'Trade Log'!$Q$5:$Q$1004)-1,""),"")</f>
        <v/>
      </c>
      <c r="J62" s="84" t="str">
        <f aca="false">IF(A62&lt;&gt;"",SUMIF('Trade Log'!$B$5:$B$1004,A62,'Trade Log'!$V$5:$V$1004),"")</f>
        <v/>
      </c>
      <c r="K62" s="85" t="str">
        <f aca="false">IF(A62&lt;&gt;"",IFERROR(SUMIF('Trade Log'!$B$5:$B$1004,A62,'Trade Log'!$V$5:$V$1004)/SUMIF('Trade Log'!$B$5:$B$1004,A62,'Trade Log'!$Q$5:$Q$1004),""),"")</f>
        <v/>
      </c>
      <c r="L62" s="86" t="str">
        <f aca="false">IF(A62&lt;&gt;"",IFERROR(SUMIFS('Trade Log'!$L$5:$L$1004,'Trade Log'!$B$5:$B$1004,A62,'Trade Log'!$E$5:$E$1004,""),0),"")</f>
        <v/>
      </c>
      <c r="M62" s="87" t="str">
        <f aca="false">IF(A62&lt;&gt;"",IFERROR(INDEX('Trade Log'!$AB$5:$AB$1004,MATCH(2,1/('Trade Log'!$B$5:$B$1004=A62),1)),""),"")</f>
        <v/>
      </c>
    </row>
    <row r="63" customFormat="false" ht="19.5" hidden="false" customHeight="true" outlineLevel="0" collapsed="false">
      <c r="A63" s="88"/>
      <c r="B63" s="68" t="str">
        <f aca="false">IF(A63&lt;&gt;"",IFERROR(INDEX('Trade Log'!$G$5:$G$1004,MATCH(A63,'Trade Log'!$B$5:$B$1004,0)),""),"")</f>
        <v/>
      </c>
      <c r="C63" s="69" t="str">
        <f aca="false">IF(A63&lt;&gt;"",IFERROR(INDEX('Trade Log'!$I$5:$I$1004,MATCH(A63,'Trade Log'!$B$5:$B$1004,0)),""),"")</f>
        <v/>
      </c>
      <c r="D63" s="67" t="str">
        <f aca="false">IF(A63&lt;&gt;"",COUNTIF('Trade Log'!$B$5:$B$1004,A63),"")</f>
        <v/>
      </c>
      <c r="E63" s="67" t="str">
        <f aca="false">IF(A63&lt;&gt;"",SUMIF('Trade Log'!$B$5:$B$1004,A63,'Trade Log'!$L$5:$L$1004),"")</f>
        <v/>
      </c>
      <c r="F63" s="70" t="str">
        <f aca="false">IF(A63&lt;&gt;"",SUMIF('Trade Log'!$B$5:$B$1004,A63,'Trade Log'!$Q$5:$Q$1004),"")</f>
        <v/>
      </c>
      <c r="G63" s="70" t="str">
        <f aca="false">IF(A63&lt;&gt;"",SUMIF('Trade Log'!$B$5:$B$1004,A63,'Trade Log'!$R$5:$R$1004),"")</f>
        <v/>
      </c>
      <c r="H63" s="71" t="str">
        <f aca="false">IF(A63&lt;&gt;"",SUMIF('Trade Log'!$B$5:$B$1004,A63,'Trade Log'!$T$5:$T$1004),"")</f>
        <v/>
      </c>
      <c r="I63" s="72" t="str">
        <f aca="false">IF(A63&lt;&gt;"",IFERROR(SUMIF('Trade Log'!$B$5:$B$1004,A63,'Trade Log'!$R$5:$R$1004)/SUMIF('Trade Log'!$B$5:$B$1004,A63,'Trade Log'!$Q$5:$Q$1004)-1,""),"")</f>
        <v/>
      </c>
      <c r="J63" s="73" t="str">
        <f aca="false">IF(A63&lt;&gt;"",SUMIF('Trade Log'!$B$5:$B$1004,A63,'Trade Log'!$V$5:$V$1004),"")</f>
        <v/>
      </c>
      <c r="K63" s="74" t="str">
        <f aca="false">IF(A63&lt;&gt;"",IFERROR(SUMIF('Trade Log'!$B$5:$B$1004,A63,'Trade Log'!$V$5:$V$1004)/SUMIF('Trade Log'!$B$5:$B$1004,A63,'Trade Log'!$Q$5:$Q$1004),""),"")</f>
        <v/>
      </c>
      <c r="L63" s="75" t="str">
        <f aca="false">IF(A63&lt;&gt;"",IFERROR(SUMIFS('Trade Log'!$L$5:$L$1004,'Trade Log'!$B$5:$B$1004,A63,'Trade Log'!$E$5:$E$1004,""),0),"")</f>
        <v/>
      </c>
      <c r="M63" s="76" t="str">
        <f aca="false">IF(A63&lt;&gt;"",IFERROR(INDEX('Trade Log'!$AB$5:$AB$1004,MATCH(2,1/('Trade Log'!$B$5:$B$1004=A63),1)),""),"")</f>
        <v/>
      </c>
    </row>
    <row r="64" customFormat="false" ht="19.5" hidden="false" customHeight="true" outlineLevel="0" collapsed="false">
      <c r="A64" s="77"/>
      <c r="B64" s="78" t="str">
        <f aca="false">IF(A64&lt;&gt;"",IFERROR(INDEX('Trade Log'!$G$5:$G$1004,MATCH(A64,'Trade Log'!$B$5:$B$1004,0)),""),"")</f>
        <v/>
      </c>
      <c r="C64" s="79" t="str">
        <f aca="false">IF(A64&lt;&gt;"",IFERROR(INDEX('Trade Log'!$I$5:$I$1004,MATCH(A64,'Trade Log'!$B$5:$B$1004,0)),""),"")</f>
        <v/>
      </c>
      <c r="D64" s="80" t="str">
        <f aca="false">IF(A64&lt;&gt;"",COUNTIF('Trade Log'!$B$5:$B$1004,A64),"")</f>
        <v/>
      </c>
      <c r="E64" s="80" t="str">
        <f aca="false">IF(A64&lt;&gt;"",SUMIF('Trade Log'!$B$5:$B$1004,A64,'Trade Log'!$L$5:$L$1004),"")</f>
        <v/>
      </c>
      <c r="F64" s="81" t="str">
        <f aca="false">IF(A64&lt;&gt;"",SUMIF('Trade Log'!$B$5:$B$1004,A64,'Trade Log'!$Q$5:$Q$1004),"")</f>
        <v/>
      </c>
      <c r="G64" s="81" t="str">
        <f aca="false">IF(A64&lt;&gt;"",SUMIF('Trade Log'!$B$5:$B$1004,A64,'Trade Log'!$R$5:$R$1004),"")</f>
        <v/>
      </c>
      <c r="H64" s="82" t="str">
        <f aca="false">IF(A64&lt;&gt;"",SUMIF('Trade Log'!$B$5:$B$1004,A64,'Trade Log'!$T$5:$T$1004),"")</f>
        <v/>
      </c>
      <c r="I64" s="83" t="str">
        <f aca="false">IF(A64&lt;&gt;"",IFERROR(SUMIF('Trade Log'!$B$5:$B$1004,A64,'Trade Log'!$R$5:$R$1004)/SUMIF('Trade Log'!$B$5:$B$1004,A64,'Trade Log'!$Q$5:$Q$1004)-1,""),"")</f>
        <v/>
      </c>
      <c r="J64" s="84" t="str">
        <f aca="false">IF(A64&lt;&gt;"",SUMIF('Trade Log'!$B$5:$B$1004,A64,'Trade Log'!$V$5:$V$1004),"")</f>
        <v/>
      </c>
      <c r="K64" s="85" t="str">
        <f aca="false">IF(A64&lt;&gt;"",IFERROR(SUMIF('Trade Log'!$B$5:$B$1004,A64,'Trade Log'!$V$5:$V$1004)/SUMIF('Trade Log'!$B$5:$B$1004,A64,'Trade Log'!$Q$5:$Q$1004),""),"")</f>
        <v/>
      </c>
      <c r="L64" s="86" t="str">
        <f aca="false">IF(A64&lt;&gt;"",IFERROR(SUMIFS('Trade Log'!$L$5:$L$1004,'Trade Log'!$B$5:$B$1004,A64,'Trade Log'!$E$5:$E$1004,""),0),"")</f>
        <v/>
      </c>
      <c r="M64" s="87" t="str">
        <f aca="false">IF(A64&lt;&gt;"",IFERROR(INDEX('Trade Log'!$AB$5:$AB$1004,MATCH(2,1/('Trade Log'!$B$5:$B$1004=A64),1)),""),"")</f>
        <v/>
      </c>
    </row>
    <row r="65" customFormat="false" ht="19.5" hidden="false" customHeight="true" outlineLevel="0" collapsed="false">
      <c r="A65" s="88"/>
      <c r="B65" s="68" t="str">
        <f aca="false">IF(A65&lt;&gt;"",IFERROR(INDEX('Trade Log'!$G$5:$G$1004,MATCH(A65,'Trade Log'!$B$5:$B$1004,0)),""),"")</f>
        <v/>
      </c>
      <c r="C65" s="69" t="str">
        <f aca="false">IF(A65&lt;&gt;"",IFERROR(INDEX('Trade Log'!$I$5:$I$1004,MATCH(A65,'Trade Log'!$B$5:$B$1004,0)),""),"")</f>
        <v/>
      </c>
      <c r="D65" s="67" t="str">
        <f aca="false">IF(A65&lt;&gt;"",COUNTIF('Trade Log'!$B$5:$B$1004,A65),"")</f>
        <v/>
      </c>
      <c r="E65" s="67" t="str">
        <f aca="false">IF(A65&lt;&gt;"",SUMIF('Trade Log'!$B$5:$B$1004,A65,'Trade Log'!$L$5:$L$1004),"")</f>
        <v/>
      </c>
      <c r="F65" s="70" t="str">
        <f aca="false">IF(A65&lt;&gt;"",SUMIF('Trade Log'!$B$5:$B$1004,A65,'Trade Log'!$Q$5:$Q$1004),"")</f>
        <v/>
      </c>
      <c r="G65" s="70" t="str">
        <f aca="false">IF(A65&lt;&gt;"",SUMIF('Trade Log'!$B$5:$B$1004,A65,'Trade Log'!$R$5:$R$1004),"")</f>
        <v/>
      </c>
      <c r="H65" s="71" t="str">
        <f aca="false">IF(A65&lt;&gt;"",SUMIF('Trade Log'!$B$5:$B$1004,A65,'Trade Log'!$T$5:$T$1004),"")</f>
        <v/>
      </c>
      <c r="I65" s="72" t="str">
        <f aca="false">IF(A65&lt;&gt;"",IFERROR(SUMIF('Trade Log'!$B$5:$B$1004,A65,'Trade Log'!$R$5:$R$1004)/SUMIF('Trade Log'!$B$5:$B$1004,A65,'Trade Log'!$Q$5:$Q$1004)-1,""),"")</f>
        <v/>
      </c>
      <c r="J65" s="73" t="str">
        <f aca="false">IF(A65&lt;&gt;"",SUMIF('Trade Log'!$B$5:$B$1004,A65,'Trade Log'!$V$5:$V$1004),"")</f>
        <v/>
      </c>
      <c r="K65" s="74" t="str">
        <f aca="false">IF(A65&lt;&gt;"",IFERROR(SUMIF('Trade Log'!$B$5:$B$1004,A65,'Trade Log'!$V$5:$V$1004)/SUMIF('Trade Log'!$B$5:$B$1004,A65,'Trade Log'!$Q$5:$Q$1004),""),"")</f>
        <v/>
      </c>
      <c r="L65" s="75" t="str">
        <f aca="false">IF(A65&lt;&gt;"",IFERROR(SUMIFS('Trade Log'!$L$5:$L$1004,'Trade Log'!$B$5:$B$1004,A65,'Trade Log'!$E$5:$E$1004,""),0),"")</f>
        <v/>
      </c>
      <c r="M65" s="76" t="str">
        <f aca="false">IF(A65&lt;&gt;"",IFERROR(INDEX('Trade Log'!$AB$5:$AB$1004,MATCH(2,1/('Trade Log'!$B$5:$B$1004=A65),1)),""),"")</f>
        <v/>
      </c>
    </row>
    <row r="66" customFormat="false" ht="19.5" hidden="false" customHeight="true" outlineLevel="0" collapsed="false">
      <c r="A66" s="77"/>
      <c r="B66" s="78" t="str">
        <f aca="false">IF(A66&lt;&gt;"",IFERROR(INDEX('Trade Log'!$G$5:$G$1004,MATCH(A66,'Trade Log'!$B$5:$B$1004,0)),""),"")</f>
        <v/>
      </c>
      <c r="C66" s="79" t="str">
        <f aca="false">IF(A66&lt;&gt;"",IFERROR(INDEX('Trade Log'!$I$5:$I$1004,MATCH(A66,'Trade Log'!$B$5:$B$1004,0)),""),"")</f>
        <v/>
      </c>
      <c r="D66" s="80" t="str">
        <f aca="false">IF(A66&lt;&gt;"",COUNTIF('Trade Log'!$B$5:$B$1004,A66),"")</f>
        <v/>
      </c>
      <c r="E66" s="80" t="str">
        <f aca="false">IF(A66&lt;&gt;"",SUMIF('Trade Log'!$B$5:$B$1004,A66,'Trade Log'!$L$5:$L$1004),"")</f>
        <v/>
      </c>
      <c r="F66" s="81" t="str">
        <f aca="false">IF(A66&lt;&gt;"",SUMIF('Trade Log'!$B$5:$B$1004,A66,'Trade Log'!$Q$5:$Q$1004),"")</f>
        <v/>
      </c>
      <c r="G66" s="81" t="str">
        <f aca="false">IF(A66&lt;&gt;"",SUMIF('Trade Log'!$B$5:$B$1004,A66,'Trade Log'!$R$5:$R$1004),"")</f>
        <v/>
      </c>
      <c r="H66" s="82" t="str">
        <f aca="false">IF(A66&lt;&gt;"",SUMIF('Trade Log'!$B$5:$B$1004,A66,'Trade Log'!$T$5:$T$1004),"")</f>
        <v/>
      </c>
      <c r="I66" s="83" t="str">
        <f aca="false">IF(A66&lt;&gt;"",IFERROR(SUMIF('Trade Log'!$B$5:$B$1004,A66,'Trade Log'!$R$5:$R$1004)/SUMIF('Trade Log'!$B$5:$B$1004,A66,'Trade Log'!$Q$5:$Q$1004)-1,""),"")</f>
        <v/>
      </c>
      <c r="J66" s="84" t="str">
        <f aca="false">IF(A66&lt;&gt;"",SUMIF('Trade Log'!$B$5:$B$1004,A66,'Trade Log'!$V$5:$V$1004),"")</f>
        <v/>
      </c>
      <c r="K66" s="85" t="str">
        <f aca="false">IF(A66&lt;&gt;"",IFERROR(SUMIF('Trade Log'!$B$5:$B$1004,A66,'Trade Log'!$V$5:$V$1004)/SUMIF('Trade Log'!$B$5:$B$1004,A66,'Trade Log'!$Q$5:$Q$1004),""),"")</f>
        <v/>
      </c>
      <c r="L66" s="86" t="str">
        <f aca="false">IF(A66&lt;&gt;"",IFERROR(SUMIFS('Trade Log'!$L$5:$L$1004,'Trade Log'!$B$5:$B$1004,A66,'Trade Log'!$E$5:$E$1004,""),0),"")</f>
        <v/>
      </c>
      <c r="M66" s="87" t="str">
        <f aca="false">IF(A66&lt;&gt;"",IFERROR(INDEX('Trade Log'!$AB$5:$AB$1004,MATCH(2,1/('Trade Log'!$B$5:$B$1004=A66),1)),""),"")</f>
        <v/>
      </c>
    </row>
    <row r="67" customFormat="false" ht="19.5" hidden="false" customHeight="true" outlineLevel="0" collapsed="false">
      <c r="A67" s="88"/>
      <c r="B67" s="68" t="str">
        <f aca="false">IF(A67&lt;&gt;"",IFERROR(INDEX('Trade Log'!$G$5:$G$1004,MATCH(A67,'Trade Log'!$B$5:$B$1004,0)),""),"")</f>
        <v/>
      </c>
      <c r="C67" s="69" t="str">
        <f aca="false">IF(A67&lt;&gt;"",IFERROR(INDEX('Trade Log'!$I$5:$I$1004,MATCH(A67,'Trade Log'!$B$5:$B$1004,0)),""),"")</f>
        <v/>
      </c>
      <c r="D67" s="67" t="str">
        <f aca="false">IF(A67&lt;&gt;"",COUNTIF('Trade Log'!$B$5:$B$1004,A67),"")</f>
        <v/>
      </c>
      <c r="E67" s="67" t="str">
        <f aca="false">IF(A67&lt;&gt;"",SUMIF('Trade Log'!$B$5:$B$1004,A67,'Trade Log'!$L$5:$L$1004),"")</f>
        <v/>
      </c>
      <c r="F67" s="70" t="str">
        <f aca="false">IF(A67&lt;&gt;"",SUMIF('Trade Log'!$B$5:$B$1004,A67,'Trade Log'!$Q$5:$Q$1004),"")</f>
        <v/>
      </c>
      <c r="G67" s="70" t="str">
        <f aca="false">IF(A67&lt;&gt;"",SUMIF('Trade Log'!$B$5:$B$1004,A67,'Trade Log'!$R$5:$R$1004),"")</f>
        <v/>
      </c>
      <c r="H67" s="71" t="str">
        <f aca="false">IF(A67&lt;&gt;"",SUMIF('Trade Log'!$B$5:$B$1004,A67,'Trade Log'!$T$5:$T$1004),"")</f>
        <v/>
      </c>
      <c r="I67" s="72" t="str">
        <f aca="false">IF(A67&lt;&gt;"",IFERROR(SUMIF('Trade Log'!$B$5:$B$1004,A67,'Trade Log'!$R$5:$R$1004)/SUMIF('Trade Log'!$B$5:$B$1004,A67,'Trade Log'!$Q$5:$Q$1004)-1,""),"")</f>
        <v/>
      </c>
      <c r="J67" s="73" t="str">
        <f aca="false">IF(A67&lt;&gt;"",SUMIF('Trade Log'!$B$5:$B$1004,A67,'Trade Log'!$V$5:$V$1004),"")</f>
        <v/>
      </c>
      <c r="K67" s="74" t="str">
        <f aca="false">IF(A67&lt;&gt;"",IFERROR(SUMIF('Trade Log'!$B$5:$B$1004,A67,'Trade Log'!$V$5:$V$1004)/SUMIF('Trade Log'!$B$5:$B$1004,A67,'Trade Log'!$Q$5:$Q$1004),""),"")</f>
        <v/>
      </c>
      <c r="L67" s="75" t="str">
        <f aca="false">IF(A67&lt;&gt;"",IFERROR(SUMIFS('Trade Log'!$L$5:$L$1004,'Trade Log'!$B$5:$B$1004,A67,'Trade Log'!$E$5:$E$1004,""),0),"")</f>
        <v/>
      </c>
      <c r="M67" s="76" t="str">
        <f aca="false">IF(A67&lt;&gt;"",IFERROR(INDEX('Trade Log'!$AB$5:$AB$1004,MATCH(2,1/('Trade Log'!$B$5:$B$1004=A67),1)),""),"")</f>
        <v/>
      </c>
    </row>
    <row r="68" customFormat="false" ht="19.5" hidden="false" customHeight="true" outlineLevel="0" collapsed="false">
      <c r="A68" s="77"/>
      <c r="B68" s="78" t="str">
        <f aca="false">IF(A68&lt;&gt;"",IFERROR(INDEX('Trade Log'!$G$5:$G$1004,MATCH(A68,'Trade Log'!$B$5:$B$1004,0)),""),"")</f>
        <v/>
      </c>
      <c r="C68" s="79" t="str">
        <f aca="false">IF(A68&lt;&gt;"",IFERROR(INDEX('Trade Log'!$I$5:$I$1004,MATCH(A68,'Trade Log'!$B$5:$B$1004,0)),""),"")</f>
        <v/>
      </c>
      <c r="D68" s="80" t="str">
        <f aca="false">IF(A68&lt;&gt;"",COUNTIF('Trade Log'!$B$5:$B$1004,A68),"")</f>
        <v/>
      </c>
      <c r="E68" s="80" t="str">
        <f aca="false">IF(A68&lt;&gt;"",SUMIF('Trade Log'!$B$5:$B$1004,A68,'Trade Log'!$L$5:$L$1004),"")</f>
        <v/>
      </c>
      <c r="F68" s="81" t="str">
        <f aca="false">IF(A68&lt;&gt;"",SUMIF('Trade Log'!$B$5:$B$1004,A68,'Trade Log'!$Q$5:$Q$1004),"")</f>
        <v/>
      </c>
      <c r="G68" s="81" t="str">
        <f aca="false">IF(A68&lt;&gt;"",SUMIF('Trade Log'!$B$5:$B$1004,A68,'Trade Log'!$R$5:$R$1004),"")</f>
        <v/>
      </c>
      <c r="H68" s="82" t="str">
        <f aca="false">IF(A68&lt;&gt;"",SUMIF('Trade Log'!$B$5:$B$1004,A68,'Trade Log'!$T$5:$T$1004),"")</f>
        <v/>
      </c>
      <c r="I68" s="83" t="str">
        <f aca="false">IF(A68&lt;&gt;"",IFERROR(SUMIF('Trade Log'!$B$5:$B$1004,A68,'Trade Log'!$R$5:$R$1004)/SUMIF('Trade Log'!$B$5:$B$1004,A68,'Trade Log'!$Q$5:$Q$1004)-1,""),"")</f>
        <v/>
      </c>
      <c r="J68" s="84" t="str">
        <f aca="false">IF(A68&lt;&gt;"",SUMIF('Trade Log'!$B$5:$B$1004,A68,'Trade Log'!$V$5:$V$1004),"")</f>
        <v/>
      </c>
      <c r="K68" s="85" t="str">
        <f aca="false">IF(A68&lt;&gt;"",IFERROR(SUMIF('Trade Log'!$B$5:$B$1004,A68,'Trade Log'!$V$5:$V$1004)/SUMIF('Trade Log'!$B$5:$B$1004,A68,'Trade Log'!$Q$5:$Q$1004),""),"")</f>
        <v/>
      </c>
      <c r="L68" s="86" t="str">
        <f aca="false">IF(A68&lt;&gt;"",IFERROR(SUMIFS('Trade Log'!$L$5:$L$1004,'Trade Log'!$B$5:$B$1004,A68,'Trade Log'!$E$5:$E$1004,""),0),"")</f>
        <v/>
      </c>
      <c r="M68" s="87" t="str">
        <f aca="false">IF(A68&lt;&gt;"",IFERROR(INDEX('Trade Log'!$AB$5:$AB$1004,MATCH(2,1/('Trade Log'!$B$5:$B$1004=A68),1)),""),"")</f>
        <v/>
      </c>
    </row>
    <row r="69" customFormat="false" ht="19.5" hidden="false" customHeight="true" outlineLevel="0" collapsed="false">
      <c r="A69" s="88"/>
      <c r="B69" s="68" t="str">
        <f aca="false">IF(A69&lt;&gt;"",IFERROR(INDEX('Trade Log'!$G$5:$G$1004,MATCH(A69,'Trade Log'!$B$5:$B$1004,0)),""),"")</f>
        <v/>
      </c>
      <c r="C69" s="69" t="str">
        <f aca="false">IF(A69&lt;&gt;"",IFERROR(INDEX('Trade Log'!$I$5:$I$1004,MATCH(A69,'Trade Log'!$B$5:$B$1004,0)),""),"")</f>
        <v/>
      </c>
      <c r="D69" s="67" t="str">
        <f aca="false">IF(A69&lt;&gt;"",COUNTIF('Trade Log'!$B$5:$B$1004,A69),"")</f>
        <v/>
      </c>
      <c r="E69" s="67" t="str">
        <f aca="false">IF(A69&lt;&gt;"",SUMIF('Trade Log'!$B$5:$B$1004,A69,'Trade Log'!$L$5:$L$1004),"")</f>
        <v/>
      </c>
      <c r="F69" s="70" t="str">
        <f aca="false">IF(A69&lt;&gt;"",SUMIF('Trade Log'!$B$5:$B$1004,A69,'Trade Log'!$Q$5:$Q$1004),"")</f>
        <v/>
      </c>
      <c r="G69" s="70" t="str">
        <f aca="false">IF(A69&lt;&gt;"",SUMIF('Trade Log'!$B$5:$B$1004,A69,'Trade Log'!$R$5:$R$1004),"")</f>
        <v/>
      </c>
      <c r="H69" s="71" t="str">
        <f aca="false">IF(A69&lt;&gt;"",SUMIF('Trade Log'!$B$5:$B$1004,A69,'Trade Log'!$T$5:$T$1004),"")</f>
        <v/>
      </c>
      <c r="I69" s="72" t="str">
        <f aca="false">IF(A69&lt;&gt;"",IFERROR(SUMIF('Trade Log'!$B$5:$B$1004,A69,'Trade Log'!$R$5:$R$1004)/SUMIF('Trade Log'!$B$5:$B$1004,A69,'Trade Log'!$Q$5:$Q$1004)-1,""),"")</f>
        <v/>
      </c>
      <c r="J69" s="73" t="str">
        <f aca="false">IF(A69&lt;&gt;"",SUMIF('Trade Log'!$B$5:$B$1004,A69,'Trade Log'!$V$5:$V$1004),"")</f>
        <v/>
      </c>
      <c r="K69" s="74" t="str">
        <f aca="false">IF(A69&lt;&gt;"",IFERROR(SUMIF('Trade Log'!$B$5:$B$1004,A69,'Trade Log'!$V$5:$V$1004)/SUMIF('Trade Log'!$B$5:$B$1004,A69,'Trade Log'!$Q$5:$Q$1004),""),"")</f>
        <v/>
      </c>
      <c r="L69" s="75" t="str">
        <f aca="false">IF(A69&lt;&gt;"",IFERROR(SUMIFS('Trade Log'!$L$5:$L$1004,'Trade Log'!$B$5:$B$1004,A69,'Trade Log'!$E$5:$E$1004,""),0),"")</f>
        <v/>
      </c>
      <c r="M69" s="76" t="str">
        <f aca="false">IF(A69&lt;&gt;"",IFERROR(INDEX('Trade Log'!$AB$5:$AB$1004,MATCH(2,1/('Trade Log'!$B$5:$B$1004=A69),1)),""),"")</f>
        <v/>
      </c>
    </row>
    <row r="70" customFormat="false" ht="19.5" hidden="false" customHeight="true" outlineLevel="0" collapsed="false">
      <c r="A70" s="77"/>
      <c r="B70" s="78" t="str">
        <f aca="false">IF(A70&lt;&gt;"",IFERROR(INDEX('Trade Log'!$G$5:$G$1004,MATCH(A70,'Trade Log'!$B$5:$B$1004,0)),""),"")</f>
        <v/>
      </c>
      <c r="C70" s="79" t="str">
        <f aca="false">IF(A70&lt;&gt;"",IFERROR(INDEX('Trade Log'!$I$5:$I$1004,MATCH(A70,'Trade Log'!$B$5:$B$1004,0)),""),"")</f>
        <v/>
      </c>
      <c r="D70" s="80" t="str">
        <f aca="false">IF(A70&lt;&gt;"",COUNTIF('Trade Log'!$B$5:$B$1004,A70),"")</f>
        <v/>
      </c>
      <c r="E70" s="80" t="str">
        <f aca="false">IF(A70&lt;&gt;"",SUMIF('Trade Log'!$B$5:$B$1004,A70,'Trade Log'!$L$5:$L$1004),"")</f>
        <v/>
      </c>
      <c r="F70" s="81" t="str">
        <f aca="false">IF(A70&lt;&gt;"",SUMIF('Trade Log'!$B$5:$B$1004,A70,'Trade Log'!$Q$5:$Q$1004),"")</f>
        <v/>
      </c>
      <c r="G70" s="81" t="str">
        <f aca="false">IF(A70&lt;&gt;"",SUMIF('Trade Log'!$B$5:$B$1004,A70,'Trade Log'!$R$5:$R$1004),"")</f>
        <v/>
      </c>
      <c r="H70" s="82" t="str">
        <f aca="false">IF(A70&lt;&gt;"",SUMIF('Trade Log'!$B$5:$B$1004,A70,'Trade Log'!$T$5:$T$1004),"")</f>
        <v/>
      </c>
      <c r="I70" s="83" t="str">
        <f aca="false">IF(A70&lt;&gt;"",IFERROR(SUMIF('Trade Log'!$B$5:$B$1004,A70,'Trade Log'!$R$5:$R$1004)/SUMIF('Trade Log'!$B$5:$B$1004,A70,'Trade Log'!$Q$5:$Q$1004)-1,""),"")</f>
        <v/>
      </c>
      <c r="J70" s="84" t="str">
        <f aca="false">IF(A70&lt;&gt;"",SUMIF('Trade Log'!$B$5:$B$1004,A70,'Trade Log'!$V$5:$V$1004),"")</f>
        <v/>
      </c>
      <c r="K70" s="85" t="str">
        <f aca="false">IF(A70&lt;&gt;"",IFERROR(SUMIF('Trade Log'!$B$5:$B$1004,A70,'Trade Log'!$V$5:$V$1004)/SUMIF('Trade Log'!$B$5:$B$1004,A70,'Trade Log'!$Q$5:$Q$1004),""),"")</f>
        <v/>
      </c>
      <c r="L70" s="86" t="str">
        <f aca="false">IF(A70&lt;&gt;"",IFERROR(SUMIFS('Trade Log'!$L$5:$L$1004,'Trade Log'!$B$5:$B$1004,A70,'Trade Log'!$E$5:$E$1004,""),0),"")</f>
        <v/>
      </c>
      <c r="M70" s="87" t="str">
        <f aca="false">IF(A70&lt;&gt;"",IFERROR(INDEX('Trade Log'!$AB$5:$AB$1004,MATCH(2,1/('Trade Log'!$B$5:$B$1004=A70),1)),""),"")</f>
        <v/>
      </c>
    </row>
    <row r="71" customFormat="false" ht="19.5" hidden="false" customHeight="true" outlineLevel="0" collapsed="false">
      <c r="A71" s="88"/>
      <c r="B71" s="68" t="str">
        <f aca="false">IF(A71&lt;&gt;"",IFERROR(INDEX('Trade Log'!$G$5:$G$1004,MATCH(A71,'Trade Log'!$B$5:$B$1004,0)),""),"")</f>
        <v/>
      </c>
      <c r="C71" s="69" t="str">
        <f aca="false">IF(A71&lt;&gt;"",IFERROR(INDEX('Trade Log'!$I$5:$I$1004,MATCH(A71,'Trade Log'!$B$5:$B$1004,0)),""),"")</f>
        <v/>
      </c>
      <c r="D71" s="67" t="str">
        <f aca="false">IF(A71&lt;&gt;"",COUNTIF('Trade Log'!$B$5:$B$1004,A71),"")</f>
        <v/>
      </c>
      <c r="E71" s="67" t="str">
        <f aca="false">IF(A71&lt;&gt;"",SUMIF('Trade Log'!$B$5:$B$1004,A71,'Trade Log'!$L$5:$L$1004),"")</f>
        <v/>
      </c>
      <c r="F71" s="70" t="str">
        <f aca="false">IF(A71&lt;&gt;"",SUMIF('Trade Log'!$B$5:$B$1004,A71,'Trade Log'!$Q$5:$Q$1004),"")</f>
        <v/>
      </c>
      <c r="G71" s="70" t="str">
        <f aca="false">IF(A71&lt;&gt;"",SUMIF('Trade Log'!$B$5:$B$1004,A71,'Trade Log'!$R$5:$R$1004),"")</f>
        <v/>
      </c>
      <c r="H71" s="71" t="str">
        <f aca="false">IF(A71&lt;&gt;"",SUMIF('Trade Log'!$B$5:$B$1004,A71,'Trade Log'!$T$5:$T$1004),"")</f>
        <v/>
      </c>
      <c r="I71" s="72" t="str">
        <f aca="false">IF(A71&lt;&gt;"",IFERROR(SUMIF('Trade Log'!$B$5:$B$1004,A71,'Trade Log'!$R$5:$R$1004)/SUMIF('Trade Log'!$B$5:$B$1004,A71,'Trade Log'!$Q$5:$Q$1004)-1,""),"")</f>
        <v/>
      </c>
      <c r="J71" s="73" t="str">
        <f aca="false">IF(A71&lt;&gt;"",SUMIF('Trade Log'!$B$5:$B$1004,A71,'Trade Log'!$V$5:$V$1004),"")</f>
        <v/>
      </c>
      <c r="K71" s="74" t="str">
        <f aca="false">IF(A71&lt;&gt;"",IFERROR(SUMIF('Trade Log'!$B$5:$B$1004,A71,'Trade Log'!$V$5:$V$1004)/SUMIF('Trade Log'!$B$5:$B$1004,A71,'Trade Log'!$Q$5:$Q$1004),""),"")</f>
        <v/>
      </c>
      <c r="L71" s="75" t="str">
        <f aca="false">IF(A71&lt;&gt;"",IFERROR(SUMIFS('Trade Log'!$L$5:$L$1004,'Trade Log'!$B$5:$B$1004,A71,'Trade Log'!$E$5:$E$1004,""),0),"")</f>
        <v/>
      </c>
      <c r="M71" s="76" t="str">
        <f aca="false">IF(A71&lt;&gt;"",IFERROR(INDEX('Trade Log'!$AB$5:$AB$1004,MATCH(2,1/('Trade Log'!$B$5:$B$1004=A71),1)),""),"")</f>
        <v/>
      </c>
    </row>
    <row r="72" customFormat="false" ht="19.5" hidden="false" customHeight="true" outlineLevel="0" collapsed="false">
      <c r="A72" s="77"/>
      <c r="B72" s="78" t="str">
        <f aca="false">IF(A72&lt;&gt;"",IFERROR(INDEX('Trade Log'!$G$5:$G$1004,MATCH(A72,'Trade Log'!$B$5:$B$1004,0)),""),"")</f>
        <v/>
      </c>
      <c r="C72" s="79" t="str">
        <f aca="false">IF(A72&lt;&gt;"",IFERROR(INDEX('Trade Log'!$I$5:$I$1004,MATCH(A72,'Trade Log'!$B$5:$B$1004,0)),""),"")</f>
        <v/>
      </c>
      <c r="D72" s="80" t="str">
        <f aca="false">IF(A72&lt;&gt;"",COUNTIF('Trade Log'!$B$5:$B$1004,A72),"")</f>
        <v/>
      </c>
      <c r="E72" s="80" t="str">
        <f aca="false">IF(A72&lt;&gt;"",SUMIF('Trade Log'!$B$5:$B$1004,A72,'Trade Log'!$L$5:$L$1004),"")</f>
        <v/>
      </c>
      <c r="F72" s="81" t="str">
        <f aca="false">IF(A72&lt;&gt;"",SUMIF('Trade Log'!$B$5:$B$1004,A72,'Trade Log'!$Q$5:$Q$1004),"")</f>
        <v/>
      </c>
      <c r="G72" s="81" t="str">
        <f aca="false">IF(A72&lt;&gt;"",SUMIF('Trade Log'!$B$5:$B$1004,A72,'Trade Log'!$R$5:$R$1004),"")</f>
        <v/>
      </c>
      <c r="H72" s="82" t="str">
        <f aca="false">IF(A72&lt;&gt;"",SUMIF('Trade Log'!$B$5:$B$1004,A72,'Trade Log'!$T$5:$T$1004),"")</f>
        <v/>
      </c>
      <c r="I72" s="83" t="str">
        <f aca="false">IF(A72&lt;&gt;"",IFERROR(SUMIF('Trade Log'!$B$5:$B$1004,A72,'Trade Log'!$R$5:$R$1004)/SUMIF('Trade Log'!$B$5:$B$1004,A72,'Trade Log'!$Q$5:$Q$1004)-1,""),"")</f>
        <v/>
      </c>
      <c r="J72" s="84" t="str">
        <f aca="false">IF(A72&lt;&gt;"",SUMIF('Trade Log'!$B$5:$B$1004,A72,'Trade Log'!$V$5:$V$1004),"")</f>
        <v/>
      </c>
      <c r="K72" s="85" t="str">
        <f aca="false">IF(A72&lt;&gt;"",IFERROR(SUMIF('Trade Log'!$B$5:$B$1004,A72,'Trade Log'!$V$5:$V$1004)/SUMIF('Trade Log'!$B$5:$B$1004,A72,'Trade Log'!$Q$5:$Q$1004),""),"")</f>
        <v/>
      </c>
      <c r="L72" s="86" t="str">
        <f aca="false">IF(A72&lt;&gt;"",IFERROR(SUMIFS('Trade Log'!$L$5:$L$1004,'Trade Log'!$B$5:$B$1004,A72,'Trade Log'!$E$5:$E$1004,""),0),"")</f>
        <v/>
      </c>
      <c r="M72" s="87" t="str">
        <f aca="false">IF(A72&lt;&gt;"",IFERROR(INDEX('Trade Log'!$AB$5:$AB$1004,MATCH(2,1/('Trade Log'!$B$5:$B$1004=A72),1)),""),"")</f>
        <v/>
      </c>
    </row>
    <row r="73" customFormat="false" ht="19.5" hidden="false" customHeight="true" outlineLevel="0" collapsed="false">
      <c r="A73" s="88"/>
      <c r="B73" s="68" t="str">
        <f aca="false">IF(A73&lt;&gt;"",IFERROR(INDEX('Trade Log'!$G$5:$G$1004,MATCH(A73,'Trade Log'!$B$5:$B$1004,0)),""),"")</f>
        <v/>
      </c>
      <c r="C73" s="69" t="str">
        <f aca="false">IF(A73&lt;&gt;"",IFERROR(INDEX('Trade Log'!$I$5:$I$1004,MATCH(A73,'Trade Log'!$B$5:$B$1004,0)),""),"")</f>
        <v/>
      </c>
      <c r="D73" s="67" t="str">
        <f aca="false">IF(A73&lt;&gt;"",COUNTIF('Trade Log'!$B$5:$B$1004,A73),"")</f>
        <v/>
      </c>
      <c r="E73" s="67" t="str">
        <f aca="false">IF(A73&lt;&gt;"",SUMIF('Trade Log'!$B$5:$B$1004,A73,'Trade Log'!$L$5:$L$1004),"")</f>
        <v/>
      </c>
      <c r="F73" s="70" t="str">
        <f aca="false">IF(A73&lt;&gt;"",SUMIF('Trade Log'!$B$5:$B$1004,A73,'Trade Log'!$Q$5:$Q$1004),"")</f>
        <v/>
      </c>
      <c r="G73" s="70" t="str">
        <f aca="false">IF(A73&lt;&gt;"",SUMIF('Trade Log'!$B$5:$B$1004,A73,'Trade Log'!$R$5:$R$1004),"")</f>
        <v/>
      </c>
      <c r="H73" s="71" t="str">
        <f aca="false">IF(A73&lt;&gt;"",SUMIF('Trade Log'!$B$5:$B$1004,A73,'Trade Log'!$T$5:$T$1004),"")</f>
        <v/>
      </c>
      <c r="I73" s="72" t="str">
        <f aca="false">IF(A73&lt;&gt;"",IFERROR(SUMIF('Trade Log'!$B$5:$B$1004,A73,'Trade Log'!$R$5:$R$1004)/SUMIF('Trade Log'!$B$5:$B$1004,A73,'Trade Log'!$Q$5:$Q$1004)-1,""),"")</f>
        <v/>
      </c>
      <c r="J73" s="73" t="str">
        <f aca="false">IF(A73&lt;&gt;"",SUMIF('Trade Log'!$B$5:$B$1004,A73,'Trade Log'!$V$5:$V$1004),"")</f>
        <v/>
      </c>
      <c r="K73" s="74" t="str">
        <f aca="false">IF(A73&lt;&gt;"",IFERROR(SUMIF('Trade Log'!$B$5:$B$1004,A73,'Trade Log'!$V$5:$V$1004)/SUMIF('Trade Log'!$B$5:$B$1004,A73,'Trade Log'!$Q$5:$Q$1004),""),"")</f>
        <v/>
      </c>
      <c r="L73" s="75" t="str">
        <f aca="false">IF(A73&lt;&gt;"",IFERROR(SUMIFS('Trade Log'!$L$5:$L$1004,'Trade Log'!$B$5:$B$1004,A73,'Trade Log'!$E$5:$E$1004,""),0),"")</f>
        <v/>
      </c>
      <c r="M73" s="76" t="str">
        <f aca="false">IF(A73&lt;&gt;"",IFERROR(INDEX('Trade Log'!$AB$5:$AB$1004,MATCH(2,1/('Trade Log'!$B$5:$B$1004=A73),1)),""),"")</f>
        <v/>
      </c>
    </row>
    <row r="74" customFormat="false" ht="19.5" hidden="false" customHeight="true" outlineLevel="0" collapsed="false">
      <c r="A74" s="77"/>
      <c r="B74" s="78" t="str">
        <f aca="false">IF(A74&lt;&gt;"",IFERROR(INDEX('Trade Log'!$G$5:$G$1004,MATCH(A74,'Trade Log'!$B$5:$B$1004,0)),""),"")</f>
        <v/>
      </c>
      <c r="C74" s="79" t="str">
        <f aca="false">IF(A74&lt;&gt;"",IFERROR(INDEX('Trade Log'!$I$5:$I$1004,MATCH(A74,'Trade Log'!$B$5:$B$1004,0)),""),"")</f>
        <v/>
      </c>
      <c r="D74" s="80" t="str">
        <f aca="false">IF(A74&lt;&gt;"",COUNTIF('Trade Log'!$B$5:$B$1004,A74),"")</f>
        <v/>
      </c>
      <c r="E74" s="80" t="str">
        <f aca="false">IF(A74&lt;&gt;"",SUMIF('Trade Log'!$B$5:$B$1004,A74,'Trade Log'!$L$5:$L$1004),"")</f>
        <v/>
      </c>
      <c r="F74" s="81" t="str">
        <f aca="false">IF(A74&lt;&gt;"",SUMIF('Trade Log'!$B$5:$B$1004,A74,'Trade Log'!$Q$5:$Q$1004),"")</f>
        <v/>
      </c>
      <c r="G74" s="81" t="str">
        <f aca="false">IF(A74&lt;&gt;"",SUMIF('Trade Log'!$B$5:$B$1004,A74,'Trade Log'!$R$5:$R$1004),"")</f>
        <v/>
      </c>
      <c r="H74" s="82" t="str">
        <f aca="false">IF(A74&lt;&gt;"",SUMIF('Trade Log'!$B$5:$B$1004,A74,'Trade Log'!$T$5:$T$1004),"")</f>
        <v/>
      </c>
      <c r="I74" s="83" t="str">
        <f aca="false">IF(A74&lt;&gt;"",IFERROR(SUMIF('Trade Log'!$B$5:$B$1004,A74,'Trade Log'!$R$5:$R$1004)/SUMIF('Trade Log'!$B$5:$B$1004,A74,'Trade Log'!$Q$5:$Q$1004)-1,""),"")</f>
        <v/>
      </c>
      <c r="J74" s="84" t="str">
        <f aca="false">IF(A74&lt;&gt;"",SUMIF('Trade Log'!$B$5:$B$1004,A74,'Trade Log'!$V$5:$V$1004),"")</f>
        <v/>
      </c>
      <c r="K74" s="85" t="str">
        <f aca="false">IF(A74&lt;&gt;"",IFERROR(SUMIF('Trade Log'!$B$5:$B$1004,A74,'Trade Log'!$V$5:$V$1004)/SUMIF('Trade Log'!$B$5:$B$1004,A74,'Trade Log'!$Q$5:$Q$1004),""),"")</f>
        <v/>
      </c>
      <c r="L74" s="86" t="str">
        <f aca="false">IF(A74&lt;&gt;"",IFERROR(SUMIFS('Trade Log'!$L$5:$L$1004,'Trade Log'!$B$5:$B$1004,A74,'Trade Log'!$E$5:$E$1004,""),0),"")</f>
        <v/>
      </c>
      <c r="M74" s="87" t="str">
        <f aca="false">IF(A74&lt;&gt;"",IFERROR(INDEX('Trade Log'!$AB$5:$AB$1004,MATCH(2,1/('Trade Log'!$B$5:$B$1004=A74),1)),""),"")</f>
        <v/>
      </c>
    </row>
    <row r="75" customFormat="false" ht="19.5" hidden="false" customHeight="true" outlineLevel="0" collapsed="false">
      <c r="A75" s="88"/>
      <c r="B75" s="68" t="str">
        <f aca="false">IF(A75&lt;&gt;"",IFERROR(INDEX('Trade Log'!$G$5:$G$1004,MATCH(A75,'Trade Log'!$B$5:$B$1004,0)),""),"")</f>
        <v/>
      </c>
      <c r="C75" s="69" t="str">
        <f aca="false">IF(A75&lt;&gt;"",IFERROR(INDEX('Trade Log'!$I$5:$I$1004,MATCH(A75,'Trade Log'!$B$5:$B$1004,0)),""),"")</f>
        <v/>
      </c>
      <c r="D75" s="67" t="str">
        <f aca="false">IF(A75&lt;&gt;"",COUNTIF('Trade Log'!$B$5:$B$1004,A75),"")</f>
        <v/>
      </c>
      <c r="E75" s="67" t="str">
        <f aca="false">IF(A75&lt;&gt;"",SUMIF('Trade Log'!$B$5:$B$1004,A75,'Trade Log'!$L$5:$L$1004),"")</f>
        <v/>
      </c>
      <c r="F75" s="70" t="str">
        <f aca="false">IF(A75&lt;&gt;"",SUMIF('Trade Log'!$B$5:$B$1004,A75,'Trade Log'!$Q$5:$Q$1004),"")</f>
        <v/>
      </c>
      <c r="G75" s="70" t="str">
        <f aca="false">IF(A75&lt;&gt;"",SUMIF('Trade Log'!$B$5:$B$1004,A75,'Trade Log'!$R$5:$R$1004),"")</f>
        <v/>
      </c>
      <c r="H75" s="71" t="str">
        <f aca="false">IF(A75&lt;&gt;"",SUMIF('Trade Log'!$B$5:$B$1004,A75,'Trade Log'!$T$5:$T$1004),"")</f>
        <v/>
      </c>
      <c r="I75" s="72" t="str">
        <f aca="false">IF(A75&lt;&gt;"",IFERROR(SUMIF('Trade Log'!$B$5:$B$1004,A75,'Trade Log'!$R$5:$R$1004)/SUMIF('Trade Log'!$B$5:$B$1004,A75,'Trade Log'!$Q$5:$Q$1004)-1,""),"")</f>
        <v/>
      </c>
      <c r="J75" s="73" t="str">
        <f aca="false">IF(A75&lt;&gt;"",SUMIF('Trade Log'!$B$5:$B$1004,A75,'Trade Log'!$V$5:$V$1004),"")</f>
        <v/>
      </c>
      <c r="K75" s="74" t="str">
        <f aca="false">IF(A75&lt;&gt;"",IFERROR(SUMIF('Trade Log'!$B$5:$B$1004,A75,'Trade Log'!$V$5:$V$1004)/SUMIF('Trade Log'!$B$5:$B$1004,A75,'Trade Log'!$Q$5:$Q$1004),""),"")</f>
        <v/>
      </c>
      <c r="L75" s="75" t="str">
        <f aca="false">IF(A75&lt;&gt;"",IFERROR(SUMIFS('Trade Log'!$L$5:$L$1004,'Trade Log'!$B$5:$B$1004,A75,'Trade Log'!$E$5:$E$1004,""),0),"")</f>
        <v/>
      </c>
      <c r="M75" s="76" t="str">
        <f aca="false">IF(A75&lt;&gt;"",IFERROR(INDEX('Trade Log'!$AB$5:$AB$1004,MATCH(2,1/('Trade Log'!$B$5:$B$1004=A75),1)),""),"")</f>
        <v/>
      </c>
    </row>
    <row r="76" customFormat="false" ht="19.5" hidden="false" customHeight="true" outlineLevel="0" collapsed="false">
      <c r="A76" s="77"/>
      <c r="B76" s="78" t="str">
        <f aca="false">IF(A76&lt;&gt;"",IFERROR(INDEX('Trade Log'!$G$5:$G$1004,MATCH(A76,'Trade Log'!$B$5:$B$1004,0)),""),"")</f>
        <v/>
      </c>
      <c r="C76" s="79" t="str">
        <f aca="false">IF(A76&lt;&gt;"",IFERROR(INDEX('Trade Log'!$I$5:$I$1004,MATCH(A76,'Trade Log'!$B$5:$B$1004,0)),""),"")</f>
        <v/>
      </c>
      <c r="D76" s="80" t="str">
        <f aca="false">IF(A76&lt;&gt;"",COUNTIF('Trade Log'!$B$5:$B$1004,A76),"")</f>
        <v/>
      </c>
      <c r="E76" s="80" t="str">
        <f aca="false">IF(A76&lt;&gt;"",SUMIF('Trade Log'!$B$5:$B$1004,A76,'Trade Log'!$L$5:$L$1004),"")</f>
        <v/>
      </c>
      <c r="F76" s="81" t="str">
        <f aca="false">IF(A76&lt;&gt;"",SUMIF('Trade Log'!$B$5:$B$1004,A76,'Trade Log'!$Q$5:$Q$1004),"")</f>
        <v/>
      </c>
      <c r="G76" s="81" t="str">
        <f aca="false">IF(A76&lt;&gt;"",SUMIF('Trade Log'!$B$5:$B$1004,A76,'Trade Log'!$R$5:$R$1004),"")</f>
        <v/>
      </c>
      <c r="H76" s="82" t="str">
        <f aca="false">IF(A76&lt;&gt;"",SUMIF('Trade Log'!$B$5:$B$1004,A76,'Trade Log'!$T$5:$T$1004),"")</f>
        <v/>
      </c>
      <c r="I76" s="83" t="str">
        <f aca="false">IF(A76&lt;&gt;"",IFERROR(SUMIF('Trade Log'!$B$5:$B$1004,A76,'Trade Log'!$R$5:$R$1004)/SUMIF('Trade Log'!$B$5:$B$1004,A76,'Trade Log'!$Q$5:$Q$1004)-1,""),"")</f>
        <v/>
      </c>
      <c r="J76" s="84" t="str">
        <f aca="false">IF(A76&lt;&gt;"",SUMIF('Trade Log'!$B$5:$B$1004,A76,'Trade Log'!$V$5:$V$1004),"")</f>
        <v/>
      </c>
      <c r="K76" s="85" t="str">
        <f aca="false">IF(A76&lt;&gt;"",IFERROR(SUMIF('Trade Log'!$B$5:$B$1004,A76,'Trade Log'!$V$5:$V$1004)/SUMIF('Trade Log'!$B$5:$B$1004,A76,'Trade Log'!$Q$5:$Q$1004),""),"")</f>
        <v/>
      </c>
      <c r="L76" s="86" t="str">
        <f aca="false">IF(A76&lt;&gt;"",IFERROR(SUMIFS('Trade Log'!$L$5:$L$1004,'Trade Log'!$B$5:$B$1004,A76,'Trade Log'!$E$5:$E$1004,""),0),"")</f>
        <v/>
      </c>
      <c r="M76" s="87" t="str">
        <f aca="false">IF(A76&lt;&gt;"",IFERROR(INDEX('Trade Log'!$AB$5:$AB$1004,MATCH(2,1/('Trade Log'!$B$5:$B$1004=A76),1)),""),"")</f>
        <v/>
      </c>
    </row>
    <row r="77" customFormat="false" ht="19.5" hidden="false" customHeight="true" outlineLevel="0" collapsed="false">
      <c r="A77" s="88"/>
      <c r="B77" s="68" t="str">
        <f aca="false">IF(A77&lt;&gt;"",IFERROR(INDEX('Trade Log'!$G$5:$G$1004,MATCH(A77,'Trade Log'!$B$5:$B$1004,0)),""),"")</f>
        <v/>
      </c>
      <c r="C77" s="69" t="str">
        <f aca="false">IF(A77&lt;&gt;"",IFERROR(INDEX('Trade Log'!$I$5:$I$1004,MATCH(A77,'Trade Log'!$B$5:$B$1004,0)),""),"")</f>
        <v/>
      </c>
      <c r="D77" s="67" t="str">
        <f aca="false">IF(A77&lt;&gt;"",COUNTIF('Trade Log'!$B$5:$B$1004,A77),"")</f>
        <v/>
      </c>
      <c r="E77" s="67" t="str">
        <f aca="false">IF(A77&lt;&gt;"",SUMIF('Trade Log'!$B$5:$B$1004,A77,'Trade Log'!$L$5:$L$1004),"")</f>
        <v/>
      </c>
      <c r="F77" s="70" t="str">
        <f aca="false">IF(A77&lt;&gt;"",SUMIF('Trade Log'!$B$5:$B$1004,A77,'Trade Log'!$Q$5:$Q$1004),"")</f>
        <v/>
      </c>
      <c r="G77" s="70" t="str">
        <f aca="false">IF(A77&lt;&gt;"",SUMIF('Trade Log'!$B$5:$B$1004,A77,'Trade Log'!$R$5:$R$1004),"")</f>
        <v/>
      </c>
      <c r="H77" s="71" t="str">
        <f aca="false">IF(A77&lt;&gt;"",SUMIF('Trade Log'!$B$5:$B$1004,A77,'Trade Log'!$T$5:$T$1004),"")</f>
        <v/>
      </c>
      <c r="I77" s="72" t="str">
        <f aca="false">IF(A77&lt;&gt;"",IFERROR(SUMIF('Trade Log'!$B$5:$B$1004,A77,'Trade Log'!$R$5:$R$1004)/SUMIF('Trade Log'!$B$5:$B$1004,A77,'Trade Log'!$Q$5:$Q$1004)-1,""),"")</f>
        <v/>
      </c>
      <c r="J77" s="73" t="str">
        <f aca="false">IF(A77&lt;&gt;"",SUMIF('Trade Log'!$B$5:$B$1004,A77,'Trade Log'!$V$5:$V$1004),"")</f>
        <v/>
      </c>
      <c r="K77" s="74" t="str">
        <f aca="false">IF(A77&lt;&gt;"",IFERROR(SUMIF('Trade Log'!$B$5:$B$1004,A77,'Trade Log'!$V$5:$V$1004)/SUMIF('Trade Log'!$B$5:$B$1004,A77,'Trade Log'!$Q$5:$Q$1004),""),"")</f>
        <v/>
      </c>
      <c r="L77" s="75" t="str">
        <f aca="false">IF(A77&lt;&gt;"",IFERROR(SUMIFS('Trade Log'!$L$5:$L$1004,'Trade Log'!$B$5:$B$1004,A77,'Trade Log'!$E$5:$E$1004,""),0),"")</f>
        <v/>
      </c>
      <c r="M77" s="76" t="str">
        <f aca="false">IF(A77&lt;&gt;"",IFERROR(INDEX('Trade Log'!$AB$5:$AB$1004,MATCH(2,1/('Trade Log'!$B$5:$B$1004=A77),1)),""),"")</f>
        <v/>
      </c>
    </row>
    <row r="78" customFormat="false" ht="19.5" hidden="false" customHeight="true" outlineLevel="0" collapsed="false">
      <c r="A78" s="77"/>
      <c r="B78" s="78" t="str">
        <f aca="false">IF(A78&lt;&gt;"",IFERROR(INDEX('Trade Log'!$G$5:$G$1004,MATCH(A78,'Trade Log'!$B$5:$B$1004,0)),""),"")</f>
        <v/>
      </c>
      <c r="C78" s="79" t="str">
        <f aca="false">IF(A78&lt;&gt;"",IFERROR(INDEX('Trade Log'!$I$5:$I$1004,MATCH(A78,'Trade Log'!$B$5:$B$1004,0)),""),"")</f>
        <v/>
      </c>
      <c r="D78" s="80" t="str">
        <f aca="false">IF(A78&lt;&gt;"",COUNTIF('Trade Log'!$B$5:$B$1004,A78),"")</f>
        <v/>
      </c>
      <c r="E78" s="80" t="str">
        <f aca="false">IF(A78&lt;&gt;"",SUMIF('Trade Log'!$B$5:$B$1004,A78,'Trade Log'!$L$5:$L$1004),"")</f>
        <v/>
      </c>
      <c r="F78" s="81" t="str">
        <f aca="false">IF(A78&lt;&gt;"",SUMIF('Trade Log'!$B$5:$B$1004,A78,'Trade Log'!$Q$5:$Q$1004),"")</f>
        <v/>
      </c>
      <c r="G78" s="81" t="str">
        <f aca="false">IF(A78&lt;&gt;"",SUMIF('Trade Log'!$B$5:$B$1004,A78,'Trade Log'!$R$5:$R$1004),"")</f>
        <v/>
      </c>
      <c r="H78" s="82" t="str">
        <f aca="false">IF(A78&lt;&gt;"",SUMIF('Trade Log'!$B$5:$B$1004,A78,'Trade Log'!$T$5:$T$1004),"")</f>
        <v/>
      </c>
      <c r="I78" s="83" t="str">
        <f aca="false">IF(A78&lt;&gt;"",IFERROR(SUMIF('Trade Log'!$B$5:$B$1004,A78,'Trade Log'!$R$5:$R$1004)/SUMIF('Trade Log'!$B$5:$B$1004,A78,'Trade Log'!$Q$5:$Q$1004)-1,""),"")</f>
        <v/>
      </c>
      <c r="J78" s="84" t="str">
        <f aca="false">IF(A78&lt;&gt;"",SUMIF('Trade Log'!$B$5:$B$1004,A78,'Trade Log'!$V$5:$V$1004),"")</f>
        <v/>
      </c>
      <c r="K78" s="85" t="str">
        <f aca="false">IF(A78&lt;&gt;"",IFERROR(SUMIF('Trade Log'!$B$5:$B$1004,A78,'Trade Log'!$V$5:$V$1004)/SUMIF('Trade Log'!$B$5:$B$1004,A78,'Trade Log'!$Q$5:$Q$1004),""),"")</f>
        <v/>
      </c>
      <c r="L78" s="86" t="str">
        <f aca="false">IF(A78&lt;&gt;"",IFERROR(SUMIFS('Trade Log'!$L$5:$L$1004,'Trade Log'!$B$5:$B$1004,A78,'Trade Log'!$E$5:$E$1004,""),0),"")</f>
        <v/>
      </c>
      <c r="M78" s="87" t="str">
        <f aca="false">IF(A78&lt;&gt;"",IFERROR(INDEX('Trade Log'!$AB$5:$AB$1004,MATCH(2,1/('Trade Log'!$B$5:$B$1004=A78),1)),""),"")</f>
        <v/>
      </c>
    </row>
    <row r="79" customFormat="false" ht="19.5" hidden="false" customHeight="true" outlineLevel="0" collapsed="false">
      <c r="A79" s="88"/>
      <c r="B79" s="68" t="str">
        <f aca="false">IF(A79&lt;&gt;"",IFERROR(INDEX('Trade Log'!$G$5:$G$1004,MATCH(A79,'Trade Log'!$B$5:$B$1004,0)),""),"")</f>
        <v/>
      </c>
      <c r="C79" s="69" t="str">
        <f aca="false">IF(A79&lt;&gt;"",IFERROR(INDEX('Trade Log'!$I$5:$I$1004,MATCH(A79,'Trade Log'!$B$5:$B$1004,0)),""),"")</f>
        <v/>
      </c>
      <c r="D79" s="67" t="str">
        <f aca="false">IF(A79&lt;&gt;"",COUNTIF('Trade Log'!$B$5:$B$1004,A79),"")</f>
        <v/>
      </c>
      <c r="E79" s="67" t="str">
        <f aca="false">IF(A79&lt;&gt;"",SUMIF('Trade Log'!$B$5:$B$1004,A79,'Trade Log'!$L$5:$L$1004),"")</f>
        <v/>
      </c>
      <c r="F79" s="70" t="str">
        <f aca="false">IF(A79&lt;&gt;"",SUMIF('Trade Log'!$B$5:$B$1004,A79,'Trade Log'!$Q$5:$Q$1004),"")</f>
        <v/>
      </c>
      <c r="G79" s="70" t="str">
        <f aca="false">IF(A79&lt;&gt;"",SUMIF('Trade Log'!$B$5:$B$1004,A79,'Trade Log'!$R$5:$R$1004),"")</f>
        <v/>
      </c>
      <c r="H79" s="71" t="str">
        <f aca="false">IF(A79&lt;&gt;"",SUMIF('Trade Log'!$B$5:$B$1004,A79,'Trade Log'!$T$5:$T$1004),"")</f>
        <v/>
      </c>
      <c r="I79" s="72" t="str">
        <f aca="false">IF(A79&lt;&gt;"",IFERROR(SUMIF('Trade Log'!$B$5:$B$1004,A79,'Trade Log'!$R$5:$R$1004)/SUMIF('Trade Log'!$B$5:$B$1004,A79,'Trade Log'!$Q$5:$Q$1004)-1,""),"")</f>
        <v/>
      </c>
      <c r="J79" s="73" t="str">
        <f aca="false">IF(A79&lt;&gt;"",SUMIF('Trade Log'!$B$5:$B$1004,A79,'Trade Log'!$V$5:$V$1004),"")</f>
        <v/>
      </c>
      <c r="K79" s="74" t="str">
        <f aca="false">IF(A79&lt;&gt;"",IFERROR(SUMIF('Trade Log'!$B$5:$B$1004,A79,'Trade Log'!$V$5:$V$1004)/SUMIF('Trade Log'!$B$5:$B$1004,A79,'Trade Log'!$Q$5:$Q$1004),""),"")</f>
        <v/>
      </c>
      <c r="L79" s="75" t="str">
        <f aca="false">IF(A79&lt;&gt;"",IFERROR(SUMIFS('Trade Log'!$L$5:$L$1004,'Trade Log'!$B$5:$B$1004,A79,'Trade Log'!$E$5:$E$1004,""),0),"")</f>
        <v/>
      </c>
      <c r="M79" s="76" t="str">
        <f aca="false">IF(A79&lt;&gt;"",IFERROR(INDEX('Trade Log'!$AB$5:$AB$1004,MATCH(2,1/('Trade Log'!$B$5:$B$1004=A79),1)),""),"")</f>
        <v/>
      </c>
    </row>
    <row r="80" customFormat="false" ht="19.5" hidden="false" customHeight="true" outlineLevel="0" collapsed="false">
      <c r="A80" s="77"/>
      <c r="B80" s="78" t="str">
        <f aca="false">IF(A80&lt;&gt;"",IFERROR(INDEX('Trade Log'!$G$5:$G$1004,MATCH(A80,'Trade Log'!$B$5:$B$1004,0)),""),"")</f>
        <v/>
      </c>
      <c r="C80" s="79" t="str">
        <f aca="false">IF(A80&lt;&gt;"",IFERROR(INDEX('Trade Log'!$I$5:$I$1004,MATCH(A80,'Trade Log'!$B$5:$B$1004,0)),""),"")</f>
        <v/>
      </c>
      <c r="D80" s="80" t="str">
        <f aca="false">IF(A80&lt;&gt;"",COUNTIF('Trade Log'!$B$5:$B$1004,A80),"")</f>
        <v/>
      </c>
      <c r="E80" s="80" t="str">
        <f aca="false">IF(A80&lt;&gt;"",SUMIF('Trade Log'!$B$5:$B$1004,A80,'Trade Log'!$L$5:$L$1004),"")</f>
        <v/>
      </c>
      <c r="F80" s="81" t="str">
        <f aca="false">IF(A80&lt;&gt;"",SUMIF('Trade Log'!$B$5:$B$1004,A80,'Trade Log'!$Q$5:$Q$1004),"")</f>
        <v/>
      </c>
      <c r="G80" s="81" t="str">
        <f aca="false">IF(A80&lt;&gt;"",SUMIF('Trade Log'!$B$5:$B$1004,A80,'Trade Log'!$R$5:$R$1004),"")</f>
        <v/>
      </c>
      <c r="H80" s="82" t="str">
        <f aca="false">IF(A80&lt;&gt;"",SUMIF('Trade Log'!$B$5:$B$1004,A80,'Trade Log'!$T$5:$T$1004),"")</f>
        <v/>
      </c>
      <c r="I80" s="83" t="str">
        <f aca="false">IF(A80&lt;&gt;"",IFERROR(SUMIF('Trade Log'!$B$5:$B$1004,A80,'Trade Log'!$R$5:$R$1004)/SUMIF('Trade Log'!$B$5:$B$1004,A80,'Trade Log'!$Q$5:$Q$1004)-1,""),"")</f>
        <v/>
      </c>
      <c r="J80" s="84" t="str">
        <f aca="false">IF(A80&lt;&gt;"",SUMIF('Trade Log'!$B$5:$B$1004,A80,'Trade Log'!$V$5:$V$1004),"")</f>
        <v/>
      </c>
      <c r="K80" s="85" t="str">
        <f aca="false">IF(A80&lt;&gt;"",IFERROR(SUMIF('Trade Log'!$B$5:$B$1004,A80,'Trade Log'!$V$5:$V$1004)/SUMIF('Trade Log'!$B$5:$B$1004,A80,'Trade Log'!$Q$5:$Q$1004),""),"")</f>
        <v/>
      </c>
      <c r="L80" s="86" t="str">
        <f aca="false">IF(A80&lt;&gt;"",IFERROR(SUMIFS('Trade Log'!$L$5:$L$1004,'Trade Log'!$B$5:$B$1004,A80,'Trade Log'!$E$5:$E$1004,""),0),"")</f>
        <v/>
      </c>
      <c r="M80" s="87" t="str">
        <f aca="false">IF(A80&lt;&gt;"",IFERROR(INDEX('Trade Log'!$AB$5:$AB$1004,MATCH(2,1/('Trade Log'!$B$5:$B$1004=A80),1)),""),"")</f>
        <v/>
      </c>
    </row>
    <row r="81" customFormat="false" ht="19.5" hidden="false" customHeight="true" outlineLevel="0" collapsed="false">
      <c r="A81" s="88"/>
      <c r="B81" s="68" t="str">
        <f aca="false">IF(A81&lt;&gt;"",IFERROR(INDEX('Trade Log'!$G$5:$G$1004,MATCH(A81,'Trade Log'!$B$5:$B$1004,0)),""),"")</f>
        <v/>
      </c>
      <c r="C81" s="69" t="str">
        <f aca="false">IF(A81&lt;&gt;"",IFERROR(INDEX('Trade Log'!$I$5:$I$1004,MATCH(A81,'Trade Log'!$B$5:$B$1004,0)),""),"")</f>
        <v/>
      </c>
      <c r="D81" s="67" t="str">
        <f aca="false">IF(A81&lt;&gt;"",COUNTIF('Trade Log'!$B$5:$B$1004,A81),"")</f>
        <v/>
      </c>
      <c r="E81" s="67" t="str">
        <f aca="false">IF(A81&lt;&gt;"",SUMIF('Trade Log'!$B$5:$B$1004,A81,'Trade Log'!$L$5:$L$1004),"")</f>
        <v/>
      </c>
      <c r="F81" s="70" t="str">
        <f aca="false">IF(A81&lt;&gt;"",SUMIF('Trade Log'!$B$5:$B$1004,A81,'Trade Log'!$Q$5:$Q$1004),"")</f>
        <v/>
      </c>
      <c r="G81" s="70" t="str">
        <f aca="false">IF(A81&lt;&gt;"",SUMIF('Trade Log'!$B$5:$B$1004,A81,'Trade Log'!$R$5:$R$1004),"")</f>
        <v/>
      </c>
      <c r="H81" s="71" t="str">
        <f aca="false">IF(A81&lt;&gt;"",SUMIF('Trade Log'!$B$5:$B$1004,A81,'Trade Log'!$T$5:$T$1004),"")</f>
        <v/>
      </c>
      <c r="I81" s="72" t="str">
        <f aca="false">IF(A81&lt;&gt;"",IFERROR(SUMIF('Trade Log'!$B$5:$B$1004,A81,'Trade Log'!$R$5:$R$1004)/SUMIF('Trade Log'!$B$5:$B$1004,A81,'Trade Log'!$Q$5:$Q$1004)-1,""),"")</f>
        <v/>
      </c>
      <c r="J81" s="73" t="str">
        <f aca="false">IF(A81&lt;&gt;"",SUMIF('Trade Log'!$B$5:$B$1004,A81,'Trade Log'!$V$5:$V$1004),"")</f>
        <v/>
      </c>
      <c r="K81" s="74" t="str">
        <f aca="false">IF(A81&lt;&gt;"",IFERROR(SUMIF('Trade Log'!$B$5:$B$1004,A81,'Trade Log'!$V$5:$V$1004)/SUMIF('Trade Log'!$B$5:$B$1004,A81,'Trade Log'!$Q$5:$Q$1004),""),"")</f>
        <v/>
      </c>
      <c r="L81" s="75" t="str">
        <f aca="false">IF(A81&lt;&gt;"",IFERROR(SUMIFS('Trade Log'!$L$5:$L$1004,'Trade Log'!$B$5:$B$1004,A81,'Trade Log'!$E$5:$E$1004,""),0),"")</f>
        <v/>
      </c>
      <c r="M81" s="76" t="str">
        <f aca="false">IF(A81&lt;&gt;"",IFERROR(INDEX('Trade Log'!$AB$5:$AB$1004,MATCH(2,1/('Trade Log'!$B$5:$B$1004=A81),1)),""),"")</f>
        <v/>
      </c>
    </row>
    <row r="82" customFormat="false" ht="19.5" hidden="false" customHeight="true" outlineLevel="0" collapsed="false">
      <c r="A82" s="77"/>
      <c r="B82" s="78" t="str">
        <f aca="false">IF(A82&lt;&gt;"",IFERROR(INDEX('Trade Log'!$G$5:$G$1004,MATCH(A82,'Trade Log'!$B$5:$B$1004,0)),""),"")</f>
        <v/>
      </c>
      <c r="C82" s="79" t="str">
        <f aca="false">IF(A82&lt;&gt;"",IFERROR(INDEX('Trade Log'!$I$5:$I$1004,MATCH(A82,'Trade Log'!$B$5:$B$1004,0)),""),"")</f>
        <v/>
      </c>
      <c r="D82" s="80" t="str">
        <f aca="false">IF(A82&lt;&gt;"",COUNTIF('Trade Log'!$B$5:$B$1004,A82),"")</f>
        <v/>
      </c>
      <c r="E82" s="80" t="str">
        <f aca="false">IF(A82&lt;&gt;"",SUMIF('Trade Log'!$B$5:$B$1004,A82,'Trade Log'!$L$5:$L$1004),"")</f>
        <v/>
      </c>
      <c r="F82" s="81" t="str">
        <f aca="false">IF(A82&lt;&gt;"",SUMIF('Trade Log'!$B$5:$B$1004,A82,'Trade Log'!$Q$5:$Q$1004),"")</f>
        <v/>
      </c>
      <c r="G82" s="81" t="str">
        <f aca="false">IF(A82&lt;&gt;"",SUMIF('Trade Log'!$B$5:$B$1004,A82,'Trade Log'!$R$5:$R$1004),"")</f>
        <v/>
      </c>
      <c r="H82" s="82" t="str">
        <f aca="false">IF(A82&lt;&gt;"",SUMIF('Trade Log'!$B$5:$B$1004,A82,'Trade Log'!$T$5:$T$1004),"")</f>
        <v/>
      </c>
      <c r="I82" s="83" t="str">
        <f aca="false">IF(A82&lt;&gt;"",IFERROR(SUMIF('Trade Log'!$B$5:$B$1004,A82,'Trade Log'!$R$5:$R$1004)/SUMIF('Trade Log'!$B$5:$B$1004,A82,'Trade Log'!$Q$5:$Q$1004)-1,""),"")</f>
        <v/>
      </c>
      <c r="J82" s="84" t="str">
        <f aca="false">IF(A82&lt;&gt;"",SUMIF('Trade Log'!$B$5:$B$1004,A82,'Trade Log'!$V$5:$V$1004),"")</f>
        <v/>
      </c>
      <c r="K82" s="85" t="str">
        <f aca="false">IF(A82&lt;&gt;"",IFERROR(SUMIF('Trade Log'!$B$5:$B$1004,A82,'Trade Log'!$V$5:$V$1004)/SUMIF('Trade Log'!$B$5:$B$1004,A82,'Trade Log'!$Q$5:$Q$1004),""),"")</f>
        <v/>
      </c>
      <c r="L82" s="86" t="str">
        <f aca="false">IF(A82&lt;&gt;"",IFERROR(SUMIFS('Trade Log'!$L$5:$L$1004,'Trade Log'!$B$5:$B$1004,A82,'Trade Log'!$E$5:$E$1004,""),0),"")</f>
        <v/>
      </c>
      <c r="M82" s="87" t="str">
        <f aca="false">IF(A82&lt;&gt;"",IFERROR(INDEX('Trade Log'!$AB$5:$AB$1004,MATCH(2,1/('Trade Log'!$B$5:$B$1004=A82),1)),""),"")</f>
        <v/>
      </c>
    </row>
    <row r="83" customFormat="false" ht="19.5" hidden="false" customHeight="true" outlineLevel="0" collapsed="false">
      <c r="A83" s="88"/>
      <c r="B83" s="68" t="str">
        <f aca="false">IF(A83&lt;&gt;"",IFERROR(INDEX('Trade Log'!$G$5:$G$1004,MATCH(A83,'Trade Log'!$B$5:$B$1004,0)),""),"")</f>
        <v/>
      </c>
      <c r="C83" s="69" t="str">
        <f aca="false">IF(A83&lt;&gt;"",IFERROR(INDEX('Trade Log'!$I$5:$I$1004,MATCH(A83,'Trade Log'!$B$5:$B$1004,0)),""),"")</f>
        <v/>
      </c>
      <c r="D83" s="67" t="str">
        <f aca="false">IF(A83&lt;&gt;"",COUNTIF('Trade Log'!$B$5:$B$1004,A83),"")</f>
        <v/>
      </c>
      <c r="E83" s="67" t="str">
        <f aca="false">IF(A83&lt;&gt;"",SUMIF('Trade Log'!$B$5:$B$1004,A83,'Trade Log'!$L$5:$L$1004),"")</f>
        <v/>
      </c>
      <c r="F83" s="70" t="str">
        <f aca="false">IF(A83&lt;&gt;"",SUMIF('Trade Log'!$B$5:$B$1004,A83,'Trade Log'!$Q$5:$Q$1004),"")</f>
        <v/>
      </c>
      <c r="G83" s="70" t="str">
        <f aca="false">IF(A83&lt;&gt;"",SUMIF('Trade Log'!$B$5:$B$1004,A83,'Trade Log'!$R$5:$R$1004),"")</f>
        <v/>
      </c>
      <c r="H83" s="71" t="str">
        <f aca="false">IF(A83&lt;&gt;"",SUMIF('Trade Log'!$B$5:$B$1004,A83,'Trade Log'!$T$5:$T$1004),"")</f>
        <v/>
      </c>
      <c r="I83" s="72" t="str">
        <f aca="false">IF(A83&lt;&gt;"",IFERROR(SUMIF('Trade Log'!$B$5:$B$1004,A83,'Trade Log'!$R$5:$R$1004)/SUMIF('Trade Log'!$B$5:$B$1004,A83,'Trade Log'!$Q$5:$Q$1004)-1,""),"")</f>
        <v/>
      </c>
      <c r="J83" s="73" t="str">
        <f aca="false">IF(A83&lt;&gt;"",SUMIF('Trade Log'!$B$5:$B$1004,A83,'Trade Log'!$V$5:$V$1004),"")</f>
        <v/>
      </c>
      <c r="K83" s="74" t="str">
        <f aca="false">IF(A83&lt;&gt;"",IFERROR(SUMIF('Trade Log'!$B$5:$B$1004,A83,'Trade Log'!$V$5:$V$1004)/SUMIF('Trade Log'!$B$5:$B$1004,A83,'Trade Log'!$Q$5:$Q$1004),""),"")</f>
        <v/>
      </c>
      <c r="L83" s="75" t="str">
        <f aca="false">IF(A83&lt;&gt;"",IFERROR(SUMIFS('Trade Log'!$L$5:$L$1004,'Trade Log'!$B$5:$B$1004,A83,'Trade Log'!$E$5:$E$1004,""),0),"")</f>
        <v/>
      </c>
      <c r="M83" s="76" t="str">
        <f aca="false">IF(A83&lt;&gt;"",IFERROR(INDEX('Trade Log'!$AB$5:$AB$1004,MATCH(2,1/('Trade Log'!$B$5:$B$1004=A83),1)),""),"")</f>
        <v/>
      </c>
    </row>
    <row r="84" customFormat="false" ht="19.5" hidden="false" customHeight="true" outlineLevel="0" collapsed="false">
      <c r="A84" s="77"/>
      <c r="B84" s="78" t="str">
        <f aca="false">IF(A84&lt;&gt;"",IFERROR(INDEX('Trade Log'!$G$5:$G$1004,MATCH(A84,'Trade Log'!$B$5:$B$1004,0)),""),"")</f>
        <v/>
      </c>
      <c r="C84" s="79" t="str">
        <f aca="false">IF(A84&lt;&gt;"",IFERROR(INDEX('Trade Log'!$I$5:$I$1004,MATCH(A84,'Trade Log'!$B$5:$B$1004,0)),""),"")</f>
        <v/>
      </c>
      <c r="D84" s="80" t="str">
        <f aca="false">IF(A84&lt;&gt;"",COUNTIF('Trade Log'!$B$5:$B$1004,A84),"")</f>
        <v/>
      </c>
      <c r="E84" s="80" t="str">
        <f aca="false">IF(A84&lt;&gt;"",SUMIF('Trade Log'!$B$5:$B$1004,A84,'Trade Log'!$L$5:$L$1004),"")</f>
        <v/>
      </c>
      <c r="F84" s="81" t="str">
        <f aca="false">IF(A84&lt;&gt;"",SUMIF('Trade Log'!$B$5:$B$1004,A84,'Trade Log'!$Q$5:$Q$1004),"")</f>
        <v/>
      </c>
      <c r="G84" s="81" t="str">
        <f aca="false">IF(A84&lt;&gt;"",SUMIF('Trade Log'!$B$5:$B$1004,A84,'Trade Log'!$R$5:$R$1004),"")</f>
        <v/>
      </c>
      <c r="H84" s="82" t="str">
        <f aca="false">IF(A84&lt;&gt;"",SUMIF('Trade Log'!$B$5:$B$1004,A84,'Trade Log'!$T$5:$T$1004),"")</f>
        <v/>
      </c>
      <c r="I84" s="83" t="str">
        <f aca="false">IF(A84&lt;&gt;"",IFERROR(SUMIF('Trade Log'!$B$5:$B$1004,A84,'Trade Log'!$R$5:$R$1004)/SUMIF('Trade Log'!$B$5:$B$1004,A84,'Trade Log'!$Q$5:$Q$1004)-1,""),"")</f>
        <v/>
      </c>
      <c r="J84" s="84" t="str">
        <f aca="false">IF(A84&lt;&gt;"",SUMIF('Trade Log'!$B$5:$B$1004,A84,'Trade Log'!$V$5:$V$1004),"")</f>
        <v/>
      </c>
      <c r="K84" s="85" t="str">
        <f aca="false">IF(A84&lt;&gt;"",IFERROR(SUMIF('Trade Log'!$B$5:$B$1004,A84,'Trade Log'!$V$5:$V$1004)/SUMIF('Trade Log'!$B$5:$B$1004,A84,'Trade Log'!$Q$5:$Q$1004),""),"")</f>
        <v/>
      </c>
      <c r="L84" s="86" t="str">
        <f aca="false">IF(A84&lt;&gt;"",IFERROR(SUMIFS('Trade Log'!$L$5:$L$1004,'Trade Log'!$B$5:$B$1004,A84,'Trade Log'!$E$5:$E$1004,""),0),"")</f>
        <v/>
      </c>
      <c r="M84" s="87" t="str">
        <f aca="false">IF(A84&lt;&gt;"",IFERROR(INDEX('Trade Log'!$AB$5:$AB$1004,MATCH(2,1/('Trade Log'!$B$5:$B$1004=A84),1)),""),"")</f>
        <v/>
      </c>
    </row>
    <row r="85" customFormat="false" ht="19.5" hidden="false" customHeight="true" outlineLevel="0" collapsed="false">
      <c r="A85" s="88"/>
      <c r="B85" s="68" t="str">
        <f aca="false">IF(A85&lt;&gt;"",IFERROR(INDEX('Trade Log'!$G$5:$G$1004,MATCH(A85,'Trade Log'!$B$5:$B$1004,0)),""),"")</f>
        <v/>
      </c>
      <c r="C85" s="69" t="str">
        <f aca="false">IF(A85&lt;&gt;"",IFERROR(INDEX('Trade Log'!$I$5:$I$1004,MATCH(A85,'Trade Log'!$B$5:$B$1004,0)),""),"")</f>
        <v/>
      </c>
      <c r="D85" s="67" t="str">
        <f aca="false">IF(A85&lt;&gt;"",COUNTIF('Trade Log'!$B$5:$B$1004,A85),"")</f>
        <v/>
      </c>
      <c r="E85" s="67" t="str">
        <f aca="false">IF(A85&lt;&gt;"",SUMIF('Trade Log'!$B$5:$B$1004,A85,'Trade Log'!$L$5:$L$1004),"")</f>
        <v/>
      </c>
      <c r="F85" s="70" t="str">
        <f aca="false">IF(A85&lt;&gt;"",SUMIF('Trade Log'!$B$5:$B$1004,A85,'Trade Log'!$Q$5:$Q$1004),"")</f>
        <v/>
      </c>
      <c r="G85" s="70" t="str">
        <f aca="false">IF(A85&lt;&gt;"",SUMIF('Trade Log'!$B$5:$B$1004,A85,'Trade Log'!$R$5:$R$1004),"")</f>
        <v/>
      </c>
      <c r="H85" s="71" t="str">
        <f aca="false">IF(A85&lt;&gt;"",SUMIF('Trade Log'!$B$5:$B$1004,A85,'Trade Log'!$T$5:$T$1004),"")</f>
        <v/>
      </c>
      <c r="I85" s="72" t="str">
        <f aca="false">IF(A85&lt;&gt;"",IFERROR(SUMIF('Trade Log'!$B$5:$B$1004,A85,'Trade Log'!$R$5:$R$1004)/SUMIF('Trade Log'!$B$5:$B$1004,A85,'Trade Log'!$Q$5:$Q$1004)-1,""),"")</f>
        <v/>
      </c>
      <c r="J85" s="73" t="str">
        <f aca="false">IF(A85&lt;&gt;"",SUMIF('Trade Log'!$B$5:$B$1004,A85,'Trade Log'!$V$5:$V$1004),"")</f>
        <v/>
      </c>
      <c r="K85" s="74" t="str">
        <f aca="false">IF(A85&lt;&gt;"",IFERROR(SUMIF('Trade Log'!$B$5:$B$1004,A85,'Trade Log'!$V$5:$V$1004)/SUMIF('Trade Log'!$B$5:$B$1004,A85,'Trade Log'!$Q$5:$Q$1004),""),"")</f>
        <v/>
      </c>
      <c r="L85" s="75" t="str">
        <f aca="false">IF(A85&lt;&gt;"",IFERROR(SUMIFS('Trade Log'!$L$5:$L$1004,'Trade Log'!$B$5:$B$1004,A85,'Trade Log'!$E$5:$E$1004,""),0),"")</f>
        <v/>
      </c>
      <c r="M85" s="76" t="str">
        <f aca="false">IF(A85&lt;&gt;"",IFERROR(INDEX('Trade Log'!$AB$5:$AB$1004,MATCH(2,1/('Trade Log'!$B$5:$B$1004=A85),1)),""),"")</f>
        <v/>
      </c>
    </row>
    <row r="86" customFormat="false" ht="19.5" hidden="false" customHeight="true" outlineLevel="0" collapsed="false">
      <c r="A86" s="77"/>
      <c r="B86" s="78" t="str">
        <f aca="false">IF(A86&lt;&gt;"",IFERROR(INDEX('Trade Log'!$G$5:$G$1004,MATCH(A86,'Trade Log'!$B$5:$B$1004,0)),""),"")</f>
        <v/>
      </c>
      <c r="C86" s="79" t="str">
        <f aca="false">IF(A86&lt;&gt;"",IFERROR(INDEX('Trade Log'!$I$5:$I$1004,MATCH(A86,'Trade Log'!$B$5:$B$1004,0)),""),"")</f>
        <v/>
      </c>
      <c r="D86" s="80" t="str">
        <f aca="false">IF(A86&lt;&gt;"",COUNTIF('Trade Log'!$B$5:$B$1004,A86),"")</f>
        <v/>
      </c>
      <c r="E86" s="80" t="str">
        <f aca="false">IF(A86&lt;&gt;"",SUMIF('Trade Log'!$B$5:$B$1004,A86,'Trade Log'!$L$5:$L$1004),"")</f>
        <v/>
      </c>
      <c r="F86" s="81" t="str">
        <f aca="false">IF(A86&lt;&gt;"",SUMIF('Trade Log'!$B$5:$B$1004,A86,'Trade Log'!$Q$5:$Q$1004),"")</f>
        <v/>
      </c>
      <c r="G86" s="81" t="str">
        <f aca="false">IF(A86&lt;&gt;"",SUMIF('Trade Log'!$B$5:$B$1004,A86,'Trade Log'!$R$5:$R$1004),"")</f>
        <v/>
      </c>
      <c r="H86" s="82" t="str">
        <f aca="false">IF(A86&lt;&gt;"",SUMIF('Trade Log'!$B$5:$B$1004,A86,'Trade Log'!$T$5:$T$1004),"")</f>
        <v/>
      </c>
      <c r="I86" s="83" t="str">
        <f aca="false">IF(A86&lt;&gt;"",IFERROR(SUMIF('Trade Log'!$B$5:$B$1004,A86,'Trade Log'!$R$5:$R$1004)/SUMIF('Trade Log'!$B$5:$B$1004,A86,'Trade Log'!$Q$5:$Q$1004)-1,""),"")</f>
        <v/>
      </c>
      <c r="J86" s="84" t="str">
        <f aca="false">IF(A86&lt;&gt;"",SUMIF('Trade Log'!$B$5:$B$1004,A86,'Trade Log'!$V$5:$V$1004),"")</f>
        <v/>
      </c>
      <c r="K86" s="85" t="str">
        <f aca="false">IF(A86&lt;&gt;"",IFERROR(SUMIF('Trade Log'!$B$5:$B$1004,A86,'Trade Log'!$V$5:$V$1004)/SUMIF('Trade Log'!$B$5:$B$1004,A86,'Trade Log'!$Q$5:$Q$1004),""),"")</f>
        <v/>
      </c>
      <c r="L86" s="86" t="str">
        <f aca="false">IF(A86&lt;&gt;"",IFERROR(SUMIFS('Trade Log'!$L$5:$L$1004,'Trade Log'!$B$5:$B$1004,A86,'Trade Log'!$E$5:$E$1004,""),0),"")</f>
        <v/>
      </c>
      <c r="M86" s="87" t="str">
        <f aca="false">IF(A86&lt;&gt;"",IFERROR(INDEX('Trade Log'!$AB$5:$AB$1004,MATCH(2,1/('Trade Log'!$B$5:$B$1004=A86),1)),""),"")</f>
        <v/>
      </c>
    </row>
    <row r="87" customFormat="false" ht="19.5" hidden="false" customHeight="true" outlineLevel="0" collapsed="false">
      <c r="A87" s="88"/>
      <c r="B87" s="68" t="str">
        <f aca="false">IF(A87&lt;&gt;"",IFERROR(INDEX('Trade Log'!$G$5:$G$1004,MATCH(A87,'Trade Log'!$B$5:$B$1004,0)),""),"")</f>
        <v/>
      </c>
      <c r="C87" s="69" t="str">
        <f aca="false">IF(A87&lt;&gt;"",IFERROR(INDEX('Trade Log'!$I$5:$I$1004,MATCH(A87,'Trade Log'!$B$5:$B$1004,0)),""),"")</f>
        <v/>
      </c>
      <c r="D87" s="67" t="str">
        <f aca="false">IF(A87&lt;&gt;"",COUNTIF('Trade Log'!$B$5:$B$1004,A87),"")</f>
        <v/>
      </c>
      <c r="E87" s="67" t="str">
        <f aca="false">IF(A87&lt;&gt;"",SUMIF('Trade Log'!$B$5:$B$1004,A87,'Trade Log'!$L$5:$L$1004),"")</f>
        <v/>
      </c>
      <c r="F87" s="70" t="str">
        <f aca="false">IF(A87&lt;&gt;"",SUMIF('Trade Log'!$B$5:$B$1004,A87,'Trade Log'!$Q$5:$Q$1004),"")</f>
        <v/>
      </c>
      <c r="G87" s="70" t="str">
        <f aca="false">IF(A87&lt;&gt;"",SUMIF('Trade Log'!$B$5:$B$1004,A87,'Trade Log'!$R$5:$R$1004),"")</f>
        <v/>
      </c>
      <c r="H87" s="71" t="str">
        <f aca="false">IF(A87&lt;&gt;"",SUMIF('Trade Log'!$B$5:$B$1004,A87,'Trade Log'!$T$5:$T$1004),"")</f>
        <v/>
      </c>
      <c r="I87" s="72" t="str">
        <f aca="false">IF(A87&lt;&gt;"",IFERROR(SUMIF('Trade Log'!$B$5:$B$1004,A87,'Trade Log'!$R$5:$R$1004)/SUMIF('Trade Log'!$B$5:$B$1004,A87,'Trade Log'!$Q$5:$Q$1004)-1,""),"")</f>
        <v/>
      </c>
      <c r="J87" s="73" t="str">
        <f aca="false">IF(A87&lt;&gt;"",SUMIF('Trade Log'!$B$5:$B$1004,A87,'Trade Log'!$V$5:$V$1004),"")</f>
        <v/>
      </c>
      <c r="K87" s="74" t="str">
        <f aca="false">IF(A87&lt;&gt;"",IFERROR(SUMIF('Trade Log'!$B$5:$B$1004,A87,'Trade Log'!$V$5:$V$1004)/SUMIF('Trade Log'!$B$5:$B$1004,A87,'Trade Log'!$Q$5:$Q$1004),""),"")</f>
        <v/>
      </c>
      <c r="L87" s="75" t="str">
        <f aca="false">IF(A87&lt;&gt;"",IFERROR(SUMIFS('Trade Log'!$L$5:$L$1004,'Trade Log'!$B$5:$B$1004,A87,'Trade Log'!$E$5:$E$1004,""),0),"")</f>
        <v/>
      </c>
      <c r="M87" s="76" t="str">
        <f aca="false">IF(A87&lt;&gt;"",IFERROR(INDEX('Trade Log'!$AB$5:$AB$1004,MATCH(2,1/('Trade Log'!$B$5:$B$1004=A87),1)),""),"")</f>
        <v/>
      </c>
    </row>
    <row r="88" customFormat="false" ht="19.5" hidden="false" customHeight="true" outlineLevel="0" collapsed="false">
      <c r="A88" s="77"/>
      <c r="B88" s="78" t="str">
        <f aca="false">IF(A88&lt;&gt;"",IFERROR(INDEX('Trade Log'!$G$5:$G$1004,MATCH(A88,'Trade Log'!$B$5:$B$1004,0)),""),"")</f>
        <v/>
      </c>
      <c r="C88" s="79" t="str">
        <f aca="false">IF(A88&lt;&gt;"",IFERROR(INDEX('Trade Log'!$I$5:$I$1004,MATCH(A88,'Trade Log'!$B$5:$B$1004,0)),""),"")</f>
        <v/>
      </c>
      <c r="D88" s="80" t="str">
        <f aca="false">IF(A88&lt;&gt;"",COUNTIF('Trade Log'!$B$5:$B$1004,A88),"")</f>
        <v/>
      </c>
      <c r="E88" s="80" t="str">
        <f aca="false">IF(A88&lt;&gt;"",SUMIF('Trade Log'!$B$5:$B$1004,A88,'Trade Log'!$L$5:$L$1004),"")</f>
        <v/>
      </c>
      <c r="F88" s="81" t="str">
        <f aca="false">IF(A88&lt;&gt;"",SUMIF('Trade Log'!$B$5:$B$1004,A88,'Trade Log'!$Q$5:$Q$1004),"")</f>
        <v/>
      </c>
      <c r="G88" s="81" t="str">
        <f aca="false">IF(A88&lt;&gt;"",SUMIF('Trade Log'!$B$5:$B$1004,A88,'Trade Log'!$R$5:$R$1004),"")</f>
        <v/>
      </c>
      <c r="H88" s="82" t="str">
        <f aca="false">IF(A88&lt;&gt;"",SUMIF('Trade Log'!$B$5:$B$1004,A88,'Trade Log'!$T$5:$T$1004),"")</f>
        <v/>
      </c>
      <c r="I88" s="83" t="str">
        <f aca="false">IF(A88&lt;&gt;"",IFERROR(SUMIF('Trade Log'!$B$5:$B$1004,A88,'Trade Log'!$R$5:$R$1004)/SUMIF('Trade Log'!$B$5:$B$1004,A88,'Trade Log'!$Q$5:$Q$1004)-1,""),"")</f>
        <v/>
      </c>
      <c r="J88" s="84" t="str">
        <f aca="false">IF(A88&lt;&gt;"",SUMIF('Trade Log'!$B$5:$B$1004,A88,'Trade Log'!$V$5:$V$1004),"")</f>
        <v/>
      </c>
      <c r="K88" s="85" t="str">
        <f aca="false">IF(A88&lt;&gt;"",IFERROR(SUMIF('Trade Log'!$B$5:$B$1004,A88,'Trade Log'!$V$5:$V$1004)/SUMIF('Trade Log'!$B$5:$B$1004,A88,'Trade Log'!$Q$5:$Q$1004),""),"")</f>
        <v/>
      </c>
      <c r="L88" s="86" t="str">
        <f aca="false">IF(A88&lt;&gt;"",IFERROR(SUMIFS('Trade Log'!$L$5:$L$1004,'Trade Log'!$B$5:$B$1004,A88,'Trade Log'!$E$5:$E$1004,""),0),"")</f>
        <v/>
      </c>
      <c r="M88" s="87" t="str">
        <f aca="false">IF(A88&lt;&gt;"",IFERROR(INDEX('Trade Log'!$AB$5:$AB$1004,MATCH(2,1/('Trade Log'!$B$5:$B$1004=A88),1)),""),"")</f>
        <v/>
      </c>
    </row>
    <row r="89" customFormat="false" ht="19.5" hidden="false" customHeight="true" outlineLevel="0" collapsed="false">
      <c r="A89" s="88"/>
      <c r="B89" s="68" t="str">
        <f aca="false">IF(A89&lt;&gt;"",IFERROR(INDEX('Trade Log'!$G$5:$G$1004,MATCH(A89,'Trade Log'!$B$5:$B$1004,0)),""),"")</f>
        <v/>
      </c>
      <c r="C89" s="69" t="str">
        <f aca="false">IF(A89&lt;&gt;"",IFERROR(INDEX('Trade Log'!$I$5:$I$1004,MATCH(A89,'Trade Log'!$B$5:$B$1004,0)),""),"")</f>
        <v/>
      </c>
      <c r="D89" s="67" t="str">
        <f aca="false">IF(A89&lt;&gt;"",COUNTIF('Trade Log'!$B$5:$B$1004,A89),"")</f>
        <v/>
      </c>
      <c r="E89" s="67" t="str">
        <f aca="false">IF(A89&lt;&gt;"",SUMIF('Trade Log'!$B$5:$B$1004,A89,'Trade Log'!$L$5:$L$1004),"")</f>
        <v/>
      </c>
      <c r="F89" s="70" t="str">
        <f aca="false">IF(A89&lt;&gt;"",SUMIF('Trade Log'!$B$5:$B$1004,A89,'Trade Log'!$Q$5:$Q$1004),"")</f>
        <v/>
      </c>
      <c r="G89" s="70" t="str">
        <f aca="false">IF(A89&lt;&gt;"",SUMIF('Trade Log'!$B$5:$B$1004,A89,'Trade Log'!$R$5:$R$1004),"")</f>
        <v/>
      </c>
      <c r="H89" s="71" t="str">
        <f aca="false">IF(A89&lt;&gt;"",SUMIF('Trade Log'!$B$5:$B$1004,A89,'Trade Log'!$T$5:$T$1004),"")</f>
        <v/>
      </c>
      <c r="I89" s="72" t="str">
        <f aca="false">IF(A89&lt;&gt;"",IFERROR(SUMIF('Trade Log'!$B$5:$B$1004,A89,'Trade Log'!$R$5:$R$1004)/SUMIF('Trade Log'!$B$5:$B$1004,A89,'Trade Log'!$Q$5:$Q$1004)-1,""),"")</f>
        <v/>
      </c>
      <c r="J89" s="73" t="str">
        <f aca="false">IF(A89&lt;&gt;"",SUMIF('Trade Log'!$B$5:$B$1004,A89,'Trade Log'!$V$5:$V$1004),"")</f>
        <v/>
      </c>
      <c r="K89" s="74" t="str">
        <f aca="false">IF(A89&lt;&gt;"",IFERROR(SUMIF('Trade Log'!$B$5:$B$1004,A89,'Trade Log'!$V$5:$V$1004)/SUMIF('Trade Log'!$B$5:$B$1004,A89,'Trade Log'!$Q$5:$Q$1004),""),"")</f>
        <v/>
      </c>
      <c r="L89" s="75" t="str">
        <f aca="false">IF(A89&lt;&gt;"",IFERROR(SUMIFS('Trade Log'!$L$5:$L$1004,'Trade Log'!$B$5:$B$1004,A89,'Trade Log'!$E$5:$E$1004,""),0),"")</f>
        <v/>
      </c>
      <c r="M89" s="76" t="str">
        <f aca="false">IF(A89&lt;&gt;"",IFERROR(INDEX('Trade Log'!$AB$5:$AB$1004,MATCH(2,1/('Trade Log'!$B$5:$B$1004=A89),1)),""),"")</f>
        <v/>
      </c>
    </row>
    <row r="90" customFormat="false" ht="19.5" hidden="false" customHeight="true" outlineLevel="0" collapsed="false">
      <c r="A90" s="77"/>
      <c r="B90" s="78" t="str">
        <f aca="false">IF(A90&lt;&gt;"",IFERROR(INDEX('Trade Log'!$G$5:$G$1004,MATCH(A90,'Trade Log'!$B$5:$B$1004,0)),""),"")</f>
        <v/>
      </c>
      <c r="C90" s="79" t="str">
        <f aca="false">IF(A90&lt;&gt;"",IFERROR(INDEX('Trade Log'!$I$5:$I$1004,MATCH(A90,'Trade Log'!$B$5:$B$1004,0)),""),"")</f>
        <v/>
      </c>
      <c r="D90" s="80" t="str">
        <f aca="false">IF(A90&lt;&gt;"",COUNTIF('Trade Log'!$B$5:$B$1004,A90),"")</f>
        <v/>
      </c>
      <c r="E90" s="80" t="str">
        <f aca="false">IF(A90&lt;&gt;"",SUMIF('Trade Log'!$B$5:$B$1004,A90,'Trade Log'!$L$5:$L$1004),"")</f>
        <v/>
      </c>
      <c r="F90" s="81" t="str">
        <f aca="false">IF(A90&lt;&gt;"",SUMIF('Trade Log'!$B$5:$B$1004,A90,'Trade Log'!$Q$5:$Q$1004),"")</f>
        <v/>
      </c>
      <c r="G90" s="81" t="str">
        <f aca="false">IF(A90&lt;&gt;"",SUMIF('Trade Log'!$B$5:$B$1004,A90,'Trade Log'!$R$5:$R$1004),"")</f>
        <v/>
      </c>
      <c r="H90" s="82" t="str">
        <f aca="false">IF(A90&lt;&gt;"",SUMIF('Trade Log'!$B$5:$B$1004,A90,'Trade Log'!$T$5:$T$1004),"")</f>
        <v/>
      </c>
      <c r="I90" s="83" t="str">
        <f aca="false">IF(A90&lt;&gt;"",IFERROR(SUMIF('Trade Log'!$B$5:$B$1004,A90,'Trade Log'!$R$5:$R$1004)/SUMIF('Trade Log'!$B$5:$B$1004,A90,'Trade Log'!$Q$5:$Q$1004)-1,""),"")</f>
        <v/>
      </c>
      <c r="J90" s="84" t="str">
        <f aca="false">IF(A90&lt;&gt;"",SUMIF('Trade Log'!$B$5:$B$1004,A90,'Trade Log'!$V$5:$V$1004),"")</f>
        <v/>
      </c>
      <c r="K90" s="85" t="str">
        <f aca="false">IF(A90&lt;&gt;"",IFERROR(SUMIF('Trade Log'!$B$5:$B$1004,A90,'Trade Log'!$V$5:$V$1004)/SUMIF('Trade Log'!$B$5:$B$1004,A90,'Trade Log'!$Q$5:$Q$1004),""),"")</f>
        <v/>
      </c>
      <c r="L90" s="86" t="str">
        <f aca="false">IF(A90&lt;&gt;"",IFERROR(SUMIFS('Trade Log'!$L$5:$L$1004,'Trade Log'!$B$5:$B$1004,A90,'Trade Log'!$E$5:$E$1004,""),0),"")</f>
        <v/>
      </c>
      <c r="M90" s="87" t="str">
        <f aca="false">IF(A90&lt;&gt;"",IFERROR(INDEX('Trade Log'!$AB$5:$AB$1004,MATCH(2,1/('Trade Log'!$B$5:$B$1004=A90),1)),""),"")</f>
        <v/>
      </c>
    </row>
    <row r="91" customFormat="false" ht="19.5" hidden="false" customHeight="true" outlineLevel="0" collapsed="false">
      <c r="A91" s="88"/>
      <c r="B91" s="68" t="str">
        <f aca="false">IF(A91&lt;&gt;"",IFERROR(INDEX('Trade Log'!$G$5:$G$1004,MATCH(A91,'Trade Log'!$B$5:$B$1004,0)),""),"")</f>
        <v/>
      </c>
      <c r="C91" s="69" t="str">
        <f aca="false">IF(A91&lt;&gt;"",IFERROR(INDEX('Trade Log'!$I$5:$I$1004,MATCH(A91,'Trade Log'!$B$5:$B$1004,0)),""),"")</f>
        <v/>
      </c>
      <c r="D91" s="67" t="str">
        <f aca="false">IF(A91&lt;&gt;"",COUNTIF('Trade Log'!$B$5:$B$1004,A91),"")</f>
        <v/>
      </c>
      <c r="E91" s="67" t="str">
        <f aca="false">IF(A91&lt;&gt;"",SUMIF('Trade Log'!$B$5:$B$1004,A91,'Trade Log'!$L$5:$L$1004),"")</f>
        <v/>
      </c>
      <c r="F91" s="70" t="str">
        <f aca="false">IF(A91&lt;&gt;"",SUMIF('Trade Log'!$B$5:$B$1004,A91,'Trade Log'!$Q$5:$Q$1004),"")</f>
        <v/>
      </c>
      <c r="G91" s="70" t="str">
        <f aca="false">IF(A91&lt;&gt;"",SUMIF('Trade Log'!$B$5:$B$1004,A91,'Trade Log'!$R$5:$R$1004),"")</f>
        <v/>
      </c>
      <c r="H91" s="71" t="str">
        <f aca="false">IF(A91&lt;&gt;"",SUMIF('Trade Log'!$B$5:$B$1004,A91,'Trade Log'!$T$5:$T$1004),"")</f>
        <v/>
      </c>
      <c r="I91" s="72" t="str">
        <f aca="false">IF(A91&lt;&gt;"",IFERROR(SUMIF('Trade Log'!$B$5:$B$1004,A91,'Trade Log'!$R$5:$R$1004)/SUMIF('Trade Log'!$B$5:$B$1004,A91,'Trade Log'!$Q$5:$Q$1004)-1,""),"")</f>
        <v/>
      </c>
      <c r="J91" s="73" t="str">
        <f aca="false">IF(A91&lt;&gt;"",SUMIF('Trade Log'!$B$5:$B$1004,A91,'Trade Log'!$V$5:$V$1004),"")</f>
        <v/>
      </c>
      <c r="K91" s="74" t="str">
        <f aca="false">IF(A91&lt;&gt;"",IFERROR(SUMIF('Trade Log'!$B$5:$B$1004,A91,'Trade Log'!$V$5:$V$1004)/SUMIF('Trade Log'!$B$5:$B$1004,A91,'Trade Log'!$Q$5:$Q$1004),""),"")</f>
        <v/>
      </c>
      <c r="L91" s="75" t="str">
        <f aca="false">IF(A91&lt;&gt;"",IFERROR(SUMIFS('Trade Log'!$L$5:$L$1004,'Trade Log'!$B$5:$B$1004,A91,'Trade Log'!$E$5:$E$1004,""),0),"")</f>
        <v/>
      </c>
      <c r="M91" s="76" t="str">
        <f aca="false">IF(A91&lt;&gt;"",IFERROR(INDEX('Trade Log'!$AB$5:$AB$1004,MATCH(2,1/('Trade Log'!$B$5:$B$1004=A91),1)),""),"")</f>
        <v/>
      </c>
    </row>
    <row r="92" customFormat="false" ht="19.5" hidden="false" customHeight="true" outlineLevel="0" collapsed="false">
      <c r="A92" s="77"/>
      <c r="B92" s="78" t="str">
        <f aca="false">IF(A92&lt;&gt;"",IFERROR(INDEX('Trade Log'!$G$5:$G$1004,MATCH(A92,'Trade Log'!$B$5:$B$1004,0)),""),"")</f>
        <v/>
      </c>
      <c r="C92" s="79" t="str">
        <f aca="false">IF(A92&lt;&gt;"",IFERROR(INDEX('Trade Log'!$I$5:$I$1004,MATCH(A92,'Trade Log'!$B$5:$B$1004,0)),""),"")</f>
        <v/>
      </c>
      <c r="D92" s="80" t="str">
        <f aca="false">IF(A92&lt;&gt;"",COUNTIF('Trade Log'!$B$5:$B$1004,A92),"")</f>
        <v/>
      </c>
      <c r="E92" s="80" t="str">
        <f aca="false">IF(A92&lt;&gt;"",SUMIF('Trade Log'!$B$5:$B$1004,A92,'Trade Log'!$L$5:$L$1004),"")</f>
        <v/>
      </c>
      <c r="F92" s="81" t="str">
        <f aca="false">IF(A92&lt;&gt;"",SUMIF('Trade Log'!$B$5:$B$1004,A92,'Trade Log'!$Q$5:$Q$1004),"")</f>
        <v/>
      </c>
      <c r="G92" s="81" t="str">
        <f aca="false">IF(A92&lt;&gt;"",SUMIF('Trade Log'!$B$5:$B$1004,A92,'Trade Log'!$R$5:$R$1004),"")</f>
        <v/>
      </c>
      <c r="H92" s="82" t="str">
        <f aca="false">IF(A92&lt;&gt;"",SUMIF('Trade Log'!$B$5:$B$1004,A92,'Trade Log'!$T$5:$T$1004),"")</f>
        <v/>
      </c>
      <c r="I92" s="83" t="str">
        <f aca="false">IF(A92&lt;&gt;"",IFERROR(SUMIF('Trade Log'!$B$5:$B$1004,A92,'Trade Log'!$R$5:$R$1004)/SUMIF('Trade Log'!$B$5:$B$1004,A92,'Trade Log'!$Q$5:$Q$1004)-1,""),"")</f>
        <v/>
      </c>
      <c r="J92" s="84" t="str">
        <f aca="false">IF(A92&lt;&gt;"",SUMIF('Trade Log'!$B$5:$B$1004,A92,'Trade Log'!$V$5:$V$1004),"")</f>
        <v/>
      </c>
      <c r="K92" s="85" t="str">
        <f aca="false">IF(A92&lt;&gt;"",IFERROR(SUMIF('Trade Log'!$B$5:$B$1004,A92,'Trade Log'!$V$5:$V$1004)/SUMIF('Trade Log'!$B$5:$B$1004,A92,'Trade Log'!$Q$5:$Q$1004),""),"")</f>
        <v/>
      </c>
      <c r="L92" s="86" t="str">
        <f aca="false">IF(A92&lt;&gt;"",IFERROR(SUMIFS('Trade Log'!$L$5:$L$1004,'Trade Log'!$B$5:$B$1004,A92,'Trade Log'!$E$5:$E$1004,""),0),"")</f>
        <v/>
      </c>
      <c r="M92" s="87" t="str">
        <f aca="false">IF(A92&lt;&gt;"",IFERROR(INDEX('Trade Log'!$AB$5:$AB$1004,MATCH(2,1/('Trade Log'!$B$5:$B$1004=A92),1)),""),"")</f>
        <v/>
      </c>
    </row>
    <row r="93" customFormat="false" ht="19.5" hidden="false" customHeight="true" outlineLevel="0" collapsed="false">
      <c r="A93" s="88"/>
      <c r="B93" s="68" t="str">
        <f aca="false">IF(A93&lt;&gt;"",IFERROR(INDEX('Trade Log'!$G$5:$G$1004,MATCH(A93,'Trade Log'!$B$5:$B$1004,0)),""),"")</f>
        <v/>
      </c>
      <c r="C93" s="69" t="str">
        <f aca="false">IF(A93&lt;&gt;"",IFERROR(INDEX('Trade Log'!$I$5:$I$1004,MATCH(A93,'Trade Log'!$B$5:$B$1004,0)),""),"")</f>
        <v/>
      </c>
      <c r="D93" s="67" t="str">
        <f aca="false">IF(A93&lt;&gt;"",COUNTIF('Trade Log'!$B$5:$B$1004,A93),"")</f>
        <v/>
      </c>
      <c r="E93" s="67" t="str">
        <f aca="false">IF(A93&lt;&gt;"",SUMIF('Trade Log'!$B$5:$B$1004,A93,'Trade Log'!$L$5:$L$1004),"")</f>
        <v/>
      </c>
      <c r="F93" s="70" t="str">
        <f aca="false">IF(A93&lt;&gt;"",SUMIF('Trade Log'!$B$5:$B$1004,A93,'Trade Log'!$Q$5:$Q$1004),"")</f>
        <v/>
      </c>
      <c r="G93" s="70" t="str">
        <f aca="false">IF(A93&lt;&gt;"",SUMIF('Trade Log'!$B$5:$B$1004,A93,'Trade Log'!$R$5:$R$1004),"")</f>
        <v/>
      </c>
      <c r="H93" s="71" t="str">
        <f aca="false">IF(A93&lt;&gt;"",SUMIF('Trade Log'!$B$5:$B$1004,A93,'Trade Log'!$T$5:$T$1004),"")</f>
        <v/>
      </c>
      <c r="I93" s="72" t="str">
        <f aca="false">IF(A93&lt;&gt;"",IFERROR(SUMIF('Trade Log'!$B$5:$B$1004,A93,'Trade Log'!$R$5:$R$1004)/SUMIF('Trade Log'!$B$5:$B$1004,A93,'Trade Log'!$Q$5:$Q$1004)-1,""),"")</f>
        <v/>
      </c>
      <c r="J93" s="73" t="str">
        <f aca="false">IF(A93&lt;&gt;"",SUMIF('Trade Log'!$B$5:$B$1004,A93,'Trade Log'!$V$5:$V$1004),"")</f>
        <v/>
      </c>
      <c r="K93" s="74" t="str">
        <f aca="false">IF(A93&lt;&gt;"",IFERROR(SUMIF('Trade Log'!$B$5:$B$1004,A93,'Trade Log'!$V$5:$V$1004)/SUMIF('Trade Log'!$B$5:$B$1004,A93,'Trade Log'!$Q$5:$Q$1004),""),"")</f>
        <v/>
      </c>
      <c r="L93" s="75" t="str">
        <f aca="false">IF(A93&lt;&gt;"",IFERROR(SUMIFS('Trade Log'!$L$5:$L$1004,'Trade Log'!$B$5:$B$1004,A93,'Trade Log'!$E$5:$E$1004,""),0),"")</f>
        <v/>
      </c>
      <c r="M93" s="76" t="str">
        <f aca="false">IF(A93&lt;&gt;"",IFERROR(INDEX('Trade Log'!$AB$5:$AB$1004,MATCH(2,1/('Trade Log'!$B$5:$B$1004=A93),1)),""),"")</f>
        <v/>
      </c>
    </row>
    <row r="94" customFormat="false" ht="19.5" hidden="false" customHeight="true" outlineLevel="0" collapsed="false">
      <c r="A94" s="77"/>
      <c r="B94" s="78" t="str">
        <f aca="false">IF(A94&lt;&gt;"",IFERROR(INDEX('Trade Log'!$G$5:$G$1004,MATCH(A94,'Trade Log'!$B$5:$B$1004,0)),""),"")</f>
        <v/>
      </c>
      <c r="C94" s="79" t="str">
        <f aca="false">IF(A94&lt;&gt;"",IFERROR(INDEX('Trade Log'!$I$5:$I$1004,MATCH(A94,'Trade Log'!$B$5:$B$1004,0)),""),"")</f>
        <v/>
      </c>
      <c r="D94" s="80" t="str">
        <f aca="false">IF(A94&lt;&gt;"",COUNTIF('Trade Log'!$B$5:$B$1004,A94),"")</f>
        <v/>
      </c>
      <c r="E94" s="80" t="str">
        <f aca="false">IF(A94&lt;&gt;"",SUMIF('Trade Log'!$B$5:$B$1004,A94,'Trade Log'!$L$5:$L$1004),"")</f>
        <v/>
      </c>
      <c r="F94" s="81" t="str">
        <f aca="false">IF(A94&lt;&gt;"",SUMIF('Trade Log'!$B$5:$B$1004,A94,'Trade Log'!$Q$5:$Q$1004),"")</f>
        <v/>
      </c>
      <c r="G94" s="81" t="str">
        <f aca="false">IF(A94&lt;&gt;"",SUMIF('Trade Log'!$B$5:$B$1004,A94,'Trade Log'!$R$5:$R$1004),"")</f>
        <v/>
      </c>
      <c r="H94" s="82" t="str">
        <f aca="false">IF(A94&lt;&gt;"",SUMIF('Trade Log'!$B$5:$B$1004,A94,'Trade Log'!$T$5:$T$1004),"")</f>
        <v/>
      </c>
      <c r="I94" s="83" t="str">
        <f aca="false">IF(A94&lt;&gt;"",IFERROR(SUMIF('Trade Log'!$B$5:$B$1004,A94,'Trade Log'!$R$5:$R$1004)/SUMIF('Trade Log'!$B$5:$B$1004,A94,'Trade Log'!$Q$5:$Q$1004)-1,""),"")</f>
        <v/>
      </c>
      <c r="J94" s="84" t="str">
        <f aca="false">IF(A94&lt;&gt;"",SUMIF('Trade Log'!$B$5:$B$1004,A94,'Trade Log'!$V$5:$V$1004),"")</f>
        <v/>
      </c>
      <c r="K94" s="85" t="str">
        <f aca="false">IF(A94&lt;&gt;"",IFERROR(SUMIF('Trade Log'!$B$5:$B$1004,A94,'Trade Log'!$V$5:$V$1004)/SUMIF('Trade Log'!$B$5:$B$1004,A94,'Trade Log'!$Q$5:$Q$1004),""),"")</f>
        <v/>
      </c>
      <c r="L94" s="86" t="str">
        <f aca="false">IF(A94&lt;&gt;"",IFERROR(SUMIFS('Trade Log'!$L$5:$L$1004,'Trade Log'!$B$5:$B$1004,A94,'Trade Log'!$E$5:$E$1004,""),0),"")</f>
        <v/>
      </c>
      <c r="M94" s="87" t="str">
        <f aca="false">IF(A94&lt;&gt;"",IFERROR(INDEX('Trade Log'!$AB$5:$AB$1004,MATCH(2,1/('Trade Log'!$B$5:$B$1004=A94),1)),""),"")</f>
        <v/>
      </c>
    </row>
    <row r="95" customFormat="false" ht="19.5" hidden="false" customHeight="true" outlineLevel="0" collapsed="false">
      <c r="A95" s="88"/>
      <c r="B95" s="68" t="str">
        <f aca="false">IF(A95&lt;&gt;"",IFERROR(INDEX('Trade Log'!$G$5:$G$1004,MATCH(A95,'Trade Log'!$B$5:$B$1004,0)),""),"")</f>
        <v/>
      </c>
      <c r="C95" s="69" t="str">
        <f aca="false">IF(A95&lt;&gt;"",IFERROR(INDEX('Trade Log'!$I$5:$I$1004,MATCH(A95,'Trade Log'!$B$5:$B$1004,0)),""),"")</f>
        <v/>
      </c>
      <c r="D95" s="67" t="str">
        <f aca="false">IF(A95&lt;&gt;"",COUNTIF('Trade Log'!$B$5:$B$1004,A95),"")</f>
        <v/>
      </c>
      <c r="E95" s="67" t="str">
        <f aca="false">IF(A95&lt;&gt;"",SUMIF('Trade Log'!$B$5:$B$1004,A95,'Trade Log'!$L$5:$L$1004),"")</f>
        <v/>
      </c>
      <c r="F95" s="70" t="str">
        <f aca="false">IF(A95&lt;&gt;"",SUMIF('Trade Log'!$B$5:$B$1004,A95,'Trade Log'!$Q$5:$Q$1004),"")</f>
        <v/>
      </c>
      <c r="G95" s="70" t="str">
        <f aca="false">IF(A95&lt;&gt;"",SUMIF('Trade Log'!$B$5:$B$1004,A95,'Trade Log'!$R$5:$R$1004),"")</f>
        <v/>
      </c>
      <c r="H95" s="71" t="str">
        <f aca="false">IF(A95&lt;&gt;"",SUMIF('Trade Log'!$B$5:$B$1004,A95,'Trade Log'!$T$5:$T$1004),"")</f>
        <v/>
      </c>
      <c r="I95" s="72" t="str">
        <f aca="false">IF(A95&lt;&gt;"",IFERROR(SUMIF('Trade Log'!$B$5:$B$1004,A95,'Trade Log'!$R$5:$R$1004)/SUMIF('Trade Log'!$B$5:$B$1004,A95,'Trade Log'!$Q$5:$Q$1004)-1,""),"")</f>
        <v/>
      </c>
      <c r="J95" s="73" t="str">
        <f aca="false">IF(A95&lt;&gt;"",SUMIF('Trade Log'!$B$5:$B$1004,A95,'Trade Log'!$V$5:$V$1004),"")</f>
        <v/>
      </c>
      <c r="K95" s="74" t="str">
        <f aca="false">IF(A95&lt;&gt;"",IFERROR(SUMIF('Trade Log'!$B$5:$B$1004,A95,'Trade Log'!$V$5:$V$1004)/SUMIF('Trade Log'!$B$5:$B$1004,A95,'Trade Log'!$Q$5:$Q$1004),""),"")</f>
        <v/>
      </c>
      <c r="L95" s="75" t="str">
        <f aca="false">IF(A95&lt;&gt;"",IFERROR(SUMIFS('Trade Log'!$L$5:$L$1004,'Trade Log'!$B$5:$B$1004,A95,'Trade Log'!$E$5:$E$1004,""),0),"")</f>
        <v/>
      </c>
      <c r="M95" s="76" t="str">
        <f aca="false">IF(A95&lt;&gt;"",IFERROR(INDEX('Trade Log'!$AB$5:$AB$1004,MATCH(2,1/('Trade Log'!$B$5:$B$1004=A95),1)),""),"")</f>
        <v/>
      </c>
    </row>
    <row r="96" customFormat="false" ht="19.5" hidden="false" customHeight="true" outlineLevel="0" collapsed="false">
      <c r="A96" s="77"/>
      <c r="B96" s="78" t="str">
        <f aca="false">IF(A96&lt;&gt;"",IFERROR(INDEX('Trade Log'!$G$5:$G$1004,MATCH(A96,'Trade Log'!$B$5:$B$1004,0)),""),"")</f>
        <v/>
      </c>
      <c r="C96" s="79" t="str">
        <f aca="false">IF(A96&lt;&gt;"",IFERROR(INDEX('Trade Log'!$I$5:$I$1004,MATCH(A96,'Trade Log'!$B$5:$B$1004,0)),""),"")</f>
        <v/>
      </c>
      <c r="D96" s="80" t="str">
        <f aca="false">IF(A96&lt;&gt;"",COUNTIF('Trade Log'!$B$5:$B$1004,A96),"")</f>
        <v/>
      </c>
      <c r="E96" s="80" t="str">
        <f aca="false">IF(A96&lt;&gt;"",SUMIF('Trade Log'!$B$5:$B$1004,A96,'Trade Log'!$L$5:$L$1004),"")</f>
        <v/>
      </c>
      <c r="F96" s="81" t="str">
        <f aca="false">IF(A96&lt;&gt;"",SUMIF('Trade Log'!$B$5:$B$1004,A96,'Trade Log'!$Q$5:$Q$1004),"")</f>
        <v/>
      </c>
      <c r="G96" s="81" t="str">
        <f aca="false">IF(A96&lt;&gt;"",SUMIF('Trade Log'!$B$5:$B$1004,A96,'Trade Log'!$R$5:$R$1004),"")</f>
        <v/>
      </c>
      <c r="H96" s="82" t="str">
        <f aca="false">IF(A96&lt;&gt;"",SUMIF('Trade Log'!$B$5:$B$1004,A96,'Trade Log'!$T$5:$T$1004),"")</f>
        <v/>
      </c>
      <c r="I96" s="83" t="str">
        <f aca="false">IF(A96&lt;&gt;"",IFERROR(SUMIF('Trade Log'!$B$5:$B$1004,A96,'Trade Log'!$R$5:$R$1004)/SUMIF('Trade Log'!$B$5:$B$1004,A96,'Trade Log'!$Q$5:$Q$1004)-1,""),"")</f>
        <v/>
      </c>
      <c r="J96" s="84" t="str">
        <f aca="false">IF(A96&lt;&gt;"",SUMIF('Trade Log'!$B$5:$B$1004,A96,'Trade Log'!$V$5:$V$1004),"")</f>
        <v/>
      </c>
      <c r="K96" s="85" t="str">
        <f aca="false">IF(A96&lt;&gt;"",IFERROR(SUMIF('Trade Log'!$B$5:$B$1004,A96,'Trade Log'!$V$5:$V$1004)/SUMIF('Trade Log'!$B$5:$B$1004,A96,'Trade Log'!$Q$5:$Q$1004),""),"")</f>
        <v/>
      </c>
      <c r="L96" s="86" t="str">
        <f aca="false">IF(A96&lt;&gt;"",IFERROR(SUMIFS('Trade Log'!$L$5:$L$1004,'Trade Log'!$B$5:$B$1004,A96,'Trade Log'!$E$5:$E$1004,""),0),"")</f>
        <v/>
      </c>
      <c r="M96" s="87" t="str">
        <f aca="false">IF(A96&lt;&gt;"",IFERROR(INDEX('Trade Log'!$AB$5:$AB$1004,MATCH(2,1/('Trade Log'!$B$5:$B$1004=A96),1)),""),"")</f>
        <v/>
      </c>
    </row>
    <row r="97" customFormat="false" ht="19.5" hidden="false" customHeight="true" outlineLevel="0" collapsed="false">
      <c r="A97" s="88"/>
      <c r="B97" s="68" t="str">
        <f aca="false">IF(A97&lt;&gt;"",IFERROR(INDEX('Trade Log'!$G$5:$G$1004,MATCH(A97,'Trade Log'!$B$5:$B$1004,0)),""),"")</f>
        <v/>
      </c>
      <c r="C97" s="69" t="str">
        <f aca="false">IF(A97&lt;&gt;"",IFERROR(INDEX('Trade Log'!$I$5:$I$1004,MATCH(A97,'Trade Log'!$B$5:$B$1004,0)),""),"")</f>
        <v/>
      </c>
      <c r="D97" s="67" t="str">
        <f aca="false">IF(A97&lt;&gt;"",COUNTIF('Trade Log'!$B$5:$B$1004,A97),"")</f>
        <v/>
      </c>
      <c r="E97" s="67" t="str">
        <f aca="false">IF(A97&lt;&gt;"",SUMIF('Trade Log'!$B$5:$B$1004,A97,'Trade Log'!$L$5:$L$1004),"")</f>
        <v/>
      </c>
      <c r="F97" s="70" t="str">
        <f aca="false">IF(A97&lt;&gt;"",SUMIF('Trade Log'!$B$5:$B$1004,A97,'Trade Log'!$Q$5:$Q$1004),"")</f>
        <v/>
      </c>
      <c r="G97" s="70" t="str">
        <f aca="false">IF(A97&lt;&gt;"",SUMIF('Trade Log'!$B$5:$B$1004,A97,'Trade Log'!$R$5:$R$1004),"")</f>
        <v/>
      </c>
      <c r="H97" s="71" t="str">
        <f aca="false">IF(A97&lt;&gt;"",SUMIF('Trade Log'!$B$5:$B$1004,A97,'Trade Log'!$T$5:$T$1004),"")</f>
        <v/>
      </c>
      <c r="I97" s="72" t="str">
        <f aca="false">IF(A97&lt;&gt;"",IFERROR(SUMIF('Trade Log'!$B$5:$B$1004,A97,'Trade Log'!$R$5:$R$1004)/SUMIF('Trade Log'!$B$5:$B$1004,A97,'Trade Log'!$Q$5:$Q$1004)-1,""),"")</f>
        <v/>
      </c>
      <c r="J97" s="73" t="str">
        <f aca="false">IF(A97&lt;&gt;"",SUMIF('Trade Log'!$B$5:$B$1004,A97,'Trade Log'!$V$5:$V$1004),"")</f>
        <v/>
      </c>
      <c r="K97" s="74" t="str">
        <f aca="false">IF(A97&lt;&gt;"",IFERROR(SUMIF('Trade Log'!$B$5:$B$1004,A97,'Trade Log'!$V$5:$V$1004)/SUMIF('Trade Log'!$B$5:$B$1004,A97,'Trade Log'!$Q$5:$Q$1004),""),"")</f>
        <v/>
      </c>
      <c r="L97" s="75" t="str">
        <f aca="false">IF(A97&lt;&gt;"",IFERROR(SUMIFS('Trade Log'!$L$5:$L$1004,'Trade Log'!$B$5:$B$1004,A97,'Trade Log'!$E$5:$E$1004,""),0),"")</f>
        <v/>
      </c>
      <c r="M97" s="76" t="str">
        <f aca="false">IF(A97&lt;&gt;"",IFERROR(INDEX('Trade Log'!$AB$5:$AB$1004,MATCH(2,1/('Trade Log'!$B$5:$B$1004=A97),1)),""),"")</f>
        <v/>
      </c>
    </row>
    <row r="98" customFormat="false" ht="19.5" hidden="false" customHeight="true" outlineLevel="0" collapsed="false">
      <c r="A98" s="77"/>
      <c r="B98" s="78" t="str">
        <f aca="false">IF(A98&lt;&gt;"",IFERROR(INDEX('Trade Log'!$G$5:$G$1004,MATCH(A98,'Trade Log'!$B$5:$B$1004,0)),""),"")</f>
        <v/>
      </c>
      <c r="C98" s="79" t="str">
        <f aca="false">IF(A98&lt;&gt;"",IFERROR(INDEX('Trade Log'!$I$5:$I$1004,MATCH(A98,'Trade Log'!$B$5:$B$1004,0)),""),"")</f>
        <v/>
      </c>
      <c r="D98" s="80" t="str">
        <f aca="false">IF(A98&lt;&gt;"",COUNTIF('Trade Log'!$B$5:$B$1004,A98),"")</f>
        <v/>
      </c>
      <c r="E98" s="80" t="str">
        <f aca="false">IF(A98&lt;&gt;"",SUMIF('Trade Log'!$B$5:$B$1004,A98,'Trade Log'!$L$5:$L$1004),"")</f>
        <v/>
      </c>
      <c r="F98" s="81" t="str">
        <f aca="false">IF(A98&lt;&gt;"",SUMIF('Trade Log'!$B$5:$B$1004,A98,'Trade Log'!$Q$5:$Q$1004),"")</f>
        <v/>
      </c>
      <c r="G98" s="81" t="str">
        <f aca="false">IF(A98&lt;&gt;"",SUMIF('Trade Log'!$B$5:$B$1004,A98,'Trade Log'!$R$5:$R$1004),"")</f>
        <v/>
      </c>
      <c r="H98" s="82" t="str">
        <f aca="false">IF(A98&lt;&gt;"",SUMIF('Trade Log'!$B$5:$B$1004,A98,'Trade Log'!$T$5:$T$1004),"")</f>
        <v/>
      </c>
      <c r="I98" s="83" t="str">
        <f aca="false">IF(A98&lt;&gt;"",IFERROR(SUMIF('Trade Log'!$B$5:$B$1004,A98,'Trade Log'!$R$5:$R$1004)/SUMIF('Trade Log'!$B$5:$B$1004,A98,'Trade Log'!$Q$5:$Q$1004)-1,""),"")</f>
        <v/>
      </c>
      <c r="J98" s="84" t="str">
        <f aca="false">IF(A98&lt;&gt;"",SUMIF('Trade Log'!$B$5:$B$1004,A98,'Trade Log'!$V$5:$V$1004),"")</f>
        <v/>
      </c>
      <c r="K98" s="85" t="str">
        <f aca="false">IF(A98&lt;&gt;"",IFERROR(SUMIF('Trade Log'!$B$5:$B$1004,A98,'Trade Log'!$V$5:$V$1004)/SUMIF('Trade Log'!$B$5:$B$1004,A98,'Trade Log'!$Q$5:$Q$1004),""),"")</f>
        <v/>
      </c>
      <c r="L98" s="86" t="str">
        <f aca="false">IF(A98&lt;&gt;"",IFERROR(SUMIFS('Trade Log'!$L$5:$L$1004,'Trade Log'!$B$5:$B$1004,A98,'Trade Log'!$E$5:$E$1004,""),0),"")</f>
        <v/>
      </c>
      <c r="M98" s="87" t="str">
        <f aca="false">IF(A98&lt;&gt;"",IFERROR(INDEX('Trade Log'!$AB$5:$AB$1004,MATCH(2,1/('Trade Log'!$B$5:$B$1004=A98),1)),""),"")</f>
        <v/>
      </c>
    </row>
    <row r="99" customFormat="false" ht="19.5" hidden="false" customHeight="true" outlineLevel="0" collapsed="false">
      <c r="A99" s="88"/>
      <c r="B99" s="68" t="str">
        <f aca="false">IF(A99&lt;&gt;"",IFERROR(INDEX('Trade Log'!$G$5:$G$1004,MATCH(A99,'Trade Log'!$B$5:$B$1004,0)),""),"")</f>
        <v/>
      </c>
      <c r="C99" s="69" t="str">
        <f aca="false">IF(A99&lt;&gt;"",IFERROR(INDEX('Trade Log'!$I$5:$I$1004,MATCH(A99,'Trade Log'!$B$5:$B$1004,0)),""),"")</f>
        <v/>
      </c>
      <c r="D99" s="67" t="str">
        <f aca="false">IF(A99&lt;&gt;"",COUNTIF('Trade Log'!$B$5:$B$1004,A99),"")</f>
        <v/>
      </c>
      <c r="E99" s="67" t="str">
        <f aca="false">IF(A99&lt;&gt;"",SUMIF('Trade Log'!$B$5:$B$1004,A99,'Trade Log'!$L$5:$L$1004),"")</f>
        <v/>
      </c>
      <c r="F99" s="70" t="str">
        <f aca="false">IF(A99&lt;&gt;"",SUMIF('Trade Log'!$B$5:$B$1004,A99,'Trade Log'!$Q$5:$Q$1004),"")</f>
        <v/>
      </c>
      <c r="G99" s="70" t="str">
        <f aca="false">IF(A99&lt;&gt;"",SUMIF('Trade Log'!$B$5:$B$1004,A99,'Trade Log'!$R$5:$R$1004),"")</f>
        <v/>
      </c>
      <c r="H99" s="71" t="str">
        <f aca="false">IF(A99&lt;&gt;"",SUMIF('Trade Log'!$B$5:$B$1004,A99,'Trade Log'!$T$5:$T$1004),"")</f>
        <v/>
      </c>
      <c r="I99" s="72" t="str">
        <f aca="false">IF(A99&lt;&gt;"",IFERROR(SUMIF('Trade Log'!$B$5:$B$1004,A99,'Trade Log'!$R$5:$R$1004)/SUMIF('Trade Log'!$B$5:$B$1004,A99,'Trade Log'!$Q$5:$Q$1004)-1,""),"")</f>
        <v/>
      </c>
      <c r="J99" s="73" t="str">
        <f aca="false">IF(A99&lt;&gt;"",SUMIF('Trade Log'!$B$5:$B$1004,A99,'Trade Log'!$V$5:$V$1004),"")</f>
        <v/>
      </c>
      <c r="K99" s="74" t="str">
        <f aca="false">IF(A99&lt;&gt;"",IFERROR(SUMIF('Trade Log'!$B$5:$B$1004,A99,'Trade Log'!$V$5:$V$1004)/SUMIF('Trade Log'!$B$5:$B$1004,A99,'Trade Log'!$Q$5:$Q$1004),""),"")</f>
        <v/>
      </c>
      <c r="L99" s="75" t="str">
        <f aca="false">IF(A99&lt;&gt;"",IFERROR(SUMIFS('Trade Log'!$L$5:$L$1004,'Trade Log'!$B$5:$B$1004,A99,'Trade Log'!$E$5:$E$1004,""),0),"")</f>
        <v/>
      </c>
      <c r="M99" s="76" t="str">
        <f aca="false">IF(A99&lt;&gt;"",IFERROR(INDEX('Trade Log'!$AB$5:$AB$1004,MATCH(2,1/('Trade Log'!$B$5:$B$1004=A99),1)),""),"")</f>
        <v/>
      </c>
    </row>
    <row r="100" customFormat="false" ht="19.5" hidden="false" customHeight="true" outlineLevel="0" collapsed="false">
      <c r="A100" s="77"/>
      <c r="B100" s="78" t="str">
        <f aca="false">IF(A100&lt;&gt;"",IFERROR(INDEX('Trade Log'!$G$5:$G$1004,MATCH(A100,'Trade Log'!$B$5:$B$1004,0)),""),"")</f>
        <v/>
      </c>
      <c r="C100" s="79" t="str">
        <f aca="false">IF(A100&lt;&gt;"",IFERROR(INDEX('Trade Log'!$I$5:$I$1004,MATCH(A100,'Trade Log'!$B$5:$B$1004,0)),""),"")</f>
        <v/>
      </c>
      <c r="D100" s="80" t="str">
        <f aca="false">IF(A100&lt;&gt;"",COUNTIF('Trade Log'!$B$5:$B$1004,A100),"")</f>
        <v/>
      </c>
      <c r="E100" s="80" t="str">
        <f aca="false">IF(A100&lt;&gt;"",SUMIF('Trade Log'!$B$5:$B$1004,A100,'Trade Log'!$L$5:$L$1004),"")</f>
        <v/>
      </c>
      <c r="F100" s="81" t="str">
        <f aca="false">IF(A100&lt;&gt;"",SUMIF('Trade Log'!$B$5:$B$1004,A100,'Trade Log'!$Q$5:$Q$1004),"")</f>
        <v/>
      </c>
      <c r="G100" s="81" t="str">
        <f aca="false">IF(A100&lt;&gt;"",SUMIF('Trade Log'!$B$5:$B$1004,A100,'Trade Log'!$R$5:$R$1004),"")</f>
        <v/>
      </c>
      <c r="H100" s="82" t="str">
        <f aca="false">IF(A100&lt;&gt;"",SUMIF('Trade Log'!$B$5:$B$1004,A100,'Trade Log'!$T$5:$T$1004),"")</f>
        <v/>
      </c>
      <c r="I100" s="83" t="str">
        <f aca="false">IF(A100&lt;&gt;"",IFERROR(SUMIF('Trade Log'!$B$5:$B$1004,A100,'Trade Log'!$R$5:$R$1004)/SUMIF('Trade Log'!$B$5:$B$1004,A100,'Trade Log'!$Q$5:$Q$1004)-1,""),"")</f>
        <v/>
      </c>
      <c r="J100" s="84" t="str">
        <f aca="false">IF(A100&lt;&gt;"",SUMIF('Trade Log'!$B$5:$B$1004,A100,'Trade Log'!$V$5:$V$1004),"")</f>
        <v/>
      </c>
      <c r="K100" s="85" t="str">
        <f aca="false">IF(A100&lt;&gt;"",IFERROR(SUMIF('Trade Log'!$B$5:$B$1004,A100,'Trade Log'!$V$5:$V$1004)/SUMIF('Trade Log'!$B$5:$B$1004,A100,'Trade Log'!$Q$5:$Q$1004),""),"")</f>
        <v/>
      </c>
      <c r="L100" s="86" t="str">
        <f aca="false">IF(A100&lt;&gt;"",IFERROR(SUMIFS('Trade Log'!$L$5:$L$1004,'Trade Log'!$B$5:$B$1004,A100,'Trade Log'!$E$5:$E$1004,""),0),"")</f>
        <v/>
      </c>
      <c r="M100" s="87" t="str">
        <f aca="false">IF(A100&lt;&gt;"",IFERROR(INDEX('Trade Log'!$AB$5:$AB$1004,MATCH(2,1/('Trade Log'!$B$5:$B$1004=A100),1)),""),"")</f>
        <v/>
      </c>
    </row>
    <row r="101" customFormat="false" ht="19.5" hidden="false" customHeight="true" outlineLevel="0" collapsed="false">
      <c r="A101" s="88"/>
      <c r="B101" s="68" t="str">
        <f aca="false">IF(A101&lt;&gt;"",IFERROR(INDEX('Trade Log'!$G$5:$G$1004,MATCH(A101,'Trade Log'!$B$5:$B$1004,0)),""),"")</f>
        <v/>
      </c>
      <c r="C101" s="69" t="str">
        <f aca="false">IF(A101&lt;&gt;"",IFERROR(INDEX('Trade Log'!$I$5:$I$1004,MATCH(A101,'Trade Log'!$B$5:$B$1004,0)),""),"")</f>
        <v/>
      </c>
      <c r="D101" s="67" t="str">
        <f aca="false">IF(A101&lt;&gt;"",COUNTIF('Trade Log'!$B$5:$B$1004,A101),"")</f>
        <v/>
      </c>
      <c r="E101" s="67" t="str">
        <f aca="false">IF(A101&lt;&gt;"",SUMIF('Trade Log'!$B$5:$B$1004,A101,'Trade Log'!$L$5:$L$1004),"")</f>
        <v/>
      </c>
      <c r="F101" s="70" t="str">
        <f aca="false">IF(A101&lt;&gt;"",SUMIF('Trade Log'!$B$5:$B$1004,A101,'Trade Log'!$Q$5:$Q$1004),"")</f>
        <v/>
      </c>
      <c r="G101" s="70" t="str">
        <f aca="false">IF(A101&lt;&gt;"",SUMIF('Trade Log'!$B$5:$B$1004,A101,'Trade Log'!$R$5:$R$1004),"")</f>
        <v/>
      </c>
      <c r="H101" s="71" t="str">
        <f aca="false">IF(A101&lt;&gt;"",SUMIF('Trade Log'!$B$5:$B$1004,A101,'Trade Log'!$T$5:$T$1004),"")</f>
        <v/>
      </c>
      <c r="I101" s="72" t="str">
        <f aca="false">IF(A101&lt;&gt;"",IFERROR(SUMIF('Trade Log'!$B$5:$B$1004,A101,'Trade Log'!$R$5:$R$1004)/SUMIF('Trade Log'!$B$5:$B$1004,A101,'Trade Log'!$Q$5:$Q$1004)-1,""),"")</f>
        <v/>
      </c>
      <c r="J101" s="73" t="str">
        <f aca="false">IF(A101&lt;&gt;"",SUMIF('Trade Log'!$B$5:$B$1004,A101,'Trade Log'!$V$5:$V$1004),"")</f>
        <v/>
      </c>
      <c r="K101" s="74" t="str">
        <f aca="false">IF(A101&lt;&gt;"",IFERROR(SUMIF('Trade Log'!$B$5:$B$1004,A101,'Trade Log'!$V$5:$V$1004)/SUMIF('Trade Log'!$B$5:$B$1004,A101,'Trade Log'!$Q$5:$Q$1004),""),"")</f>
        <v/>
      </c>
      <c r="L101" s="75" t="str">
        <f aca="false">IF(A101&lt;&gt;"",IFERROR(SUMIFS('Trade Log'!$L$5:$L$1004,'Trade Log'!$B$5:$B$1004,A101,'Trade Log'!$E$5:$E$1004,""),0),"")</f>
        <v/>
      </c>
      <c r="M101" s="76" t="str">
        <f aca="false">IF(A101&lt;&gt;"",IFERROR(INDEX('Trade Log'!$AB$5:$AB$1004,MATCH(2,1/('Trade Log'!$B$5:$B$1004=A101),1)),""),"")</f>
        <v/>
      </c>
    </row>
    <row r="102" customFormat="false" ht="19.5" hidden="false" customHeight="true" outlineLevel="0" collapsed="false">
      <c r="A102" s="77"/>
      <c r="B102" s="78" t="str">
        <f aca="false">IF(A102&lt;&gt;"",IFERROR(INDEX('Trade Log'!$G$5:$G$1004,MATCH(A102,'Trade Log'!$B$5:$B$1004,0)),""),"")</f>
        <v/>
      </c>
      <c r="C102" s="79" t="str">
        <f aca="false">IF(A102&lt;&gt;"",IFERROR(INDEX('Trade Log'!$I$5:$I$1004,MATCH(A102,'Trade Log'!$B$5:$B$1004,0)),""),"")</f>
        <v/>
      </c>
      <c r="D102" s="80" t="str">
        <f aca="false">IF(A102&lt;&gt;"",COUNTIF('Trade Log'!$B$5:$B$1004,A102),"")</f>
        <v/>
      </c>
      <c r="E102" s="80" t="str">
        <f aca="false">IF(A102&lt;&gt;"",SUMIF('Trade Log'!$B$5:$B$1004,A102,'Trade Log'!$L$5:$L$1004),"")</f>
        <v/>
      </c>
      <c r="F102" s="81" t="str">
        <f aca="false">IF(A102&lt;&gt;"",SUMIF('Trade Log'!$B$5:$B$1004,A102,'Trade Log'!$Q$5:$Q$1004),"")</f>
        <v/>
      </c>
      <c r="G102" s="81" t="str">
        <f aca="false">IF(A102&lt;&gt;"",SUMIF('Trade Log'!$B$5:$B$1004,A102,'Trade Log'!$R$5:$R$1004),"")</f>
        <v/>
      </c>
      <c r="H102" s="82" t="str">
        <f aca="false">IF(A102&lt;&gt;"",SUMIF('Trade Log'!$B$5:$B$1004,A102,'Trade Log'!$T$5:$T$1004),"")</f>
        <v/>
      </c>
      <c r="I102" s="83" t="str">
        <f aca="false">IF(A102&lt;&gt;"",IFERROR(SUMIF('Trade Log'!$B$5:$B$1004,A102,'Trade Log'!$R$5:$R$1004)/SUMIF('Trade Log'!$B$5:$B$1004,A102,'Trade Log'!$Q$5:$Q$1004)-1,""),"")</f>
        <v/>
      </c>
      <c r="J102" s="84" t="str">
        <f aca="false">IF(A102&lt;&gt;"",SUMIF('Trade Log'!$B$5:$B$1004,A102,'Trade Log'!$V$5:$V$1004),"")</f>
        <v/>
      </c>
      <c r="K102" s="85" t="str">
        <f aca="false">IF(A102&lt;&gt;"",IFERROR(SUMIF('Trade Log'!$B$5:$B$1004,A102,'Trade Log'!$V$5:$V$1004)/SUMIF('Trade Log'!$B$5:$B$1004,A102,'Trade Log'!$Q$5:$Q$1004),""),"")</f>
        <v/>
      </c>
      <c r="L102" s="86" t="str">
        <f aca="false">IF(A102&lt;&gt;"",IFERROR(SUMIFS('Trade Log'!$L$5:$L$1004,'Trade Log'!$B$5:$B$1004,A102,'Trade Log'!$E$5:$E$1004,""),0),"")</f>
        <v/>
      </c>
      <c r="M102" s="87" t="str">
        <f aca="false">IF(A102&lt;&gt;"",IFERROR(INDEX('Trade Log'!$AB$5:$AB$1004,MATCH(2,1/('Trade Log'!$B$5:$B$1004=A102),1)),""),"")</f>
        <v/>
      </c>
    </row>
    <row r="103" customFormat="false" ht="19.5" hidden="false" customHeight="true" outlineLevel="0" collapsed="false">
      <c r="A103" s="88"/>
      <c r="B103" s="68" t="str">
        <f aca="false">IF(A103&lt;&gt;"",IFERROR(INDEX('Trade Log'!$G$5:$G$1004,MATCH(A103,'Trade Log'!$B$5:$B$1004,0)),""),"")</f>
        <v/>
      </c>
      <c r="C103" s="69" t="str">
        <f aca="false">IF(A103&lt;&gt;"",IFERROR(INDEX('Trade Log'!$I$5:$I$1004,MATCH(A103,'Trade Log'!$B$5:$B$1004,0)),""),"")</f>
        <v/>
      </c>
      <c r="D103" s="67" t="str">
        <f aca="false">IF(A103&lt;&gt;"",COUNTIF('Trade Log'!$B$5:$B$1004,A103),"")</f>
        <v/>
      </c>
      <c r="E103" s="67" t="str">
        <f aca="false">IF(A103&lt;&gt;"",SUMIF('Trade Log'!$B$5:$B$1004,A103,'Trade Log'!$L$5:$L$1004),"")</f>
        <v/>
      </c>
      <c r="F103" s="70" t="str">
        <f aca="false">IF(A103&lt;&gt;"",SUMIF('Trade Log'!$B$5:$B$1004,A103,'Trade Log'!$Q$5:$Q$1004),"")</f>
        <v/>
      </c>
      <c r="G103" s="70" t="str">
        <f aca="false">IF(A103&lt;&gt;"",SUMIF('Trade Log'!$B$5:$B$1004,A103,'Trade Log'!$R$5:$R$1004),"")</f>
        <v/>
      </c>
      <c r="H103" s="71" t="str">
        <f aca="false">IF(A103&lt;&gt;"",SUMIF('Trade Log'!$B$5:$B$1004,A103,'Trade Log'!$T$5:$T$1004),"")</f>
        <v/>
      </c>
      <c r="I103" s="72" t="str">
        <f aca="false">IF(A103&lt;&gt;"",IFERROR(SUMIF('Trade Log'!$B$5:$B$1004,A103,'Trade Log'!$R$5:$R$1004)/SUMIF('Trade Log'!$B$5:$B$1004,A103,'Trade Log'!$Q$5:$Q$1004)-1,""),"")</f>
        <v/>
      </c>
      <c r="J103" s="73" t="str">
        <f aca="false">IF(A103&lt;&gt;"",SUMIF('Trade Log'!$B$5:$B$1004,A103,'Trade Log'!$V$5:$V$1004),"")</f>
        <v/>
      </c>
      <c r="K103" s="74" t="str">
        <f aca="false">IF(A103&lt;&gt;"",IFERROR(SUMIF('Trade Log'!$B$5:$B$1004,A103,'Trade Log'!$V$5:$V$1004)/SUMIF('Trade Log'!$B$5:$B$1004,A103,'Trade Log'!$Q$5:$Q$1004),""),"")</f>
        <v/>
      </c>
      <c r="L103" s="75" t="str">
        <f aca="false">IF(A103&lt;&gt;"",IFERROR(SUMIFS('Trade Log'!$L$5:$L$1004,'Trade Log'!$B$5:$B$1004,A103,'Trade Log'!$E$5:$E$1004,""),0),"")</f>
        <v/>
      </c>
      <c r="M103" s="76" t="str">
        <f aca="false">IF(A103&lt;&gt;"",IFERROR(INDEX('Trade Log'!$AB$5:$AB$1004,MATCH(2,1/('Trade Log'!$B$5:$B$1004=A103),1)),""),"")</f>
        <v/>
      </c>
    </row>
    <row r="104" customFormat="false" ht="19.5" hidden="false" customHeight="true" outlineLevel="0" collapsed="false">
      <c r="A104" s="77"/>
      <c r="B104" s="78" t="str">
        <f aca="false">IF(A104&lt;&gt;"",IFERROR(INDEX('Trade Log'!$G$5:$G$1004,MATCH(A104,'Trade Log'!$B$5:$B$1004,0)),""),"")</f>
        <v/>
      </c>
      <c r="C104" s="79" t="str">
        <f aca="false">IF(A104&lt;&gt;"",IFERROR(INDEX('Trade Log'!$I$5:$I$1004,MATCH(A104,'Trade Log'!$B$5:$B$1004,0)),""),"")</f>
        <v/>
      </c>
      <c r="D104" s="80" t="str">
        <f aca="false">IF(A104&lt;&gt;"",COUNTIF('Trade Log'!$B$5:$B$1004,A104),"")</f>
        <v/>
      </c>
      <c r="E104" s="80" t="str">
        <f aca="false">IF(A104&lt;&gt;"",SUMIF('Trade Log'!$B$5:$B$1004,A104,'Trade Log'!$L$5:$L$1004),"")</f>
        <v/>
      </c>
      <c r="F104" s="81" t="str">
        <f aca="false">IF(A104&lt;&gt;"",SUMIF('Trade Log'!$B$5:$B$1004,A104,'Trade Log'!$Q$5:$Q$1004),"")</f>
        <v/>
      </c>
      <c r="G104" s="81" t="str">
        <f aca="false">IF(A104&lt;&gt;"",SUMIF('Trade Log'!$B$5:$B$1004,A104,'Trade Log'!$R$5:$R$1004),"")</f>
        <v/>
      </c>
      <c r="H104" s="82" t="str">
        <f aca="false">IF(A104&lt;&gt;"",SUMIF('Trade Log'!$B$5:$B$1004,A104,'Trade Log'!$T$5:$T$1004),"")</f>
        <v/>
      </c>
      <c r="I104" s="83" t="str">
        <f aca="false">IF(A104&lt;&gt;"",IFERROR(SUMIF('Trade Log'!$B$5:$B$1004,A104,'Trade Log'!$R$5:$R$1004)/SUMIF('Trade Log'!$B$5:$B$1004,A104,'Trade Log'!$Q$5:$Q$1004)-1,""),"")</f>
        <v/>
      </c>
      <c r="J104" s="84" t="str">
        <f aca="false">IF(A104&lt;&gt;"",SUMIF('Trade Log'!$B$5:$B$1004,A104,'Trade Log'!$V$5:$V$1004),"")</f>
        <v/>
      </c>
      <c r="K104" s="85" t="str">
        <f aca="false">IF(A104&lt;&gt;"",IFERROR(SUMIF('Trade Log'!$B$5:$B$1004,A104,'Trade Log'!$V$5:$V$1004)/SUMIF('Trade Log'!$B$5:$B$1004,A104,'Trade Log'!$Q$5:$Q$1004),""),"")</f>
        <v/>
      </c>
      <c r="L104" s="86" t="str">
        <f aca="false">IF(A104&lt;&gt;"",IFERROR(SUMIFS('Trade Log'!$L$5:$L$1004,'Trade Log'!$B$5:$B$1004,A104,'Trade Log'!$E$5:$E$1004,""),0),"")</f>
        <v/>
      </c>
      <c r="M104" s="87" t="str">
        <f aca="false">IF(A104&lt;&gt;"",IFERROR(INDEX('Trade Log'!$AB$5:$AB$1004,MATCH(2,1/('Trade Log'!$B$5:$B$1004=A104),1)),""),"")</f>
        <v/>
      </c>
    </row>
    <row r="105" customFormat="false" ht="19.5" hidden="false" customHeight="true" outlineLevel="0" collapsed="false">
      <c r="A105" s="88"/>
      <c r="B105" s="68" t="str">
        <f aca="false">IF(A105&lt;&gt;"",IFERROR(INDEX('Trade Log'!$G$5:$G$1004,MATCH(A105,'Trade Log'!$B$5:$B$1004,0)),""),"")</f>
        <v/>
      </c>
      <c r="C105" s="69" t="str">
        <f aca="false">IF(A105&lt;&gt;"",IFERROR(INDEX('Trade Log'!$I$5:$I$1004,MATCH(A105,'Trade Log'!$B$5:$B$1004,0)),""),"")</f>
        <v/>
      </c>
      <c r="D105" s="67" t="str">
        <f aca="false">IF(A105&lt;&gt;"",COUNTIF('Trade Log'!$B$5:$B$1004,A105),"")</f>
        <v/>
      </c>
      <c r="E105" s="67" t="str">
        <f aca="false">IF(A105&lt;&gt;"",SUMIF('Trade Log'!$B$5:$B$1004,A105,'Trade Log'!$L$5:$L$1004),"")</f>
        <v/>
      </c>
      <c r="F105" s="70" t="str">
        <f aca="false">IF(A105&lt;&gt;"",SUMIF('Trade Log'!$B$5:$B$1004,A105,'Trade Log'!$Q$5:$Q$1004),"")</f>
        <v/>
      </c>
      <c r="G105" s="70" t="str">
        <f aca="false">IF(A105&lt;&gt;"",SUMIF('Trade Log'!$B$5:$B$1004,A105,'Trade Log'!$R$5:$R$1004),"")</f>
        <v/>
      </c>
      <c r="H105" s="71" t="str">
        <f aca="false">IF(A105&lt;&gt;"",SUMIF('Trade Log'!$B$5:$B$1004,A105,'Trade Log'!$T$5:$T$1004),"")</f>
        <v/>
      </c>
      <c r="I105" s="72" t="str">
        <f aca="false">IF(A105&lt;&gt;"",IFERROR(SUMIF('Trade Log'!$B$5:$B$1004,A105,'Trade Log'!$R$5:$R$1004)/SUMIF('Trade Log'!$B$5:$B$1004,A105,'Trade Log'!$Q$5:$Q$1004)-1,""),"")</f>
        <v/>
      </c>
      <c r="J105" s="73" t="str">
        <f aca="false">IF(A105&lt;&gt;"",SUMIF('Trade Log'!$B$5:$B$1004,A105,'Trade Log'!$V$5:$V$1004),"")</f>
        <v/>
      </c>
      <c r="K105" s="74" t="str">
        <f aca="false">IF(A105&lt;&gt;"",IFERROR(SUMIF('Trade Log'!$B$5:$B$1004,A105,'Trade Log'!$V$5:$V$1004)/SUMIF('Trade Log'!$B$5:$B$1004,A105,'Trade Log'!$Q$5:$Q$1004),""),"")</f>
        <v/>
      </c>
      <c r="L105" s="75" t="str">
        <f aca="false">IF(A105&lt;&gt;"",IFERROR(SUMIFS('Trade Log'!$L$5:$L$1004,'Trade Log'!$B$5:$B$1004,A105,'Trade Log'!$E$5:$E$1004,""),0),"")</f>
        <v/>
      </c>
      <c r="M105" s="76" t="str">
        <f aca="false">IF(A105&lt;&gt;"",IFERROR(INDEX('Trade Log'!$AB$5:$AB$1004,MATCH(2,1/('Trade Log'!$B$5:$B$1004=A105),1)),""),"")</f>
        <v/>
      </c>
    </row>
    <row r="106" customFormat="false" ht="19.5" hidden="false" customHeight="true" outlineLevel="0" collapsed="false">
      <c r="A106" s="77"/>
      <c r="B106" s="78" t="str">
        <f aca="false">IF(A106&lt;&gt;"",IFERROR(INDEX('Trade Log'!$G$5:$G$1004,MATCH(A106,'Trade Log'!$B$5:$B$1004,0)),""),"")</f>
        <v/>
      </c>
      <c r="C106" s="79" t="str">
        <f aca="false">IF(A106&lt;&gt;"",IFERROR(INDEX('Trade Log'!$I$5:$I$1004,MATCH(A106,'Trade Log'!$B$5:$B$1004,0)),""),"")</f>
        <v/>
      </c>
      <c r="D106" s="80" t="str">
        <f aca="false">IF(A106&lt;&gt;"",COUNTIF('Trade Log'!$B$5:$B$1004,A106),"")</f>
        <v/>
      </c>
      <c r="E106" s="80" t="str">
        <f aca="false">IF(A106&lt;&gt;"",SUMIF('Trade Log'!$B$5:$B$1004,A106,'Trade Log'!$L$5:$L$1004),"")</f>
        <v/>
      </c>
      <c r="F106" s="81" t="str">
        <f aca="false">IF(A106&lt;&gt;"",SUMIF('Trade Log'!$B$5:$B$1004,A106,'Trade Log'!$Q$5:$Q$1004),"")</f>
        <v/>
      </c>
      <c r="G106" s="81" t="str">
        <f aca="false">IF(A106&lt;&gt;"",SUMIF('Trade Log'!$B$5:$B$1004,A106,'Trade Log'!$R$5:$R$1004),"")</f>
        <v/>
      </c>
      <c r="H106" s="82" t="str">
        <f aca="false">IF(A106&lt;&gt;"",SUMIF('Trade Log'!$B$5:$B$1004,A106,'Trade Log'!$T$5:$T$1004),"")</f>
        <v/>
      </c>
      <c r="I106" s="83" t="str">
        <f aca="false">IF(A106&lt;&gt;"",IFERROR(SUMIF('Trade Log'!$B$5:$B$1004,A106,'Trade Log'!$R$5:$R$1004)/SUMIF('Trade Log'!$B$5:$B$1004,A106,'Trade Log'!$Q$5:$Q$1004)-1,""),"")</f>
        <v/>
      </c>
      <c r="J106" s="84" t="str">
        <f aca="false">IF(A106&lt;&gt;"",SUMIF('Trade Log'!$B$5:$B$1004,A106,'Trade Log'!$V$5:$V$1004),"")</f>
        <v/>
      </c>
      <c r="K106" s="85" t="str">
        <f aca="false">IF(A106&lt;&gt;"",IFERROR(SUMIF('Trade Log'!$B$5:$B$1004,A106,'Trade Log'!$V$5:$V$1004)/SUMIF('Trade Log'!$B$5:$B$1004,A106,'Trade Log'!$Q$5:$Q$1004),""),"")</f>
        <v/>
      </c>
      <c r="L106" s="86" t="str">
        <f aca="false">IF(A106&lt;&gt;"",IFERROR(SUMIFS('Trade Log'!$L$5:$L$1004,'Trade Log'!$B$5:$B$1004,A106,'Trade Log'!$E$5:$E$1004,""),0),"")</f>
        <v/>
      </c>
      <c r="M106" s="87" t="str">
        <f aca="false">IF(A106&lt;&gt;"",IFERROR(INDEX('Trade Log'!$AB$5:$AB$1004,MATCH(2,1/('Trade Log'!$B$5:$B$1004=A106),1)),""),"")</f>
        <v/>
      </c>
    </row>
    <row r="107" customFormat="false" ht="19.5" hidden="false" customHeight="true" outlineLevel="0" collapsed="false">
      <c r="A107" s="88"/>
      <c r="B107" s="68" t="str">
        <f aca="false">IF(A107&lt;&gt;"",IFERROR(INDEX('Trade Log'!$G$5:$G$1004,MATCH(A107,'Trade Log'!$B$5:$B$1004,0)),""),"")</f>
        <v/>
      </c>
      <c r="C107" s="69" t="str">
        <f aca="false">IF(A107&lt;&gt;"",IFERROR(INDEX('Trade Log'!$I$5:$I$1004,MATCH(A107,'Trade Log'!$B$5:$B$1004,0)),""),"")</f>
        <v/>
      </c>
      <c r="D107" s="67" t="str">
        <f aca="false">IF(A107&lt;&gt;"",COUNTIF('Trade Log'!$B$5:$B$1004,A107),"")</f>
        <v/>
      </c>
      <c r="E107" s="67" t="str">
        <f aca="false">IF(A107&lt;&gt;"",SUMIF('Trade Log'!$B$5:$B$1004,A107,'Trade Log'!$L$5:$L$1004),"")</f>
        <v/>
      </c>
      <c r="F107" s="70" t="str">
        <f aca="false">IF(A107&lt;&gt;"",SUMIF('Trade Log'!$B$5:$B$1004,A107,'Trade Log'!$Q$5:$Q$1004),"")</f>
        <v/>
      </c>
      <c r="G107" s="70" t="str">
        <f aca="false">IF(A107&lt;&gt;"",SUMIF('Trade Log'!$B$5:$B$1004,A107,'Trade Log'!$R$5:$R$1004),"")</f>
        <v/>
      </c>
      <c r="H107" s="71" t="str">
        <f aca="false">IF(A107&lt;&gt;"",SUMIF('Trade Log'!$B$5:$B$1004,A107,'Trade Log'!$T$5:$T$1004),"")</f>
        <v/>
      </c>
      <c r="I107" s="72" t="str">
        <f aca="false">IF(A107&lt;&gt;"",IFERROR(SUMIF('Trade Log'!$B$5:$B$1004,A107,'Trade Log'!$R$5:$R$1004)/SUMIF('Trade Log'!$B$5:$B$1004,A107,'Trade Log'!$Q$5:$Q$1004)-1,""),"")</f>
        <v/>
      </c>
      <c r="J107" s="73" t="str">
        <f aca="false">IF(A107&lt;&gt;"",SUMIF('Trade Log'!$B$5:$B$1004,A107,'Trade Log'!$V$5:$V$1004),"")</f>
        <v/>
      </c>
      <c r="K107" s="74" t="str">
        <f aca="false">IF(A107&lt;&gt;"",IFERROR(SUMIF('Trade Log'!$B$5:$B$1004,A107,'Trade Log'!$V$5:$V$1004)/SUMIF('Trade Log'!$B$5:$B$1004,A107,'Trade Log'!$Q$5:$Q$1004),""),"")</f>
        <v/>
      </c>
      <c r="L107" s="75" t="str">
        <f aca="false">IF(A107&lt;&gt;"",IFERROR(SUMIFS('Trade Log'!$L$5:$L$1004,'Trade Log'!$B$5:$B$1004,A107,'Trade Log'!$E$5:$E$1004,""),0),"")</f>
        <v/>
      </c>
      <c r="M107" s="76" t="str">
        <f aca="false">IF(A107&lt;&gt;"",IFERROR(INDEX('Trade Log'!$AB$5:$AB$1004,MATCH(2,1/('Trade Log'!$B$5:$B$1004=A107),1)),""),"")</f>
        <v/>
      </c>
    </row>
    <row r="108" customFormat="false" ht="19.5" hidden="false" customHeight="true" outlineLevel="0" collapsed="false">
      <c r="A108" s="77"/>
      <c r="B108" s="78" t="str">
        <f aca="false">IF(A108&lt;&gt;"",IFERROR(INDEX('Trade Log'!$G$5:$G$1004,MATCH(A108,'Trade Log'!$B$5:$B$1004,0)),""),"")</f>
        <v/>
      </c>
      <c r="C108" s="79" t="str">
        <f aca="false">IF(A108&lt;&gt;"",IFERROR(INDEX('Trade Log'!$I$5:$I$1004,MATCH(A108,'Trade Log'!$B$5:$B$1004,0)),""),"")</f>
        <v/>
      </c>
      <c r="D108" s="80" t="str">
        <f aca="false">IF(A108&lt;&gt;"",COUNTIF('Trade Log'!$B$5:$B$1004,A108),"")</f>
        <v/>
      </c>
      <c r="E108" s="80" t="str">
        <f aca="false">IF(A108&lt;&gt;"",SUMIF('Trade Log'!$B$5:$B$1004,A108,'Trade Log'!$L$5:$L$1004),"")</f>
        <v/>
      </c>
      <c r="F108" s="81" t="str">
        <f aca="false">IF(A108&lt;&gt;"",SUMIF('Trade Log'!$B$5:$B$1004,A108,'Trade Log'!$Q$5:$Q$1004),"")</f>
        <v/>
      </c>
      <c r="G108" s="81" t="str">
        <f aca="false">IF(A108&lt;&gt;"",SUMIF('Trade Log'!$B$5:$B$1004,A108,'Trade Log'!$R$5:$R$1004),"")</f>
        <v/>
      </c>
      <c r="H108" s="82" t="str">
        <f aca="false">IF(A108&lt;&gt;"",SUMIF('Trade Log'!$B$5:$B$1004,A108,'Trade Log'!$T$5:$T$1004),"")</f>
        <v/>
      </c>
      <c r="I108" s="83" t="str">
        <f aca="false">IF(A108&lt;&gt;"",IFERROR(SUMIF('Trade Log'!$B$5:$B$1004,A108,'Trade Log'!$R$5:$R$1004)/SUMIF('Trade Log'!$B$5:$B$1004,A108,'Trade Log'!$Q$5:$Q$1004)-1,""),"")</f>
        <v/>
      </c>
      <c r="J108" s="84" t="str">
        <f aca="false">IF(A108&lt;&gt;"",SUMIF('Trade Log'!$B$5:$B$1004,A108,'Trade Log'!$V$5:$V$1004),"")</f>
        <v/>
      </c>
      <c r="K108" s="85" t="str">
        <f aca="false">IF(A108&lt;&gt;"",IFERROR(SUMIF('Trade Log'!$B$5:$B$1004,A108,'Trade Log'!$V$5:$V$1004)/SUMIF('Trade Log'!$B$5:$B$1004,A108,'Trade Log'!$Q$5:$Q$1004),""),"")</f>
        <v/>
      </c>
      <c r="L108" s="86" t="str">
        <f aca="false">IF(A108&lt;&gt;"",IFERROR(SUMIFS('Trade Log'!$L$5:$L$1004,'Trade Log'!$B$5:$B$1004,A108,'Trade Log'!$E$5:$E$1004,""),0),"")</f>
        <v/>
      </c>
      <c r="M108" s="87" t="str">
        <f aca="false">IF(A108&lt;&gt;"",IFERROR(INDEX('Trade Log'!$AB$5:$AB$1004,MATCH(2,1/('Trade Log'!$B$5:$B$1004=A108),1)),""),"")</f>
        <v/>
      </c>
    </row>
    <row r="109" customFormat="false" ht="19.5" hidden="false" customHeight="true" outlineLevel="0" collapsed="false">
      <c r="A109" s="88"/>
      <c r="B109" s="68" t="str">
        <f aca="false">IF(A109&lt;&gt;"",IFERROR(INDEX('Trade Log'!$G$5:$G$1004,MATCH(A109,'Trade Log'!$B$5:$B$1004,0)),""),"")</f>
        <v/>
      </c>
      <c r="C109" s="69" t="str">
        <f aca="false">IF(A109&lt;&gt;"",IFERROR(INDEX('Trade Log'!$I$5:$I$1004,MATCH(A109,'Trade Log'!$B$5:$B$1004,0)),""),"")</f>
        <v/>
      </c>
      <c r="D109" s="67" t="str">
        <f aca="false">IF(A109&lt;&gt;"",COUNTIF('Trade Log'!$B$5:$B$1004,A109),"")</f>
        <v/>
      </c>
      <c r="E109" s="67" t="str">
        <f aca="false">IF(A109&lt;&gt;"",SUMIF('Trade Log'!$B$5:$B$1004,A109,'Trade Log'!$L$5:$L$1004),"")</f>
        <v/>
      </c>
      <c r="F109" s="70" t="str">
        <f aca="false">IF(A109&lt;&gt;"",SUMIF('Trade Log'!$B$5:$B$1004,A109,'Trade Log'!$Q$5:$Q$1004),"")</f>
        <v/>
      </c>
      <c r="G109" s="70" t="str">
        <f aca="false">IF(A109&lt;&gt;"",SUMIF('Trade Log'!$B$5:$B$1004,A109,'Trade Log'!$R$5:$R$1004),"")</f>
        <v/>
      </c>
      <c r="H109" s="71" t="str">
        <f aca="false">IF(A109&lt;&gt;"",SUMIF('Trade Log'!$B$5:$B$1004,A109,'Trade Log'!$T$5:$T$1004),"")</f>
        <v/>
      </c>
      <c r="I109" s="72" t="str">
        <f aca="false">IF(A109&lt;&gt;"",IFERROR(SUMIF('Trade Log'!$B$5:$B$1004,A109,'Trade Log'!$R$5:$R$1004)/SUMIF('Trade Log'!$B$5:$B$1004,A109,'Trade Log'!$Q$5:$Q$1004)-1,""),"")</f>
        <v/>
      </c>
      <c r="J109" s="73" t="str">
        <f aca="false">IF(A109&lt;&gt;"",SUMIF('Trade Log'!$B$5:$B$1004,A109,'Trade Log'!$V$5:$V$1004),"")</f>
        <v/>
      </c>
      <c r="K109" s="74" t="str">
        <f aca="false">IF(A109&lt;&gt;"",IFERROR(SUMIF('Trade Log'!$B$5:$B$1004,A109,'Trade Log'!$V$5:$V$1004)/SUMIF('Trade Log'!$B$5:$B$1004,A109,'Trade Log'!$Q$5:$Q$1004),""),"")</f>
        <v/>
      </c>
      <c r="L109" s="75" t="str">
        <f aca="false">IF(A109&lt;&gt;"",IFERROR(SUMIFS('Trade Log'!$L$5:$L$1004,'Trade Log'!$B$5:$B$1004,A109,'Trade Log'!$E$5:$E$1004,""),0),"")</f>
        <v/>
      </c>
      <c r="M109" s="76" t="str">
        <f aca="false">IF(A109&lt;&gt;"",IFERROR(INDEX('Trade Log'!$AB$5:$AB$1004,MATCH(2,1/('Trade Log'!$B$5:$B$1004=A109),1)),""),"")</f>
        <v/>
      </c>
    </row>
    <row r="110" customFormat="false" ht="19.5" hidden="false" customHeight="true" outlineLevel="0" collapsed="false">
      <c r="A110" s="77"/>
      <c r="B110" s="78" t="str">
        <f aca="false">IF(A110&lt;&gt;"",IFERROR(INDEX('Trade Log'!$G$5:$G$1004,MATCH(A110,'Trade Log'!$B$5:$B$1004,0)),""),"")</f>
        <v/>
      </c>
      <c r="C110" s="79" t="str">
        <f aca="false">IF(A110&lt;&gt;"",IFERROR(INDEX('Trade Log'!$I$5:$I$1004,MATCH(A110,'Trade Log'!$B$5:$B$1004,0)),""),"")</f>
        <v/>
      </c>
      <c r="D110" s="80" t="str">
        <f aca="false">IF(A110&lt;&gt;"",COUNTIF('Trade Log'!$B$5:$B$1004,A110),"")</f>
        <v/>
      </c>
      <c r="E110" s="80" t="str">
        <f aca="false">IF(A110&lt;&gt;"",SUMIF('Trade Log'!$B$5:$B$1004,A110,'Trade Log'!$L$5:$L$1004),"")</f>
        <v/>
      </c>
      <c r="F110" s="81" t="str">
        <f aca="false">IF(A110&lt;&gt;"",SUMIF('Trade Log'!$B$5:$B$1004,A110,'Trade Log'!$Q$5:$Q$1004),"")</f>
        <v/>
      </c>
      <c r="G110" s="81" t="str">
        <f aca="false">IF(A110&lt;&gt;"",SUMIF('Trade Log'!$B$5:$B$1004,A110,'Trade Log'!$R$5:$R$1004),"")</f>
        <v/>
      </c>
      <c r="H110" s="82" t="str">
        <f aca="false">IF(A110&lt;&gt;"",SUMIF('Trade Log'!$B$5:$B$1004,A110,'Trade Log'!$T$5:$T$1004),"")</f>
        <v/>
      </c>
      <c r="I110" s="83" t="str">
        <f aca="false">IF(A110&lt;&gt;"",IFERROR(SUMIF('Trade Log'!$B$5:$B$1004,A110,'Trade Log'!$R$5:$R$1004)/SUMIF('Trade Log'!$B$5:$B$1004,A110,'Trade Log'!$Q$5:$Q$1004)-1,""),"")</f>
        <v/>
      </c>
      <c r="J110" s="84" t="str">
        <f aca="false">IF(A110&lt;&gt;"",SUMIF('Trade Log'!$B$5:$B$1004,A110,'Trade Log'!$V$5:$V$1004),"")</f>
        <v/>
      </c>
      <c r="K110" s="85" t="str">
        <f aca="false">IF(A110&lt;&gt;"",IFERROR(SUMIF('Trade Log'!$B$5:$B$1004,A110,'Trade Log'!$V$5:$V$1004)/SUMIF('Trade Log'!$B$5:$B$1004,A110,'Trade Log'!$Q$5:$Q$1004),""),"")</f>
        <v/>
      </c>
      <c r="L110" s="86" t="str">
        <f aca="false">IF(A110&lt;&gt;"",IFERROR(SUMIFS('Trade Log'!$L$5:$L$1004,'Trade Log'!$B$5:$B$1004,A110,'Trade Log'!$E$5:$E$1004,""),0),"")</f>
        <v/>
      </c>
      <c r="M110" s="87" t="str">
        <f aca="false">IF(A110&lt;&gt;"",IFERROR(INDEX('Trade Log'!$AB$5:$AB$1004,MATCH(2,1/('Trade Log'!$B$5:$B$1004=A110),1)),""),"")</f>
        <v/>
      </c>
    </row>
    <row r="111" customFormat="false" ht="19.5" hidden="false" customHeight="true" outlineLevel="0" collapsed="false">
      <c r="A111" s="88"/>
      <c r="B111" s="68" t="str">
        <f aca="false">IF(A111&lt;&gt;"",IFERROR(INDEX('Trade Log'!$G$5:$G$1004,MATCH(A111,'Trade Log'!$B$5:$B$1004,0)),""),"")</f>
        <v/>
      </c>
      <c r="C111" s="69" t="str">
        <f aca="false">IF(A111&lt;&gt;"",IFERROR(INDEX('Trade Log'!$I$5:$I$1004,MATCH(A111,'Trade Log'!$B$5:$B$1004,0)),""),"")</f>
        <v/>
      </c>
      <c r="D111" s="67" t="str">
        <f aca="false">IF(A111&lt;&gt;"",COUNTIF('Trade Log'!$B$5:$B$1004,A111),"")</f>
        <v/>
      </c>
      <c r="E111" s="67" t="str">
        <f aca="false">IF(A111&lt;&gt;"",SUMIF('Trade Log'!$B$5:$B$1004,A111,'Trade Log'!$L$5:$L$1004),"")</f>
        <v/>
      </c>
      <c r="F111" s="70" t="str">
        <f aca="false">IF(A111&lt;&gt;"",SUMIF('Trade Log'!$B$5:$B$1004,A111,'Trade Log'!$Q$5:$Q$1004),"")</f>
        <v/>
      </c>
      <c r="G111" s="70" t="str">
        <f aca="false">IF(A111&lt;&gt;"",SUMIF('Trade Log'!$B$5:$B$1004,A111,'Trade Log'!$R$5:$R$1004),"")</f>
        <v/>
      </c>
      <c r="H111" s="71" t="str">
        <f aca="false">IF(A111&lt;&gt;"",SUMIF('Trade Log'!$B$5:$B$1004,A111,'Trade Log'!$T$5:$T$1004),"")</f>
        <v/>
      </c>
      <c r="I111" s="72" t="str">
        <f aca="false">IF(A111&lt;&gt;"",IFERROR(SUMIF('Trade Log'!$B$5:$B$1004,A111,'Trade Log'!$R$5:$R$1004)/SUMIF('Trade Log'!$B$5:$B$1004,A111,'Trade Log'!$Q$5:$Q$1004)-1,""),"")</f>
        <v/>
      </c>
      <c r="J111" s="73" t="str">
        <f aca="false">IF(A111&lt;&gt;"",SUMIF('Trade Log'!$B$5:$B$1004,A111,'Trade Log'!$V$5:$V$1004),"")</f>
        <v/>
      </c>
      <c r="K111" s="74" t="str">
        <f aca="false">IF(A111&lt;&gt;"",IFERROR(SUMIF('Trade Log'!$B$5:$B$1004,A111,'Trade Log'!$V$5:$V$1004)/SUMIF('Trade Log'!$B$5:$B$1004,A111,'Trade Log'!$Q$5:$Q$1004),""),"")</f>
        <v/>
      </c>
      <c r="L111" s="75" t="str">
        <f aca="false">IF(A111&lt;&gt;"",IFERROR(SUMIFS('Trade Log'!$L$5:$L$1004,'Trade Log'!$B$5:$B$1004,A111,'Trade Log'!$E$5:$E$1004,""),0),"")</f>
        <v/>
      </c>
      <c r="M111" s="76" t="str">
        <f aca="false">IF(A111&lt;&gt;"",IFERROR(INDEX('Trade Log'!$AB$5:$AB$1004,MATCH(2,1/('Trade Log'!$B$5:$B$1004=A111),1)),""),"")</f>
        <v/>
      </c>
    </row>
    <row r="112" customFormat="false" ht="19.5" hidden="false" customHeight="true" outlineLevel="0" collapsed="false">
      <c r="A112" s="77"/>
      <c r="B112" s="78" t="str">
        <f aca="false">IF(A112&lt;&gt;"",IFERROR(INDEX('Trade Log'!$G$5:$G$1004,MATCH(A112,'Trade Log'!$B$5:$B$1004,0)),""),"")</f>
        <v/>
      </c>
      <c r="C112" s="79" t="str">
        <f aca="false">IF(A112&lt;&gt;"",IFERROR(INDEX('Trade Log'!$I$5:$I$1004,MATCH(A112,'Trade Log'!$B$5:$B$1004,0)),""),"")</f>
        <v/>
      </c>
      <c r="D112" s="80" t="str">
        <f aca="false">IF(A112&lt;&gt;"",COUNTIF('Trade Log'!$B$5:$B$1004,A112),"")</f>
        <v/>
      </c>
      <c r="E112" s="80" t="str">
        <f aca="false">IF(A112&lt;&gt;"",SUMIF('Trade Log'!$B$5:$B$1004,A112,'Trade Log'!$L$5:$L$1004),"")</f>
        <v/>
      </c>
      <c r="F112" s="81" t="str">
        <f aca="false">IF(A112&lt;&gt;"",SUMIF('Trade Log'!$B$5:$B$1004,A112,'Trade Log'!$Q$5:$Q$1004),"")</f>
        <v/>
      </c>
      <c r="G112" s="81" t="str">
        <f aca="false">IF(A112&lt;&gt;"",SUMIF('Trade Log'!$B$5:$B$1004,A112,'Trade Log'!$R$5:$R$1004),"")</f>
        <v/>
      </c>
      <c r="H112" s="82" t="str">
        <f aca="false">IF(A112&lt;&gt;"",SUMIF('Trade Log'!$B$5:$B$1004,A112,'Trade Log'!$T$5:$T$1004),"")</f>
        <v/>
      </c>
      <c r="I112" s="83" t="str">
        <f aca="false">IF(A112&lt;&gt;"",IFERROR(SUMIF('Trade Log'!$B$5:$B$1004,A112,'Trade Log'!$R$5:$R$1004)/SUMIF('Trade Log'!$B$5:$B$1004,A112,'Trade Log'!$Q$5:$Q$1004)-1,""),"")</f>
        <v/>
      </c>
      <c r="J112" s="84" t="str">
        <f aca="false">IF(A112&lt;&gt;"",SUMIF('Trade Log'!$B$5:$B$1004,A112,'Trade Log'!$V$5:$V$1004),"")</f>
        <v/>
      </c>
      <c r="K112" s="85" t="str">
        <f aca="false">IF(A112&lt;&gt;"",IFERROR(SUMIF('Trade Log'!$B$5:$B$1004,A112,'Trade Log'!$V$5:$V$1004)/SUMIF('Trade Log'!$B$5:$B$1004,A112,'Trade Log'!$Q$5:$Q$1004),""),"")</f>
        <v/>
      </c>
      <c r="L112" s="86" t="str">
        <f aca="false">IF(A112&lt;&gt;"",IFERROR(SUMIFS('Trade Log'!$L$5:$L$1004,'Trade Log'!$B$5:$B$1004,A112,'Trade Log'!$E$5:$E$1004,""),0),"")</f>
        <v/>
      </c>
      <c r="M112" s="87" t="str">
        <f aca="false">IF(A112&lt;&gt;"",IFERROR(INDEX('Trade Log'!$AB$5:$AB$1004,MATCH(2,1/('Trade Log'!$B$5:$B$1004=A112),1)),""),"")</f>
        <v/>
      </c>
    </row>
    <row r="113" customFormat="false" ht="19.5" hidden="false" customHeight="true" outlineLevel="0" collapsed="false">
      <c r="A113" s="88"/>
      <c r="B113" s="68" t="str">
        <f aca="false">IF(A113&lt;&gt;"",IFERROR(INDEX('Trade Log'!$G$5:$G$1004,MATCH(A113,'Trade Log'!$B$5:$B$1004,0)),""),"")</f>
        <v/>
      </c>
      <c r="C113" s="69" t="str">
        <f aca="false">IF(A113&lt;&gt;"",IFERROR(INDEX('Trade Log'!$I$5:$I$1004,MATCH(A113,'Trade Log'!$B$5:$B$1004,0)),""),"")</f>
        <v/>
      </c>
      <c r="D113" s="67" t="str">
        <f aca="false">IF(A113&lt;&gt;"",COUNTIF('Trade Log'!$B$5:$B$1004,A113),"")</f>
        <v/>
      </c>
      <c r="E113" s="67" t="str">
        <f aca="false">IF(A113&lt;&gt;"",SUMIF('Trade Log'!$B$5:$B$1004,A113,'Trade Log'!$L$5:$L$1004),"")</f>
        <v/>
      </c>
      <c r="F113" s="70" t="str">
        <f aca="false">IF(A113&lt;&gt;"",SUMIF('Trade Log'!$B$5:$B$1004,A113,'Trade Log'!$Q$5:$Q$1004),"")</f>
        <v/>
      </c>
      <c r="G113" s="70" t="str">
        <f aca="false">IF(A113&lt;&gt;"",SUMIF('Trade Log'!$B$5:$B$1004,A113,'Trade Log'!$R$5:$R$1004),"")</f>
        <v/>
      </c>
      <c r="H113" s="71" t="str">
        <f aca="false">IF(A113&lt;&gt;"",SUMIF('Trade Log'!$B$5:$B$1004,A113,'Trade Log'!$T$5:$T$1004),"")</f>
        <v/>
      </c>
      <c r="I113" s="72" t="str">
        <f aca="false">IF(A113&lt;&gt;"",IFERROR(SUMIF('Trade Log'!$B$5:$B$1004,A113,'Trade Log'!$R$5:$R$1004)/SUMIF('Trade Log'!$B$5:$B$1004,A113,'Trade Log'!$Q$5:$Q$1004)-1,""),"")</f>
        <v/>
      </c>
      <c r="J113" s="73" t="str">
        <f aca="false">IF(A113&lt;&gt;"",SUMIF('Trade Log'!$B$5:$B$1004,A113,'Trade Log'!$V$5:$V$1004),"")</f>
        <v/>
      </c>
      <c r="K113" s="74" t="str">
        <f aca="false">IF(A113&lt;&gt;"",IFERROR(SUMIF('Trade Log'!$B$5:$B$1004,A113,'Trade Log'!$V$5:$V$1004)/SUMIF('Trade Log'!$B$5:$B$1004,A113,'Trade Log'!$Q$5:$Q$1004),""),"")</f>
        <v/>
      </c>
      <c r="L113" s="75" t="str">
        <f aca="false">IF(A113&lt;&gt;"",IFERROR(SUMIFS('Trade Log'!$L$5:$L$1004,'Trade Log'!$B$5:$B$1004,A113,'Trade Log'!$E$5:$E$1004,""),0),"")</f>
        <v/>
      </c>
      <c r="M113" s="76" t="str">
        <f aca="false">IF(A113&lt;&gt;"",IFERROR(INDEX('Trade Log'!$AB$5:$AB$1004,MATCH(2,1/('Trade Log'!$B$5:$B$1004=A113),1)),""),"")</f>
        <v/>
      </c>
    </row>
    <row r="114" customFormat="false" ht="19.5" hidden="false" customHeight="true" outlineLevel="0" collapsed="false">
      <c r="A114" s="77"/>
      <c r="B114" s="78" t="str">
        <f aca="false">IF(A114&lt;&gt;"",IFERROR(INDEX('Trade Log'!$G$5:$G$1004,MATCH(A114,'Trade Log'!$B$5:$B$1004,0)),""),"")</f>
        <v/>
      </c>
      <c r="C114" s="79" t="str">
        <f aca="false">IF(A114&lt;&gt;"",IFERROR(INDEX('Trade Log'!$I$5:$I$1004,MATCH(A114,'Trade Log'!$B$5:$B$1004,0)),""),"")</f>
        <v/>
      </c>
      <c r="D114" s="80" t="str">
        <f aca="false">IF(A114&lt;&gt;"",COUNTIF('Trade Log'!$B$5:$B$1004,A114),"")</f>
        <v/>
      </c>
      <c r="E114" s="80" t="str">
        <f aca="false">IF(A114&lt;&gt;"",SUMIF('Trade Log'!$B$5:$B$1004,A114,'Trade Log'!$L$5:$L$1004),"")</f>
        <v/>
      </c>
      <c r="F114" s="81" t="str">
        <f aca="false">IF(A114&lt;&gt;"",SUMIF('Trade Log'!$B$5:$B$1004,A114,'Trade Log'!$Q$5:$Q$1004),"")</f>
        <v/>
      </c>
      <c r="G114" s="81" t="str">
        <f aca="false">IF(A114&lt;&gt;"",SUMIF('Trade Log'!$B$5:$B$1004,A114,'Trade Log'!$R$5:$R$1004),"")</f>
        <v/>
      </c>
      <c r="H114" s="82" t="str">
        <f aca="false">IF(A114&lt;&gt;"",SUMIF('Trade Log'!$B$5:$B$1004,A114,'Trade Log'!$T$5:$T$1004),"")</f>
        <v/>
      </c>
      <c r="I114" s="83" t="str">
        <f aca="false">IF(A114&lt;&gt;"",IFERROR(SUMIF('Trade Log'!$B$5:$B$1004,A114,'Trade Log'!$R$5:$R$1004)/SUMIF('Trade Log'!$B$5:$B$1004,A114,'Trade Log'!$Q$5:$Q$1004)-1,""),"")</f>
        <v/>
      </c>
      <c r="J114" s="84" t="str">
        <f aca="false">IF(A114&lt;&gt;"",SUMIF('Trade Log'!$B$5:$B$1004,A114,'Trade Log'!$V$5:$V$1004),"")</f>
        <v/>
      </c>
      <c r="K114" s="85" t="str">
        <f aca="false">IF(A114&lt;&gt;"",IFERROR(SUMIF('Trade Log'!$B$5:$B$1004,A114,'Trade Log'!$V$5:$V$1004)/SUMIF('Trade Log'!$B$5:$B$1004,A114,'Trade Log'!$Q$5:$Q$1004),""),"")</f>
        <v/>
      </c>
      <c r="L114" s="86" t="str">
        <f aca="false">IF(A114&lt;&gt;"",IFERROR(SUMIFS('Trade Log'!$L$5:$L$1004,'Trade Log'!$B$5:$B$1004,A114,'Trade Log'!$E$5:$E$1004,""),0),"")</f>
        <v/>
      </c>
      <c r="M114" s="87" t="str">
        <f aca="false">IF(A114&lt;&gt;"",IFERROR(INDEX('Trade Log'!$AB$5:$AB$1004,MATCH(2,1/('Trade Log'!$B$5:$B$1004=A114),1)),""),"")</f>
        <v/>
      </c>
    </row>
    <row r="115" customFormat="false" ht="19.5" hidden="false" customHeight="true" outlineLevel="0" collapsed="false">
      <c r="A115" s="88"/>
      <c r="B115" s="68" t="str">
        <f aca="false">IF(A115&lt;&gt;"",IFERROR(INDEX('Trade Log'!$G$5:$G$1004,MATCH(A115,'Trade Log'!$B$5:$B$1004,0)),""),"")</f>
        <v/>
      </c>
      <c r="C115" s="69" t="str">
        <f aca="false">IF(A115&lt;&gt;"",IFERROR(INDEX('Trade Log'!$I$5:$I$1004,MATCH(A115,'Trade Log'!$B$5:$B$1004,0)),""),"")</f>
        <v/>
      </c>
      <c r="D115" s="67" t="str">
        <f aca="false">IF(A115&lt;&gt;"",COUNTIF('Trade Log'!$B$5:$B$1004,A115),"")</f>
        <v/>
      </c>
      <c r="E115" s="67" t="str">
        <f aca="false">IF(A115&lt;&gt;"",SUMIF('Trade Log'!$B$5:$B$1004,A115,'Trade Log'!$L$5:$L$1004),"")</f>
        <v/>
      </c>
      <c r="F115" s="70" t="str">
        <f aca="false">IF(A115&lt;&gt;"",SUMIF('Trade Log'!$B$5:$B$1004,A115,'Trade Log'!$Q$5:$Q$1004),"")</f>
        <v/>
      </c>
      <c r="G115" s="70" t="str">
        <f aca="false">IF(A115&lt;&gt;"",SUMIF('Trade Log'!$B$5:$B$1004,A115,'Trade Log'!$R$5:$R$1004),"")</f>
        <v/>
      </c>
      <c r="H115" s="71" t="str">
        <f aca="false">IF(A115&lt;&gt;"",SUMIF('Trade Log'!$B$5:$B$1004,A115,'Trade Log'!$T$5:$T$1004),"")</f>
        <v/>
      </c>
      <c r="I115" s="72" t="str">
        <f aca="false">IF(A115&lt;&gt;"",IFERROR(SUMIF('Trade Log'!$B$5:$B$1004,A115,'Trade Log'!$R$5:$R$1004)/SUMIF('Trade Log'!$B$5:$B$1004,A115,'Trade Log'!$Q$5:$Q$1004)-1,""),"")</f>
        <v/>
      </c>
      <c r="J115" s="73" t="str">
        <f aca="false">IF(A115&lt;&gt;"",SUMIF('Trade Log'!$B$5:$B$1004,A115,'Trade Log'!$V$5:$V$1004),"")</f>
        <v/>
      </c>
      <c r="K115" s="74" t="str">
        <f aca="false">IF(A115&lt;&gt;"",IFERROR(SUMIF('Trade Log'!$B$5:$B$1004,A115,'Trade Log'!$V$5:$V$1004)/SUMIF('Trade Log'!$B$5:$B$1004,A115,'Trade Log'!$Q$5:$Q$1004),""),"")</f>
        <v/>
      </c>
      <c r="L115" s="75" t="str">
        <f aca="false">IF(A115&lt;&gt;"",IFERROR(SUMIFS('Trade Log'!$L$5:$L$1004,'Trade Log'!$B$5:$B$1004,A115,'Trade Log'!$E$5:$E$1004,""),0),"")</f>
        <v/>
      </c>
      <c r="M115" s="76" t="str">
        <f aca="false">IF(A115&lt;&gt;"",IFERROR(INDEX('Trade Log'!$AB$5:$AB$1004,MATCH(2,1/('Trade Log'!$B$5:$B$1004=A115),1)),""),"")</f>
        <v/>
      </c>
    </row>
    <row r="116" customFormat="false" ht="19.5" hidden="false" customHeight="true" outlineLevel="0" collapsed="false">
      <c r="A116" s="77"/>
      <c r="B116" s="78" t="str">
        <f aca="false">IF(A116&lt;&gt;"",IFERROR(INDEX('Trade Log'!$G$5:$G$1004,MATCH(A116,'Trade Log'!$B$5:$B$1004,0)),""),"")</f>
        <v/>
      </c>
      <c r="C116" s="79" t="str">
        <f aca="false">IF(A116&lt;&gt;"",IFERROR(INDEX('Trade Log'!$I$5:$I$1004,MATCH(A116,'Trade Log'!$B$5:$B$1004,0)),""),"")</f>
        <v/>
      </c>
      <c r="D116" s="80" t="str">
        <f aca="false">IF(A116&lt;&gt;"",COUNTIF('Trade Log'!$B$5:$B$1004,A116),"")</f>
        <v/>
      </c>
      <c r="E116" s="80" t="str">
        <f aca="false">IF(A116&lt;&gt;"",SUMIF('Trade Log'!$B$5:$B$1004,A116,'Trade Log'!$L$5:$L$1004),"")</f>
        <v/>
      </c>
      <c r="F116" s="81" t="str">
        <f aca="false">IF(A116&lt;&gt;"",SUMIF('Trade Log'!$B$5:$B$1004,A116,'Trade Log'!$Q$5:$Q$1004),"")</f>
        <v/>
      </c>
      <c r="G116" s="81" t="str">
        <f aca="false">IF(A116&lt;&gt;"",SUMIF('Trade Log'!$B$5:$B$1004,A116,'Trade Log'!$R$5:$R$1004),"")</f>
        <v/>
      </c>
      <c r="H116" s="82" t="str">
        <f aca="false">IF(A116&lt;&gt;"",SUMIF('Trade Log'!$B$5:$B$1004,A116,'Trade Log'!$T$5:$T$1004),"")</f>
        <v/>
      </c>
      <c r="I116" s="83" t="str">
        <f aca="false">IF(A116&lt;&gt;"",IFERROR(SUMIF('Trade Log'!$B$5:$B$1004,A116,'Trade Log'!$R$5:$R$1004)/SUMIF('Trade Log'!$B$5:$B$1004,A116,'Trade Log'!$Q$5:$Q$1004)-1,""),"")</f>
        <v/>
      </c>
      <c r="J116" s="84" t="str">
        <f aca="false">IF(A116&lt;&gt;"",SUMIF('Trade Log'!$B$5:$B$1004,A116,'Trade Log'!$V$5:$V$1004),"")</f>
        <v/>
      </c>
      <c r="K116" s="85" t="str">
        <f aca="false">IF(A116&lt;&gt;"",IFERROR(SUMIF('Trade Log'!$B$5:$B$1004,A116,'Trade Log'!$V$5:$V$1004)/SUMIF('Trade Log'!$B$5:$B$1004,A116,'Trade Log'!$Q$5:$Q$1004),""),"")</f>
        <v/>
      </c>
      <c r="L116" s="86" t="str">
        <f aca="false">IF(A116&lt;&gt;"",IFERROR(SUMIFS('Trade Log'!$L$5:$L$1004,'Trade Log'!$B$5:$B$1004,A116,'Trade Log'!$E$5:$E$1004,""),0),"")</f>
        <v/>
      </c>
      <c r="M116" s="87" t="str">
        <f aca="false">IF(A116&lt;&gt;"",IFERROR(INDEX('Trade Log'!$AB$5:$AB$1004,MATCH(2,1/('Trade Log'!$B$5:$B$1004=A116),1)),""),"")</f>
        <v/>
      </c>
    </row>
    <row r="117" customFormat="false" ht="19.5" hidden="false" customHeight="true" outlineLevel="0" collapsed="false">
      <c r="A117" s="88"/>
      <c r="B117" s="68" t="str">
        <f aca="false">IF(A117&lt;&gt;"",IFERROR(INDEX('Trade Log'!$G$5:$G$1004,MATCH(A117,'Trade Log'!$B$5:$B$1004,0)),""),"")</f>
        <v/>
      </c>
      <c r="C117" s="69" t="str">
        <f aca="false">IF(A117&lt;&gt;"",IFERROR(INDEX('Trade Log'!$I$5:$I$1004,MATCH(A117,'Trade Log'!$B$5:$B$1004,0)),""),"")</f>
        <v/>
      </c>
      <c r="D117" s="67" t="str">
        <f aca="false">IF(A117&lt;&gt;"",COUNTIF('Trade Log'!$B$5:$B$1004,A117),"")</f>
        <v/>
      </c>
      <c r="E117" s="67" t="str">
        <f aca="false">IF(A117&lt;&gt;"",SUMIF('Trade Log'!$B$5:$B$1004,A117,'Trade Log'!$L$5:$L$1004),"")</f>
        <v/>
      </c>
      <c r="F117" s="70" t="str">
        <f aca="false">IF(A117&lt;&gt;"",SUMIF('Trade Log'!$B$5:$B$1004,A117,'Trade Log'!$Q$5:$Q$1004),"")</f>
        <v/>
      </c>
      <c r="G117" s="70" t="str">
        <f aca="false">IF(A117&lt;&gt;"",SUMIF('Trade Log'!$B$5:$B$1004,A117,'Trade Log'!$R$5:$R$1004),"")</f>
        <v/>
      </c>
      <c r="H117" s="71" t="str">
        <f aca="false">IF(A117&lt;&gt;"",SUMIF('Trade Log'!$B$5:$B$1004,A117,'Trade Log'!$T$5:$T$1004),"")</f>
        <v/>
      </c>
      <c r="I117" s="72" t="str">
        <f aca="false">IF(A117&lt;&gt;"",IFERROR(SUMIF('Trade Log'!$B$5:$B$1004,A117,'Trade Log'!$R$5:$R$1004)/SUMIF('Trade Log'!$B$5:$B$1004,A117,'Trade Log'!$Q$5:$Q$1004)-1,""),"")</f>
        <v/>
      </c>
      <c r="J117" s="73" t="str">
        <f aca="false">IF(A117&lt;&gt;"",SUMIF('Trade Log'!$B$5:$B$1004,A117,'Trade Log'!$V$5:$V$1004),"")</f>
        <v/>
      </c>
      <c r="K117" s="74" t="str">
        <f aca="false">IF(A117&lt;&gt;"",IFERROR(SUMIF('Trade Log'!$B$5:$B$1004,A117,'Trade Log'!$V$5:$V$1004)/SUMIF('Trade Log'!$B$5:$B$1004,A117,'Trade Log'!$Q$5:$Q$1004),""),"")</f>
        <v/>
      </c>
      <c r="L117" s="75" t="str">
        <f aca="false">IF(A117&lt;&gt;"",IFERROR(SUMIFS('Trade Log'!$L$5:$L$1004,'Trade Log'!$B$5:$B$1004,A117,'Trade Log'!$E$5:$E$1004,""),0),"")</f>
        <v/>
      </c>
      <c r="M117" s="76" t="str">
        <f aca="false">IF(A117&lt;&gt;"",IFERROR(INDEX('Trade Log'!$AB$5:$AB$1004,MATCH(2,1/('Trade Log'!$B$5:$B$1004=A117),1)),""),"")</f>
        <v/>
      </c>
    </row>
    <row r="118" customFormat="false" ht="19.5" hidden="false" customHeight="true" outlineLevel="0" collapsed="false">
      <c r="A118" s="77"/>
      <c r="B118" s="78" t="str">
        <f aca="false">IF(A118&lt;&gt;"",IFERROR(INDEX('Trade Log'!$G$5:$G$1004,MATCH(A118,'Trade Log'!$B$5:$B$1004,0)),""),"")</f>
        <v/>
      </c>
      <c r="C118" s="79" t="str">
        <f aca="false">IF(A118&lt;&gt;"",IFERROR(INDEX('Trade Log'!$I$5:$I$1004,MATCH(A118,'Trade Log'!$B$5:$B$1004,0)),""),"")</f>
        <v/>
      </c>
      <c r="D118" s="80" t="str">
        <f aca="false">IF(A118&lt;&gt;"",COUNTIF('Trade Log'!$B$5:$B$1004,A118),"")</f>
        <v/>
      </c>
      <c r="E118" s="80" t="str">
        <f aca="false">IF(A118&lt;&gt;"",SUMIF('Trade Log'!$B$5:$B$1004,A118,'Trade Log'!$L$5:$L$1004),"")</f>
        <v/>
      </c>
      <c r="F118" s="81" t="str">
        <f aca="false">IF(A118&lt;&gt;"",SUMIF('Trade Log'!$B$5:$B$1004,A118,'Trade Log'!$Q$5:$Q$1004),"")</f>
        <v/>
      </c>
      <c r="G118" s="81" t="str">
        <f aca="false">IF(A118&lt;&gt;"",SUMIF('Trade Log'!$B$5:$B$1004,A118,'Trade Log'!$R$5:$R$1004),"")</f>
        <v/>
      </c>
      <c r="H118" s="82" t="str">
        <f aca="false">IF(A118&lt;&gt;"",SUMIF('Trade Log'!$B$5:$B$1004,A118,'Trade Log'!$T$5:$T$1004),"")</f>
        <v/>
      </c>
      <c r="I118" s="83" t="str">
        <f aca="false">IF(A118&lt;&gt;"",IFERROR(SUMIF('Trade Log'!$B$5:$B$1004,A118,'Trade Log'!$R$5:$R$1004)/SUMIF('Trade Log'!$B$5:$B$1004,A118,'Trade Log'!$Q$5:$Q$1004)-1,""),"")</f>
        <v/>
      </c>
      <c r="J118" s="84" t="str">
        <f aca="false">IF(A118&lt;&gt;"",SUMIF('Trade Log'!$B$5:$B$1004,A118,'Trade Log'!$V$5:$V$1004),"")</f>
        <v/>
      </c>
      <c r="K118" s="85" t="str">
        <f aca="false">IF(A118&lt;&gt;"",IFERROR(SUMIF('Trade Log'!$B$5:$B$1004,A118,'Trade Log'!$V$5:$V$1004)/SUMIF('Trade Log'!$B$5:$B$1004,A118,'Trade Log'!$Q$5:$Q$1004),""),"")</f>
        <v/>
      </c>
      <c r="L118" s="86" t="str">
        <f aca="false">IF(A118&lt;&gt;"",IFERROR(SUMIFS('Trade Log'!$L$5:$L$1004,'Trade Log'!$B$5:$B$1004,A118,'Trade Log'!$E$5:$E$1004,""),0),"")</f>
        <v/>
      </c>
      <c r="M118" s="87" t="str">
        <f aca="false">IF(A118&lt;&gt;"",IFERROR(INDEX('Trade Log'!$AB$5:$AB$1004,MATCH(2,1/('Trade Log'!$B$5:$B$1004=A118),1)),""),"")</f>
        <v/>
      </c>
    </row>
    <row r="119" customFormat="false" ht="19.5" hidden="false" customHeight="true" outlineLevel="0" collapsed="false">
      <c r="A119" s="88"/>
      <c r="B119" s="68" t="str">
        <f aca="false">IF(A119&lt;&gt;"",IFERROR(INDEX('Trade Log'!$G$5:$G$1004,MATCH(A119,'Trade Log'!$B$5:$B$1004,0)),""),"")</f>
        <v/>
      </c>
      <c r="C119" s="69" t="str">
        <f aca="false">IF(A119&lt;&gt;"",IFERROR(INDEX('Trade Log'!$I$5:$I$1004,MATCH(A119,'Trade Log'!$B$5:$B$1004,0)),""),"")</f>
        <v/>
      </c>
      <c r="D119" s="67" t="str">
        <f aca="false">IF(A119&lt;&gt;"",COUNTIF('Trade Log'!$B$5:$B$1004,A119),"")</f>
        <v/>
      </c>
      <c r="E119" s="67" t="str">
        <f aca="false">IF(A119&lt;&gt;"",SUMIF('Trade Log'!$B$5:$B$1004,A119,'Trade Log'!$L$5:$L$1004),"")</f>
        <v/>
      </c>
      <c r="F119" s="70" t="str">
        <f aca="false">IF(A119&lt;&gt;"",SUMIF('Trade Log'!$B$5:$B$1004,A119,'Trade Log'!$Q$5:$Q$1004),"")</f>
        <v/>
      </c>
      <c r="G119" s="70" t="str">
        <f aca="false">IF(A119&lt;&gt;"",SUMIF('Trade Log'!$B$5:$B$1004,A119,'Trade Log'!$R$5:$R$1004),"")</f>
        <v/>
      </c>
      <c r="H119" s="71" t="str">
        <f aca="false">IF(A119&lt;&gt;"",SUMIF('Trade Log'!$B$5:$B$1004,A119,'Trade Log'!$T$5:$T$1004),"")</f>
        <v/>
      </c>
      <c r="I119" s="72" t="str">
        <f aca="false">IF(A119&lt;&gt;"",IFERROR(SUMIF('Trade Log'!$B$5:$B$1004,A119,'Trade Log'!$R$5:$R$1004)/SUMIF('Trade Log'!$B$5:$B$1004,A119,'Trade Log'!$Q$5:$Q$1004)-1,""),"")</f>
        <v/>
      </c>
      <c r="J119" s="73" t="str">
        <f aca="false">IF(A119&lt;&gt;"",SUMIF('Trade Log'!$B$5:$B$1004,A119,'Trade Log'!$V$5:$V$1004),"")</f>
        <v/>
      </c>
      <c r="K119" s="74" t="str">
        <f aca="false">IF(A119&lt;&gt;"",IFERROR(SUMIF('Trade Log'!$B$5:$B$1004,A119,'Trade Log'!$V$5:$V$1004)/SUMIF('Trade Log'!$B$5:$B$1004,A119,'Trade Log'!$Q$5:$Q$1004),""),"")</f>
        <v/>
      </c>
      <c r="L119" s="75" t="str">
        <f aca="false">IF(A119&lt;&gt;"",IFERROR(SUMIFS('Trade Log'!$L$5:$L$1004,'Trade Log'!$B$5:$B$1004,A119,'Trade Log'!$E$5:$E$1004,""),0),"")</f>
        <v/>
      </c>
      <c r="M119" s="76" t="str">
        <f aca="false">IF(A119&lt;&gt;"",IFERROR(INDEX('Trade Log'!$AB$5:$AB$1004,MATCH(2,1/('Trade Log'!$B$5:$B$1004=A119),1)),""),"")</f>
        <v/>
      </c>
    </row>
    <row r="120" customFormat="false" ht="19.5" hidden="false" customHeight="true" outlineLevel="0" collapsed="false">
      <c r="A120" s="77"/>
      <c r="B120" s="78" t="str">
        <f aca="false">IF(A120&lt;&gt;"",IFERROR(INDEX('Trade Log'!$G$5:$G$1004,MATCH(A120,'Trade Log'!$B$5:$B$1004,0)),""),"")</f>
        <v/>
      </c>
      <c r="C120" s="79" t="str">
        <f aca="false">IF(A120&lt;&gt;"",IFERROR(INDEX('Trade Log'!$I$5:$I$1004,MATCH(A120,'Trade Log'!$B$5:$B$1004,0)),""),"")</f>
        <v/>
      </c>
      <c r="D120" s="80" t="str">
        <f aca="false">IF(A120&lt;&gt;"",COUNTIF('Trade Log'!$B$5:$B$1004,A120),"")</f>
        <v/>
      </c>
      <c r="E120" s="80" t="str">
        <f aca="false">IF(A120&lt;&gt;"",SUMIF('Trade Log'!$B$5:$B$1004,A120,'Trade Log'!$L$5:$L$1004),"")</f>
        <v/>
      </c>
      <c r="F120" s="81" t="str">
        <f aca="false">IF(A120&lt;&gt;"",SUMIF('Trade Log'!$B$5:$B$1004,A120,'Trade Log'!$Q$5:$Q$1004),"")</f>
        <v/>
      </c>
      <c r="G120" s="81" t="str">
        <f aca="false">IF(A120&lt;&gt;"",SUMIF('Trade Log'!$B$5:$B$1004,A120,'Trade Log'!$R$5:$R$1004),"")</f>
        <v/>
      </c>
      <c r="H120" s="82" t="str">
        <f aca="false">IF(A120&lt;&gt;"",SUMIF('Trade Log'!$B$5:$B$1004,A120,'Trade Log'!$T$5:$T$1004),"")</f>
        <v/>
      </c>
      <c r="I120" s="83" t="str">
        <f aca="false">IF(A120&lt;&gt;"",IFERROR(SUMIF('Trade Log'!$B$5:$B$1004,A120,'Trade Log'!$R$5:$R$1004)/SUMIF('Trade Log'!$B$5:$B$1004,A120,'Trade Log'!$Q$5:$Q$1004)-1,""),"")</f>
        <v/>
      </c>
      <c r="J120" s="84" t="str">
        <f aca="false">IF(A120&lt;&gt;"",SUMIF('Trade Log'!$B$5:$B$1004,A120,'Trade Log'!$V$5:$V$1004),"")</f>
        <v/>
      </c>
      <c r="K120" s="85" t="str">
        <f aca="false">IF(A120&lt;&gt;"",IFERROR(SUMIF('Trade Log'!$B$5:$B$1004,A120,'Trade Log'!$V$5:$V$1004)/SUMIF('Trade Log'!$B$5:$B$1004,A120,'Trade Log'!$Q$5:$Q$1004),""),"")</f>
        <v/>
      </c>
      <c r="L120" s="86" t="str">
        <f aca="false">IF(A120&lt;&gt;"",IFERROR(SUMIFS('Trade Log'!$L$5:$L$1004,'Trade Log'!$B$5:$B$1004,A120,'Trade Log'!$E$5:$E$1004,""),0),"")</f>
        <v/>
      </c>
      <c r="M120" s="87" t="str">
        <f aca="false">IF(A120&lt;&gt;"",IFERROR(INDEX('Trade Log'!$AB$5:$AB$1004,MATCH(2,1/('Trade Log'!$B$5:$B$1004=A120),1)),""),"")</f>
        <v/>
      </c>
    </row>
    <row r="121" customFormat="false" ht="19.5" hidden="false" customHeight="true" outlineLevel="0" collapsed="false">
      <c r="A121" s="88"/>
      <c r="B121" s="68" t="str">
        <f aca="false">IF(A121&lt;&gt;"",IFERROR(INDEX('Trade Log'!$G$5:$G$1004,MATCH(A121,'Trade Log'!$B$5:$B$1004,0)),""),"")</f>
        <v/>
      </c>
      <c r="C121" s="69" t="str">
        <f aca="false">IF(A121&lt;&gt;"",IFERROR(INDEX('Trade Log'!$I$5:$I$1004,MATCH(A121,'Trade Log'!$B$5:$B$1004,0)),""),"")</f>
        <v/>
      </c>
      <c r="D121" s="67" t="str">
        <f aca="false">IF(A121&lt;&gt;"",COUNTIF('Trade Log'!$B$5:$B$1004,A121),"")</f>
        <v/>
      </c>
      <c r="E121" s="67" t="str">
        <f aca="false">IF(A121&lt;&gt;"",SUMIF('Trade Log'!$B$5:$B$1004,A121,'Trade Log'!$L$5:$L$1004),"")</f>
        <v/>
      </c>
      <c r="F121" s="70" t="str">
        <f aca="false">IF(A121&lt;&gt;"",SUMIF('Trade Log'!$B$5:$B$1004,A121,'Trade Log'!$Q$5:$Q$1004),"")</f>
        <v/>
      </c>
      <c r="G121" s="70" t="str">
        <f aca="false">IF(A121&lt;&gt;"",SUMIF('Trade Log'!$B$5:$B$1004,A121,'Trade Log'!$R$5:$R$1004),"")</f>
        <v/>
      </c>
      <c r="H121" s="71" t="str">
        <f aca="false">IF(A121&lt;&gt;"",SUMIF('Trade Log'!$B$5:$B$1004,A121,'Trade Log'!$T$5:$T$1004),"")</f>
        <v/>
      </c>
      <c r="I121" s="72" t="str">
        <f aca="false">IF(A121&lt;&gt;"",IFERROR(SUMIF('Trade Log'!$B$5:$B$1004,A121,'Trade Log'!$R$5:$R$1004)/SUMIF('Trade Log'!$B$5:$B$1004,A121,'Trade Log'!$Q$5:$Q$1004)-1,""),"")</f>
        <v/>
      </c>
      <c r="J121" s="73" t="str">
        <f aca="false">IF(A121&lt;&gt;"",SUMIF('Trade Log'!$B$5:$B$1004,A121,'Trade Log'!$V$5:$V$1004),"")</f>
        <v/>
      </c>
      <c r="K121" s="74" t="str">
        <f aca="false">IF(A121&lt;&gt;"",IFERROR(SUMIF('Trade Log'!$B$5:$B$1004,A121,'Trade Log'!$V$5:$V$1004)/SUMIF('Trade Log'!$B$5:$B$1004,A121,'Trade Log'!$Q$5:$Q$1004),""),"")</f>
        <v/>
      </c>
      <c r="L121" s="75" t="str">
        <f aca="false">IF(A121&lt;&gt;"",IFERROR(SUMIFS('Trade Log'!$L$5:$L$1004,'Trade Log'!$B$5:$B$1004,A121,'Trade Log'!$E$5:$E$1004,""),0),"")</f>
        <v/>
      </c>
      <c r="M121" s="76" t="str">
        <f aca="false">IF(A121&lt;&gt;"",IFERROR(INDEX('Trade Log'!$AB$5:$AB$1004,MATCH(2,1/('Trade Log'!$B$5:$B$1004=A121),1)),""),"")</f>
        <v/>
      </c>
    </row>
    <row r="122" customFormat="false" ht="19.5" hidden="false" customHeight="true" outlineLevel="0" collapsed="false">
      <c r="A122" s="77"/>
      <c r="B122" s="78" t="str">
        <f aca="false">IF(A122&lt;&gt;"",IFERROR(INDEX('Trade Log'!$G$5:$G$1004,MATCH(A122,'Trade Log'!$B$5:$B$1004,0)),""),"")</f>
        <v/>
      </c>
      <c r="C122" s="79" t="str">
        <f aca="false">IF(A122&lt;&gt;"",IFERROR(INDEX('Trade Log'!$I$5:$I$1004,MATCH(A122,'Trade Log'!$B$5:$B$1004,0)),""),"")</f>
        <v/>
      </c>
      <c r="D122" s="80" t="str">
        <f aca="false">IF(A122&lt;&gt;"",COUNTIF('Trade Log'!$B$5:$B$1004,A122),"")</f>
        <v/>
      </c>
      <c r="E122" s="80" t="str">
        <f aca="false">IF(A122&lt;&gt;"",SUMIF('Trade Log'!$B$5:$B$1004,A122,'Trade Log'!$L$5:$L$1004),"")</f>
        <v/>
      </c>
      <c r="F122" s="81" t="str">
        <f aca="false">IF(A122&lt;&gt;"",SUMIF('Trade Log'!$B$5:$B$1004,A122,'Trade Log'!$Q$5:$Q$1004),"")</f>
        <v/>
      </c>
      <c r="G122" s="81" t="str">
        <f aca="false">IF(A122&lt;&gt;"",SUMIF('Trade Log'!$B$5:$B$1004,A122,'Trade Log'!$R$5:$R$1004),"")</f>
        <v/>
      </c>
      <c r="H122" s="82" t="str">
        <f aca="false">IF(A122&lt;&gt;"",SUMIF('Trade Log'!$B$5:$B$1004,A122,'Trade Log'!$T$5:$T$1004),"")</f>
        <v/>
      </c>
      <c r="I122" s="83" t="str">
        <f aca="false">IF(A122&lt;&gt;"",IFERROR(SUMIF('Trade Log'!$B$5:$B$1004,A122,'Trade Log'!$R$5:$R$1004)/SUMIF('Trade Log'!$B$5:$B$1004,A122,'Trade Log'!$Q$5:$Q$1004)-1,""),"")</f>
        <v/>
      </c>
      <c r="J122" s="84" t="str">
        <f aca="false">IF(A122&lt;&gt;"",SUMIF('Trade Log'!$B$5:$B$1004,A122,'Trade Log'!$V$5:$V$1004),"")</f>
        <v/>
      </c>
      <c r="K122" s="85" t="str">
        <f aca="false">IF(A122&lt;&gt;"",IFERROR(SUMIF('Trade Log'!$B$5:$B$1004,A122,'Trade Log'!$V$5:$V$1004)/SUMIF('Trade Log'!$B$5:$B$1004,A122,'Trade Log'!$Q$5:$Q$1004),""),"")</f>
        <v/>
      </c>
      <c r="L122" s="86" t="str">
        <f aca="false">IF(A122&lt;&gt;"",IFERROR(SUMIFS('Trade Log'!$L$5:$L$1004,'Trade Log'!$B$5:$B$1004,A122,'Trade Log'!$E$5:$E$1004,""),0),"")</f>
        <v/>
      </c>
      <c r="M122" s="87" t="str">
        <f aca="false">IF(A122&lt;&gt;"",IFERROR(INDEX('Trade Log'!$AB$5:$AB$1004,MATCH(2,1/('Trade Log'!$B$5:$B$1004=A122),1)),""),"")</f>
        <v/>
      </c>
    </row>
    <row r="123" customFormat="false" ht="19.5" hidden="false" customHeight="true" outlineLevel="0" collapsed="false">
      <c r="A123" s="88"/>
      <c r="B123" s="68" t="str">
        <f aca="false">IF(A123&lt;&gt;"",IFERROR(INDEX('Trade Log'!$G$5:$G$1004,MATCH(A123,'Trade Log'!$B$5:$B$1004,0)),""),"")</f>
        <v/>
      </c>
      <c r="C123" s="69" t="str">
        <f aca="false">IF(A123&lt;&gt;"",IFERROR(INDEX('Trade Log'!$I$5:$I$1004,MATCH(A123,'Trade Log'!$B$5:$B$1004,0)),""),"")</f>
        <v/>
      </c>
      <c r="D123" s="67" t="str">
        <f aca="false">IF(A123&lt;&gt;"",COUNTIF('Trade Log'!$B$5:$B$1004,A123),"")</f>
        <v/>
      </c>
      <c r="E123" s="67" t="str">
        <f aca="false">IF(A123&lt;&gt;"",SUMIF('Trade Log'!$B$5:$B$1004,A123,'Trade Log'!$L$5:$L$1004),"")</f>
        <v/>
      </c>
      <c r="F123" s="70" t="str">
        <f aca="false">IF(A123&lt;&gt;"",SUMIF('Trade Log'!$B$5:$B$1004,A123,'Trade Log'!$Q$5:$Q$1004),"")</f>
        <v/>
      </c>
      <c r="G123" s="70" t="str">
        <f aca="false">IF(A123&lt;&gt;"",SUMIF('Trade Log'!$B$5:$B$1004,A123,'Trade Log'!$R$5:$R$1004),"")</f>
        <v/>
      </c>
      <c r="H123" s="71" t="str">
        <f aca="false">IF(A123&lt;&gt;"",SUMIF('Trade Log'!$B$5:$B$1004,A123,'Trade Log'!$T$5:$T$1004),"")</f>
        <v/>
      </c>
      <c r="I123" s="72" t="str">
        <f aca="false">IF(A123&lt;&gt;"",IFERROR(SUMIF('Trade Log'!$B$5:$B$1004,A123,'Trade Log'!$R$5:$R$1004)/SUMIF('Trade Log'!$B$5:$B$1004,A123,'Trade Log'!$Q$5:$Q$1004)-1,""),"")</f>
        <v/>
      </c>
      <c r="J123" s="73" t="str">
        <f aca="false">IF(A123&lt;&gt;"",SUMIF('Trade Log'!$B$5:$B$1004,A123,'Trade Log'!$V$5:$V$1004),"")</f>
        <v/>
      </c>
      <c r="K123" s="74" t="str">
        <f aca="false">IF(A123&lt;&gt;"",IFERROR(SUMIF('Trade Log'!$B$5:$B$1004,A123,'Trade Log'!$V$5:$V$1004)/SUMIF('Trade Log'!$B$5:$B$1004,A123,'Trade Log'!$Q$5:$Q$1004),""),"")</f>
        <v/>
      </c>
      <c r="L123" s="75" t="str">
        <f aca="false">IF(A123&lt;&gt;"",IFERROR(SUMIFS('Trade Log'!$L$5:$L$1004,'Trade Log'!$B$5:$B$1004,A123,'Trade Log'!$E$5:$E$1004,""),0),"")</f>
        <v/>
      </c>
      <c r="M123" s="76" t="str">
        <f aca="false">IF(A123&lt;&gt;"",IFERROR(INDEX('Trade Log'!$AB$5:$AB$1004,MATCH(2,1/('Trade Log'!$B$5:$B$1004=A123),1)),""),"")</f>
        <v/>
      </c>
    </row>
    <row r="124" customFormat="false" ht="19.5" hidden="false" customHeight="true" outlineLevel="0" collapsed="false">
      <c r="A124" s="77"/>
      <c r="B124" s="78" t="str">
        <f aca="false">IF(A124&lt;&gt;"",IFERROR(INDEX('Trade Log'!$G$5:$G$1004,MATCH(A124,'Trade Log'!$B$5:$B$1004,0)),""),"")</f>
        <v/>
      </c>
      <c r="C124" s="79" t="str">
        <f aca="false">IF(A124&lt;&gt;"",IFERROR(INDEX('Trade Log'!$I$5:$I$1004,MATCH(A124,'Trade Log'!$B$5:$B$1004,0)),""),"")</f>
        <v/>
      </c>
      <c r="D124" s="80" t="str">
        <f aca="false">IF(A124&lt;&gt;"",COUNTIF('Trade Log'!$B$5:$B$1004,A124),"")</f>
        <v/>
      </c>
      <c r="E124" s="80" t="str">
        <f aca="false">IF(A124&lt;&gt;"",SUMIF('Trade Log'!$B$5:$B$1004,A124,'Trade Log'!$L$5:$L$1004),"")</f>
        <v/>
      </c>
      <c r="F124" s="81" t="str">
        <f aca="false">IF(A124&lt;&gt;"",SUMIF('Trade Log'!$B$5:$B$1004,A124,'Trade Log'!$Q$5:$Q$1004),"")</f>
        <v/>
      </c>
      <c r="G124" s="81" t="str">
        <f aca="false">IF(A124&lt;&gt;"",SUMIF('Trade Log'!$B$5:$B$1004,A124,'Trade Log'!$R$5:$R$1004),"")</f>
        <v/>
      </c>
      <c r="H124" s="82" t="str">
        <f aca="false">IF(A124&lt;&gt;"",SUMIF('Trade Log'!$B$5:$B$1004,A124,'Trade Log'!$T$5:$T$1004),"")</f>
        <v/>
      </c>
      <c r="I124" s="83" t="str">
        <f aca="false">IF(A124&lt;&gt;"",IFERROR(SUMIF('Trade Log'!$B$5:$B$1004,A124,'Trade Log'!$R$5:$R$1004)/SUMIF('Trade Log'!$B$5:$B$1004,A124,'Trade Log'!$Q$5:$Q$1004)-1,""),"")</f>
        <v/>
      </c>
      <c r="J124" s="84" t="str">
        <f aca="false">IF(A124&lt;&gt;"",SUMIF('Trade Log'!$B$5:$B$1004,A124,'Trade Log'!$V$5:$V$1004),"")</f>
        <v/>
      </c>
      <c r="K124" s="85" t="str">
        <f aca="false">IF(A124&lt;&gt;"",IFERROR(SUMIF('Trade Log'!$B$5:$B$1004,A124,'Trade Log'!$V$5:$V$1004)/SUMIF('Trade Log'!$B$5:$B$1004,A124,'Trade Log'!$Q$5:$Q$1004),""),"")</f>
        <v/>
      </c>
      <c r="L124" s="86" t="str">
        <f aca="false">IF(A124&lt;&gt;"",IFERROR(SUMIFS('Trade Log'!$L$5:$L$1004,'Trade Log'!$B$5:$B$1004,A124,'Trade Log'!$E$5:$E$1004,""),0),"")</f>
        <v/>
      </c>
      <c r="M124" s="87" t="str">
        <f aca="false">IF(A124&lt;&gt;"",IFERROR(INDEX('Trade Log'!$AB$5:$AB$1004,MATCH(2,1/('Trade Log'!$B$5:$B$1004=A124),1)),""),"")</f>
        <v/>
      </c>
    </row>
    <row r="125" customFormat="false" ht="19.5" hidden="false" customHeight="true" outlineLevel="0" collapsed="false">
      <c r="A125" s="88"/>
      <c r="B125" s="68" t="str">
        <f aca="false">IF(A125&lt;&gt;"",IFERROR(INDEX('Trade Log'!$G$5:$G$1004,MATCH(A125,'Trade Log'!$B$5:$B$1004,0)),""),"")</f>
        <v/>
      </c>
      <c r="C125" s="69" t="str">
        <f aca="false">IF(A125&lt;&gt;"",IFERROR(INDEX('Trade Log'!$I$5:$I$1004,MATCH(A125,'Trade Log'!$B$5:$B$1004,0)),""),"")</f>
        <v/>
      </c>
      <c r="D125" s="67" t="str">
        <f aca="false">IF(A125&lt;&gt;"",COUNTIF('Trade Log'!$B$5:$B$1004,A125),"")</f>
        <v/>
      </c>
      <c r="E125" s="67" t="str">
        <f aca="false">IF(A125&lt;&gt;"",SUMIF('Trade Log'!$B$5:$B$1004,A125,'Trade Log'!$L$5:$L$1004),"")</f>
        <v/>
      </c>
      <c r="F125" s="70" t="str">
        <f aca="false">IF(A125&lt;&gt;"",SUMIF('Trade Log'!$B$5:$B$1004,A125,'Trade Log'!$Q$5:$Q$1004),"")</f>
        <v/>
      </c>
      <c r="G125" s="70" t="str">
        <f aca="false">IF(A125&lt;&gt;"",SUMIF('Trade Log'!$B$5:$B$1004,A125,'Trade Log'!$R$5:$R$1004),"")</f>
        <v/>
      </c>
      <c r="H125" s="71" t="str">
        <f aca="false">IF(A125&lt;&gt;"",SUMIF('Trade Log'!$B$5:$B$1004,A125,'Trade Log'!$T$5:$T$1004),"")</f>
        <v/>
      </c>
      <c r="I125" s="72" t="str">
        <f aca="false">IF(A125&lt;&gt;"",IFERROR(SUMIF('Trade Log'!$B$5:$B$1004,A125,'Trade Log'!$R$5:$R$1004)/SUMIF('Trade Log'!$B$5:$B$1004,A125,'Trade Log'!$Q$5:$Q$1004)-1,""),"")</f>
        <v/>
      </c>
      <c r="J125" s="73" t="str">
        <f aca="false">IF(A125&lt;&gt;"",SUMIF('Trade Log'!$B$5:$B$1004,A125,'Trade Log'!$V$5:$V$1004),"")</f>
        <v/>
      </c>
      <c r="K125" s="74" t="str">
        <f aca="false">IF(A125&lt;&gt;"",IFERROR(SUMIF('Trade Log'!$B$5:$B$1004,A125,'Trade Log'!$V$5:$V$1004)/SUMIF('Trade Log'!$B$5:$B$1004,A125,'Trade Log'!$Q$5:$Q$1004),""),"")</f>
        <v/>
      </c>
      <c r="L125" s="75" t="str">
        <f aca="false">IF(A125&lt;&gt;"",IFERROR(SUMIFS('Trade Log'!$L$5:$L$1004,'Trade Log'!$B$5:$B$1004,A125,'Trade Log'!$E$5:$E$1004,""),0),"")</f>
        <v/>
      </c>
      <c r="M125" s="76" t="str">
        <f aca="false">IF(A125&lt;&gt;"",IFERROR(INDEX('Trade Log'!$AB$5:$AB$1004,MATCH(2,1/('Trade Log'!$B$5:$B$1004=A125),1)),""),"")</f>
        <v/>
      </c>
    </row>
    <row r="126" customFormat="false" ht="19.5" hidden="false" customHeight="true" outlineLevel="0" collapsed="false">
      <c r="A126" s="77"/>
      <c r="B126" s="78" t="str">
        <f aca="false">IF(A126&lt;&gt;"",IFERROR(INDEX('Trade Log'!$G$5:$G$1004,MATCH(A126,'Trade Log'!$B$5:$B$1004,0)),""),"")</f>
        <v/>
      </c>
      <c r="C126" s="79" t="str">
        <f aca="false">IF(A126&lt;&gt;"",IFERROR(INDEX('Trade Log'!$I$5:$I$1004,MATCH(A126,'Trade Log'!$B$5:$B$1004,0)),""),"")</f>
        <v/>
      </c>
      <c r="D126" s="80" t="str">
        <f aca="false">IF(A126&lt;&gt;"",COUNTIF('Trade Log'!$B$5:$B$1004,A126),"")</f>
        <v/>
      </c>
      <c r="E126" s="80" t="str">
        <f aca="false">IF(A126&lt;&gt;"",SUMIF('Trade Log'!$B$5:$B$1004,A126,'Trade Log'!$L$5:$L$1004),"")</f>
        <v/>
      </c>
      <c r="F126" s="81" t="str">
        <f aca="false">IF(A126&lt;&gt;"",SUMIF('Trade Log'!$B$5:$B$1004,A126,'Trade Log'!$Q$5:$Q$1004),"")</f>
        <v/>
      </c>
      <c r="G126" s="81" t="str">
        <f aca="false">IF(A126&lt;&gt;"",SUMIF('Trade Log'!$B$5:$B$1004,A126,'Trade Log'!$R$5:$R$1004),"")</f>
        <v/>
      </c>
      <c r="H126" s="82" t="str">
        <f aca="false">IF(A126&lt;&gt;"",SUMIF('Trade Log'!$B$5:$B$1004,A126,'Trade Log'!$T$5:$T$1004),"")</f>
        <v/>
      </c>
      <c r="I126" s="83" t="str">
        <f aca="false">IF(A126&lt;&gt;"",IFERROR(SUMIF('Trade Log'!$B$5:$B$1004,A126,'Trade Log'!$R$5:$R$1004)/SUMIF('Trade Log'!$B$5:$B$1004,A126,'Trade Log'!$Q$5:$Q$1004)-1,""),"")</f>
        <v/>
      </c>
      <c r="J126" s="84" t="str">
        <f aca="false">IF(A126&lt;&gt;"",SUMIF('Trade Log'!$B$5:$B$1004,A126,'Trade Log'!$V$5:$V$1004),"")</f>
        <v/>
      </c>
      <c r="K126" s="85" t="str">
        <f aca="false">IF(A126&lt;&gt;"",IFERROR(SUMIF('Trade Log'!$B$5:$B$1004,A126,'Trade Log'!$V$5:$V$1004)/SUMIF('Trade Log'!$B$5:$B$1004,A126,'Trade Log'!$Q$5:$Q$1004),""),"")</f>
        <v/>
      </c>
      <c r="L126" s="86" t="str">
        <f aca="false">IF(A126&lt;&gt;"",IFERROR(SUMIFS('Trade Log'!$L$5:$L$1004,'Trade Log'!$B$5:$B$1004,A126,'Trade Log'!$E$5:$E$1004,""),0),"")</f>
        <v/>
      </c>
      <c r="M126" s="87" t="str">
        <f aca="false">IF(A126&lt;&gt;"",IFERROR(INDEX('Trade Log'!$AB$5:$AB$1004,MATCH(2,1/('Trade Log'!$B$5:$B$1004=A126),1)),""),"")</f>
        <v/>
      </c>
    </row>
    <row r="127" customFormat="false" ht="19.5" hidden="false" customHeight="true" outlineLevel="0" collapsed="false">
      <c r="A127" s="88"/>
      <c r="B127" s="68" t="str">
        <f aca="false">IF(A127&lt;&gt;"",IFERROR(INDEX('Trade Log'!$G$5:$G$1004,MATCH(A127,'Trade Log'!$B$5:$B$1004,0)),""),"")</f>
        <v/>
      </c>
      <c r="C127" s="69" t="str">
        <f aca="false">IF(A127&lt;&gt;"",IFERROR(INDEX('Trade Log'!$I$5:$I$1004,MATCH(A127,'Trade Log'!$B$5:$B$1004,0)),""),"")</f>
        <v/>
      </c>
      <c r="D127" s="67" t="str">
        <f aca="false">IF(A127&lt;&gt;"",COUNTIF('Trade Log'!$B$5:$B$1004,A127),"")</f>
        <v/>
      </c>
      <c r="E127" s="67" t="str">
        <f aca="false">IF(A127&lt;&gt;"",SUMIF('Trade Log'!$B$5:$B$1004,A127,'Trade Log'!$L$5:$L$1004),"")</f>
        <v/>
      </c>
      <c r="F127" s="70" t="str">
        <f aca="false">IF(A127&lt;&gt;"",SUMIF('Trade Log'!$B$5:$B$1004,A127,'Trade Log'!$Q$5:$Q$1004),"")</f>
        <v/>
      </c>
      <c r="G127" s="70" t="str">
        <f aca="false">IF(A127&lt;&gt;"",SUMIF('Trade Log'!$B$5:$B$1004,A127,'Trade Log'!$R$5:$R$1004),"")</f>
        <v/>
      </c>
      <c r="H127" s="71" t="str">
        <f aca="false">IF(A127&lt;&gt;"",SUMIF('Trade Log'!$B$5:$B$1004,A127,'Trade Log'!$T$5:$T$1004),"")</f>
        <v/>
      </c>
      <c r="I127" s="72" t="str">
        <f aca="false">IF(A127&lt;&gt;"",IFERROR(SUMIF('Trade Log'!$B$5:$B$1004,A127,'Trade Log'!$R$5:$R$1004)/SUMIF('Trade Log'!$B$5:$B$1004,A127,'Trade Log'!$Q$5:$Q$1004)-1,""),"")</f>
        <v/>
      </c>
      <c r="J127" s="73" t="str">
        <f aca="false">IF(A127&lt;&gt;"",SUMIF('Trade Log'!$B$5:$B$1004,A127,'Trade Log'!$V$5:$V$1004),"")</f>
        <v/>
      </c>
      <c r="K127" s="74" t="str">
        <f aca="false">IF(A127&lt;&gt;"",IFERROR(SUMIF('Trade Log'!$B$5:$B$1004,A127,'Trade Log'!$V$5:$V$1004)/SUMIF('Trade Log'!$B$5:$B$1004,A127,'Trade Log'!$Q$5:$Q$1004),""),"")</f>
        <v/>
      </c>
      <c r="L127" s="75" t="str">
        <f aca="false">IF(A127&lt;&gt;"",IFERROR(SUMIFS('Trade Log'!$L$5:$L$1004,'Trade Log'!$B$5:$B$1004,A127,'Trade Log'!$E$5:$E$1004,""),0),"")</f>
        <v/>
      </c>
      <c r="M127" s="76" t="str">
        <f aca="false">IF(A127&lt;&gt;"",IFERROR(INDEX('Trade Log'!$AB$5:$AB$1004,MATCH(2,1/('Trade Log'!$B$5:$B$1004=A127),1)),""),"")</f>
        <v/>
      </c>
    </row>
    <row r="128" customFormat="false" ht="19.5" hidden="false" customHeight="true" outlineLevel="0" collapsed="false">
      <c r="A128" s="77"/>
      <c r="B128" s="78" t="str">
        <f aca="false">IF(A128&lt;&gt;"",IFERROR(INDEX('Trade Log'!$G$5:$G$1004,MATCH(A128,'Trade Log'!$B$5:$B$1004,0)),""),"")</f>
        <v/>
      </c>
      <c r="C128" s="79" t="str">
        <f aca="false">IF(A128&lt;&gt;"",IFERROR(INDEX('Trade Log'!$I$5:$I$1004,MATCH(A128,'Trade Log'!$B$5:$B$1004,0)),""),"")</f>
        <v/>
      </c>
      <c r="D128" s="80" t="str">
        <f aca="false">IF(A128&lt;&gt;"",COUNTIF('Trade Log'!$B$5:$B$1004,A128),"")</f>
        <v/>
      </c>
      <c r="E128" s="80" t="str">
        <f aca="false">IF(A128&lt;&gt;"",SUMIF('Trade Log'!$B$5:$B$1004,A128,'Trade Log'!$L$5:$L$1004),"")</f>
        <v/>
      </c>
      <c r="F128" s="81" t="str">
        <f aca="false">IF(A128&lt;&gt;"",SUMIF('Trade Log'!$B$5:$B$1004,A128,'Trade Log'!$Q$5:$Q$1004),"")</f>
        <v/>
      </c>
      <c r="G128" s="81" t="str">
        <f aca="false">IF(A128&lt;&gt;"",SUMIF('Trade Log'!$B$5:$B$1004,A128,'Trade Log'!$R$5:$R$1004),"")</f>
        <v/>
      </c>
      <c r="H128" s="82" t="str">
        <f aca="false">IF(A128&lt;&gt;"",SUMIF('Trade Log'!$B$5:$B$1004,A128,'Trade Log'!$T$5:$T$1004),"")</f>
        <v/>
      </c>
      <c r="I128" s="83" t="str">
        <f aca="false">IF(A128&lt;&gt;"",IFERROR(SUMIF('Trade Log'!$B$5:$B$1004,A128,'Trade Log'!$R$5:$R$1004)/SUMIF('Trade Log'!$B$5:$B$1004,A128,'Trade Log'!$Q$5:$Q$1004)-1,""),"")</f>
        <v/>
      </c>
      <c r="J128" s="84" t="str">
        <f aca="false">IF(A128&lt;&gt;"",SUMIF('Trade Log'!$B$5:$B$1004,A128,'Trade Log'!$V$5:$V$1004),"")</f>
        <v/>
      </c>
      <c r="K128" s="85" t="str">
        <f aca="false">IF(A128&lt;&gt;"",IFERROR(SUMIF('Trade Log'!$B$5:$B$1004,A128,'Trade Log'!$V$5:$V$1004)/SUMIF('Trade Log'!$B$5:$B$1004,A128,'Trade Log'!$Q$5:$Q$1004),""),"")</f>
        <v/>
      </c>
      <c r="L128" s="86" t="str">
        <f aca="false">IF(A128&lt;&gt;"",IFERROR(SUMIFS('Trade Log'!$L$5:$L$1004,'Trade Log'!$B$5:$B$1004,A128,'Trade Log'!$E$5:$E$1004,""),0),"")</f>
        <v/>
      </c>
      <c r="M128" s="87" t="str">
        <f aca="false">IF(A128&lt;&gt;"",IFERROR(INDEX('Trade Log'!$AB$5:$AB$1004,MATCH(2,1/('Trade Log'!$B$5:$B$1004=A128),1)),""),"")</f>
        <v/>
      </c>
    </row>
    <row r="129" customFormat="false" ht="19.5" hidden="false" customHeight="true" outlineLevel="0" collapsed="false">
      <c r="A129" s="88"/>
      <c r="B129" s="68" t="str">
        <f aca="false">IF(A129&lt;&gt;"",IFERROR(INDEX('Trade Log'!$G$5:$G$1004,MATCH(A129,'Trade Log'!$B$5:$B$1004,0)),""),"")</f>
        <v/>
      </c>
      <c r="C129" s="69" t="str">
        <f aca="false">IF(A129&lt;&gt;"",IFERROR(INDEX('Trade Log'!$I$5:$I$1004,MATCH(A129,'Trade Log'!$B$5:$B$1004,0)),""),"")</f>
        <v/>
      </c>
      <c r="D129" s="67" t="str">
        <f aca="false">IF(A129&lt;&gt;"",COUNTIF('Trade Log'!$B$5:$B$1004,A129),"")</f>
        <v/>
      </c>
      <c r="E129" s="67" t="str">
        <f aca="false">IF(A129&lt;&gt;"",SUMIF('Trade Log'!$B$5:$B$1004,A129,'Trade Log'!$L$5:$L$1004),"")</f>
        <v/>
      </c>
      <c r="F129" s="70" t="str">
        <f aca="false">IF(A129&lt;&gt;"",SUMIF('Trade Log'!$B$5:$B$1004,A129,'Trade Log'!$Q$5:$Q$1004),"")</f>
        <v/>
      </c>
      <c r="G129" s="70" t="str">
        <f aca="false">IF(A129&lt;&gt;"",SUMIF('Trade Log'!$B$5:$B$1004,A129,'Trade Log'!$R$5:$R$1004),"")</f>
        <v/>
      </c>
      <c r="H129" s="71" t="str">
        <f aca="false">IF(A129&lt;&gt;"",SUMIF('Trade Log'!$B$5:$B$1004,A129,'Trade Log'!$T$5:$T$1004),"")</f>
        <v/>
      </c>
      <c r="I129" s="72" t="str">
        <f aca="false">IF(A129&lt;&gt;"",IFERROR(SUMIF('Trade Log'!$B$5:$B$1004,A129,'Trade Log'!$R$5:$R$1004)/SUMIF('Trade Log'!$B$5:$B$1004,A129,'Trade Log'!$Q$5:$Q$1004)-1,""),"")</f>
        <v/>
      </c>
      <c r="J129" s="73" t="str">
        <f aca="false">IF(A129&lt;&gt;"",SUMIF('Trade Log'!$B$5:$B$1004,A129,'Trade Log'!$V$5:$V$1004),"")</f>
        <v/>
      </c>
      <c r="K129" s="74" t="str">
        <f aca="false">IF(A129&lt;&gt;"",IFERROR(SUMIF('Trade Log'!$B$5:$B$1004,A129,'Trade Log'!$V$5:$V$1004)/SUMIF('Trade Log'!$B$5:$B$1004,A129,'Trade Log'!$Q$5:$Q$1004),""),"")</f>
        <v/>
      </c>
      <c r="L129" s="75" t="str">
        <f aca="false">IF(A129&lt;&gt;"",IFERROR(SUMIFS('Trade Log'!$L$5:$L$1004,'Trade Log'!$B$5:$B$1004,A129,'Trade Log'!$E$5:$E$1004,""),0),"")</f>
        <v/>
      </c>
      <c r="M129" s="76" t="str">
        <f aca="false">IF(A129&lt;&gt;"",IFERROR(INDEX('Trade Log'!$AB$5:$AB$1004,MATCH(2,1/('Trade Log'!$B$5:$B$1004=A129),1)),""),"")</f>
        <v/>
      </c>
    </row>
    <row r="130" customFormat="false" ht="19.5" hidden="false" customHeight="true" outlineLevel="0" collapsed="false">
      <c r="A130" s="77"/>
      <c r="B130" s="78" t="str">
        <f aca="false">IF(A130&lt;&gt;"",IFERROR(INDEX('Trade Log'!$G$5:$G$1004,MATCH(A130,'Trade Log'!$B$5:$B$1004,0)),""),"")</f>
        <v/>
      </c>
      <c r="C130" s="79" t="str">
        <f aca="false">IF(A130&lt;&gt;"",IFERROR(INDEX('Trade Log'!$I$5:$I$1004,MATCH(A130,'Trade Log'!$B$5:$B$1004,0)),""),"")</f>
        <v/>
      </c>
      <c r="D130" s="80" t="str">
        <f aca="false">IF(A130&lt;&gt;"",COUNTIF('Trade Log'!$B$5:$B$1004,A130),"")</f>
        <v/>
      </c>
      <c r="E130" s="80" t="str">
        <f aca="false">IF(A130&lt;&gt;"",SUMIF('Trade Log'!$B$5:$B$1004,A130,'Trade Log'!$L$5:$L$1004),"")</f>
        <v/>
      </c>
      <c r="F130" s="81" t="str">
        <f aca="false">IF(A130&lt;&gt;"",SUMIF('Trade Log'!$B$5:$B$1004,A130,'Trade Log'!$Q$5:$Q$1004),"")</f>
        <v/>
      </c>
      <c r="G130" s="81" t="str">
        <f aca="false">IF(A130&lt;&gt;"",SUMIF('Trade Log'!$B$5:$B$1004,A130,'Trade Log'!$R$5:$R$1004),"")</f>
        <v/>
      </c>
      <c r="H130" s="82" t="str">
        <f aca="false">IF(A130&lt;&gt;"",SUMIF('Trade Log'!$B$5:$B$1004,A130,'Trade Log'!$T$5:$T$1004),"")</f>
        <v/>
      </c>
      <c r="I130" s="83" t="str">
        <f aca="false">IF(A130&lt;&gt;"",IFERROR(SUMIF('Trade Log'!$B$5:$B$1004,A130,'Trade Log'!$R$5:$R$1004)/SUMIF('Trade Log'!$B$5:$B$1004,A130,'Trade Log'!$Q$5:$Q$1004)-1,""),"")</f>
        <v/>
      </c>
      <c r="J130" s="84" t="str">
        <f aca="false">IF(A130&lt;&gt;"",SUMIF('Trade Log'!$B$5:$B$1004,A130,'Trade Log'!$V$5:$V$1004),"")</f>
        <v/>
      </c>
      <c r="K130" s="85" t="str">
        <f aca="false">IF(A130&lt;&gt;"",IFERROR(SUMIF('Trade Log'!$B$5:$B$1004,A130,'Trade Log'!$V$5:$V$1004)/SUMIF('Trade Log'!$B$5:$B$1004,A130,'Trade Log'!$Q$5:$Q$1004),""),"")</f>
        <v/>
      </c>
      <c r="L130" s="86" t="str">
        <f aca="false">IF(A130&lt;&gt;"",IFERROR(SUMIFS('Trade Log'!$L$5:$L$1004,'Trade Log'!$B$5:$B$1004,A130,'Trade Log'!$E$5:$E$1004,""),0),"")</f>
        <v/>
      </c>
      <c r="M130" s="87" t="str">
        <f aca="false">IF(A130&lt;&gt;"",IFERROR(INDEX('Trade Log'!$AB$5:$AB$1004,MATCH(2,1/('Trade Log'!$B$5:$B$1004=A130),1)),""),"")</f>
        <v/>
      </c>
    </row>
    <row r="131" customFormat="false" ht="19.5" hidden="false" customHeight="true" outlineLevel="0" collapsed="false">
      <c r="A131" s="88"/>
      <c r="B131" s="68" t="str">
        <f aca="false">IF(A131&lt;&gt;"",IFERROR(INDEX('Trade Log'!$G$5:$G$1004,MATCH(A131,'Trade Log'!$B$5:$B$1004,0)),""),"")</f>
        <v/>
      </c>
      <c r="C131" s="69" t="str">
        <f aca="false">IF(A131&lt;&gt;"",IFERROR(INDEX('Trade Log'!$I$5:$I$1004,MATCH(A131,'Trade Log'!$B$5:$B$1004,0)),""),"")</f>
        <v/>
      </c>
      <c r="D131" s="67" t="str">
        <f aca="false">IF(A131&lt;&gt;"",COUNTIF('Trade Log'!$B$5:$B$1004,A131),"")</f>
        <v/>
      </c>
      <c r="E131" s="67" t="str">
        <f aca="false">IF(A131&lt;&gt;"",SUMIF('Trade Log'!$B$5:$B$1004,A131,'Trade Log'!$L$5:$L$1004),"")</f>
        <v/>
      </c>
      <c r="F131" s="70" t="str">
        <f aca="false">IF(A131&lt;&gt;"",SUMIF('Trade Log'!$B$5:$B$1004,A131,'Trade Log'!$Q$5:$Q$1004),"")</f>
        <v/>
      </c>
      <c r="G131" s="70" t="str">
        <f aca="false">IF(A131&lt;&gt;"",SUMIF('Trade Log'!$B$5:$B$1004,A131,'Trade Log'!$R$5:$R$1004),"")</f>
        <v/>
      </c>
      <c r="H131" s="71" t="str">
        <f aca="false">IF(A131&lt;&gt;"",SUMIF('Trade Log'!$B$5:$B$1004,A131,'Trade Log'!$T$5:$T$1004),"")</f>
        <v/>
      </c>
      <c r="I131" s="72" t="str">
        <f aca="false">IF(A131&lt;&gt;"",IFERROR(SUMIF('Trade Log'!$B$5:$B$1004,A131,'Trade Log'!$R$5:$R$1004)/SUMIF('Trade Log'!$B$5:$B$1004,A131,'Trade Log'!$Q$5:$Q$1004)-1,""),"")</f>
        <v/>
      </c>
      <c r="J131" s="73" t="str">
        <f aca="false">IF(A131&lt;&gt;"",SUMIF('Trade Log'!$B$5:$B$1004,A131,'Trade Log'!$V$5:$V$1004),"")</f>
        <v/>
      </c>
      <c r="K131" s="74" t="str">
        <f aca="false">IF(A131&lt;&gt;"",IFERROR(SUMIF('Trade Log'!$B$5:$B$1004,A131,'Trade Log'!$V$5:$V$1004)/SUMIF('Trade Log'!$B$5:$B$1004,A131,'Trade Log'!$Q$5:$Q$1004),""),"")</f>
        <v/>
      </c>
      <c r="L131" s="75" t="str">
        <f aca="false">IF(A131&lt;&gt;"",IFERROR(SUMIFS('Trade Log'!$L$5:$L$1004,'Trade Log'!$B$5:$B$1004,A131,'Trade Log'!$E$5:$E$1004,""),0),"")</f>
        <v/>
      </c>
      <c r="M131" s="76" t="str">
        <f aca="false">IF(A131&lt;&gt;"",IFERROR(INDEX('Trade Log'!$AB$5:$AB$1004,MATCH(2,1/('Trade Log'!$B$5:$B$1004=A131),1)),""),"")</f>
        <v/>
      </c>
    </row>
    <row r="132" customFormat="false" ht="19.5" hidden="false" customHeight="true" outlineLevel="0" collapsed="false">
      <c r="A132" s="77"/>
      <c r="B132" s="78" t="str">
        <f aca="false">IF(A132&lt;&gt;"",IFERROR(INDEX('Trade Log'!$G$5:$G$1004,MATCH(A132,'Trade Log'!$B$5:$B$1004,0)),""),"")</f>
        <v/>
      </c>
      <c r="C132" s="79" t="str">
        <f aca="false">IF(A132&lt;&gt;"",IFERROR(INDEX('Trade Log'!$I$5:$I$1004,MATCH(A132,'Trade Log'!$B$5:$B$1004,0)),""),"")</f>
        <v/>
      </c>
      <c r="D132" s="80" t="str">
        <f aca="false">IF(A132&lt;&gt;"",COUNTIF('Trade Log'!$B$5:$B$1004,A132),"")</f>
        <v/>
      </c>
      <c r="E132" s="80" t="str">
        <f aca="false">IF(A132&lt;&gt;"",SUMIF('Trade Log'!$B$5:$B$1004,A132,'Trade Log'!$L$5:$L$1004),"")</f>
        <v/>
      </c>
      <c r="F132" s="81" t="str">
        <f aca="false">IF(A132&lt;&gt;"",SUMIF('Trade Log'!$B$5:$B$1004,A132,'Trade Log'!$Q$5:$Q$1004),"")</f>
        <v/>
      </c>
      <c r="G132" s="81" t="str">
        <f aca="false">IF(A132&lt;&gt;"",SUMIF('Trade Log'!$B$5:$B$1004,A132,'Trade Log'!$R$5:$R$1004),"")</f>
        <v/>
      </c>
      <c r="H132" s="82" t="str">
        <f aca="false">IF(A132&lt;&gt;"",SUMIF('Trade Log'!$B$5:$B$1004,A132,'Trade Log'!$T$5:$T$1004),"")</f>
        <v/>
      </c>
      <c r="I132" s="83" t="str">
        <f aca="false">IF(A132&lt;&gt;"",IFERROR(SUMIF('Trade Log'!$B$5:$B$1004,A132,'Trade Log'!$R$5:$R$1004)/SUMIF('Trade Log'!$B$5:$B$1004,A132,'Trade Log'!$Q$5:$Q$1004)-1,""),"")</f>
        <v/>
      </c>
      <c r="J132" s="84" t="str">
        <f aca="false">IF(A132&lt;&gt;"",SUMIF('Trade Log'!$B$5:$B$1004,A132,'Trade Log'!$V$5:$V$1004),"")</f>
        <v/>
      </c>
      <c r="K132" s="85" t="str">
        <f aca="false">IF(A132&lt;&gt;"",IFERROR(SUMIF('Trade Log'!$B$5:$B$1004,A132,'Trade Log'!$V$5:$V$1004)/SUMIF('Trade Log'!$B$5:$B$1004,A132,'Trade Log'!$Q$5:$Q$1004),""),"")</f>
        <v/>
      </c>
      <c r="L132" s="86" t="str">
        <f aca="false">IF(A132&lt;&gt;"",IFERROR(SUMIFS('Trade Log'!$L$5:$L$1004,'Trade Log'!$B$5:$B$1004,A132,'Trade Log'!$E$5:$E$1004,""),0),"")</f>
        <v/>
      </c>
      <c r="M132" s="87" t="str">
        <f aca="false">IF(A132&lt;&gt;"",IFERROR(INDEX('Trade Log'!$AB$5:$AB$1004,MATCH(2,1/('Trade Log'!$B$5:$B$1004=A132),1)),""),"")</f>
        <v/>
      </c>
    </row>
    <row r="133" customFormat="false" ht="19.5" hidden="false" customHeight="true" outlineLevel="0" collapsed="false">
      <c r="A133" s="88"/>
      <c r="B133" s="68" t="str">
        <f aca="false">IF(A133&lt;&gt;"",IFERROR(INDEX('Trade Log'!$G$5:$G$1004,MATCH(A133,'Trade Log'!$B$5:$B$1004,0)),""),"")</f>
        <v/>
      </c>
      <c r="C133" s="69" t="str">
        <f aca="false">IF(A133&lt;&gt;"",IFERROR(INDEX('Trade Log'!$I$5:$I$1004,MATCH(A133,'Trade Log'!$B$5:$B$1004,0)),""),"")</f>
        <v/>
      </c>
      <c r="D133" s="67" t="str">
        <f aca="false">IF(A133&lt;&gt;"",COUNTIF('Trade Log'!$B$5:$B$1004,A133),"")</f>
        <v/>
      </c>
      <c r="E133" s="67" t="str">
        <f aca="false">IF(A133&lt;&gt;"",SUMIF('Trade Log'!$B$5:$B$1004,A133,'Trade Log'!$L$5:$L$1004),"")</f>
        <v/>
      </c>
      <c r="F133" s="70" t="str">
        <f aca="false">IF(A133&lt;&gt;"",SUMIF('Trade Log'!$B$5:$B$1004,A133,'Trade Log'!$Q$5:$Q$1004),"")</f>
        <v/>
      </c>
      <c r="G133" s="70" t="str">
        <f aca="false">IF(A133&lt;&gt;"",SUMIF('Trade Log'!$B$5:$B$1004,A133,'Trade Log'!$R$5:$R$1004),"")</f>
        <v/>
      </c>
      <c r="H133" s="71" t="str">
        <f aca="false">IF(A133&lt;&gt;"",SUMIF('Trade Log'!$B$5:$B$1004,A133,'Trade Log'!$T$5:$T$1004),"")</f>
        <v/>
      </c>
      <c r="I133" s="72" t="str">
        <f aca="false">IF(A133&lt;&gt;"",IFERROR(SUMIF('Trade Log'!$B$5:$B$1004,A133,'Trade Log'!$R$5:$R$1004)/SUMIF('Trade Log'!$B$5:$B$1004,A133,'Trade Log'!$Q$5:$Q$1004)-1,""),"")</f>
        <v/>
      </c>
      <c r="J133" s="73" t="str">
        <f aca="false">IF(A133&lt;&gt;"",SUMIF('Trade Log'!$B$5:$B$1004,A133,'Trade Log'!$V$5:$V$1004),"")</f>
        <v/>
      </c>
      <c r="K133" s="74" t="str">
        <f aca="false">IF(A133&lt;&gt;"",IFERROR(SUMIF('Trade Log'!$B$5:$B$1004,A133,'Trade Log'!$V$5:$V$1004)/SUMIF('Trade Log'!$B$5:$B$1004,A133,'Trade Log'!$Q$5:$Q$1004),""),"")</f>
        <v/>
      </c>
      <c r="L133" s="75" t="str">
        <f aca="false">IF(A133&lt;&gt;"",IFERROR(SUMIFS('Trade Log'!$L$5:$L$1004,'Trade Log'!$B$5:$B$1004,A133,'Trade Log'!$E$5:$E$1004,""),0),"")</f>
        <v/>
      </c>
      <c r="M133" s="76" t="str">
        <f aca="false">IF(A133&lt;&gt;"",IFERROR(INDEX('Trade Log'!$AB$5:$AB$1004,MATCH(2,1/('Trade Log'!$B$5:$B$1004=A133),1)),""),"")</f>
        <v/>
      </c>
    </row>
    <row r="134" customFormat="false" ht="19.5" hidden="false" customHeight="true" outlineLevel="0" collapsed="false">
      <c r="A134" s="77"/>
      <c r="B134" s="78" t="str">
        <f aca="false">IF(A134&lt;&gt;"",IFERROR(INDEX('Trade Log'!$G$5:$G$1004,MATCH(A134,'Trade Log'!$B$5:$B$1004,0)),""),"")</f>
        <v/>
      </c>
      <c r="C134" s="79" t="str">
        <f aca="false">IF(A134&lt;&gt;"",IFERROR(INDEX('Trade Log'!$I$5:$I$1004,MATCH(A134,'Trade Log'!$B$5:$B$1004,0)),""),"")</f>
        <v/>
      </c>
      <c r="D134" s="80" t="str">
        <f aca="false">IF(A134&lt;&gt;"",COUNTIF('Trade Log'!$B$5:$B$1004,A134),"")</f>
        <v/>
      </c>
      <c r="E134" s="80" t="str">
        <f aca="false">IF(A134&lt;&gt;"",SUMIF('Trade Log'!$B$5:$B$1004,A134,'Trade Log'!$L$5:$L$1004),"")</f>
        <v/>
      </c>
      <c r="F134" s="81" t="str">
        <f aca="false">IF(A134&lt;&gt;"",SUMIF('Trade Log'!$B$5:$B$1004,A134,'Trade Log'!$Q$5:$Q$1004),"")</f>
        <v/>
      </c>
      <c r="G134" s="81" t="str">
        <f aca="false">IF(A134&lt;&gt;"",SUMIF('Trade Log'!$B$5:$B$1004,A134,'Trade Log'!$R$5:$R$1004),"")</f>
        <v/>
      </c>
      <c r="H134" s="82" t="str">
        <f aca="false">IF(A134&lt;&gt;"",SUMIF('Trade Log'!$B$5:$B$1004,A134,'Trade Log'!$T$5:$T$1004),"")</f>
        <v/>
      </c>
      <c r="I134" s="83" t="str">
        <f aca="false">IF(A134&lt;&gt;"",IFERROR(SUMIF('Trade Log'!$B$5:$B$1004,A134,'Trade Log'!$R$5:$R$1004)/SUMIF('Trade Log'!$B$5:$B$1004,A134,'Trade Log'!$Q$5:$Q$1004)-1,""),"")</f>
        <v/>
      </c>
      <c r="J134" s="84" t="str">
        <f aca="false">IF(A134&lt;&gt;"",SUMIF('Trade Log'!$B$5:$B$1004,A134,'Trade Log'!$V$5:$V$1004),"")</f>
        <v/>
      </c>
      <c r="K134" s="85" t="str">
        <f aca="false">IF(A134&lt;&gt;"",IFERROR(SUMIF('Trade Log'!$B$5:$B$1004,A134,'Trade Log'!$V$5:$V$1004)/SUMIF('Trade Log'!$B$5:$B$1004,A134,'Trade Log'!$Q$5:$Q$1004),""),"")</f>
        <v/>
      </c>
      <c r="L134" s="86" t="str">
        <f aca="false">IF(A134&lt;&gt;"",IFERROR(SUMIFS('Trade Log'!$L$5:$L$1004,'Trade Log'!$B$5:$B$1004,A134,'Trade Log'!$E$5:$E$1004,""),0),"")</f>
        <v/>
      </c>
      <c r="M134" s="87" t="str">
        <f aca="false">IF(A134&lt;&gt;"",IFERROR(INDEX('Trade Log'!$AB$5:$AB$1004,MATCH(2,1/('Trade Log'!$B$5:$B$1004=A134),1)),""),"")</f>
        <v/>
      </c>
    </row>
    <row r="135" customFormat="false" ht="19.5" hidden="false" customHeight="true" outlineLevel="0" collapsed="false">
      <c r="A135" s="88"/>
      <c r="B135" s="68" t="str">
        <f aca="false">IF(A135&lt;&gt;"",IFERROR(INDEX('Trade Log'!$G$5:$G$1004,MATCH(A135,'Trade Log'!$B$5:$B$1004,0)),""),"")</f>
        <v/>
      </c>
      <c r="C135" s="69" t="str">
        <f aca="false">IF(A135&lt;&gt;"",IFERROR(INDEX('Trade Log'!$I$5:$I$1004,MATCH(A135,'Trade Log'!$B$5:$B$1004,0)),""),"")</f>
        <v/>
      </c>
      <c r="D135" s="67" t="str">
        <f aca="false">IF(A135&lt;&gt;"",COUNTIF('Trade Log'!$B$5:$B$1004,A135),"")</f>
        <v/>
      </c>
      <c r="E135" s="67" t="str">
        <f aca="false">IF(A135&lt;&gt;"",SUMIF('Trade Log'!$B$5:$B$1004,A135,'Trade Log'!$L$5:$L$1004),"")</f>
        <v/>
      </c>
      <c r="F135" s="70" t="str">
        <f aca="false">IF(A135&lt;&gt;"",SUMIF('Trade Log'!$B$5:$B$1004,A135,'Trade Log'!$Q$5:$Q$1004),"")</f>
        <v/>
      </c>
      <c r="G135" s="70" t="str">
        <f aca="false">IF(A135&lt;&gt;"",SUMIF('Trade Log'!$B$5:$B$1004,A135,'Trade Log'!$R$5:$R$1004),"")</f>
        <v/>
      </c>
      <c r="H135" s="71" t="str">
        <f aca="false">IF(A135&lt;&gt;"",SUMIF('Trade Log'!$B$5:$B$1004,A135,'Trade Log'!$T$5:$T$1004),"")</f>
        <v/>
      </c>
      <c r="I135" s="72" t="str">
        <f aca="false">IF(A135&lt;&gt;"",IFERROR(SUMIF('Trade Log'!$B$5:$B$1004,A135,'Trade Log'!$R$5:$R$1004)/SUMIF('Trade Log'!$B$5:$B$1004,A135,'Trade Log'!$Q$5:$Q$1004)-1,""),"")</f>
        <v/>
      </c>
      <c r="J135" s="73" t="str">
        <f aca="false">IF(A135&lt;&gt;"",SUMIF('Trade Log'!$B$5:$B$1004,A135,'Trade Log'!$V$5:$V$1004),"")</f>
        <v/>
      </c>
      <c r="K135" s="74" t="str">
        <f aca="false">IF(A135&lt;&gt;"",IFERROR(SUMIF('Trade Log'!$B$5:$B$1004,A135,'Trade Log'!$V$5:$V$1004)/SUMIF('Trade Log'!$B$5:$B$1004,A135,'Trade Log'!$Q$5:$Q$1004),""),"")</f>
        <v/>
      </c>
      <c r="L135" s="75" t="str">
        <f aca="false">IF(A135&lt;&gt;"",IFERROR(SUMIFS('Trade Log'!$L$5:$L$1004,'Trade Log'!$B$5:$B$1004,A135,'Trade Log'!$E$5:$E$1004,""),0),"")</f>
        <v/>
      </c>
      <c r="M135" s="76" t="str">
        <f aca="false">IF(A135&lt;&gt;"",IFERROR(INDEX('Trade Log'!$AB$5:$AB$1004,MATCH(2,1/('Trade Log'!$B$5:$B$1004=A135),1)),""),"")</f>
        <v/>
      </c>
    </row>
    <row r="136" customFormat="false" ht="19.5" hidden="false" customHeight="true" outlineLevel="0" collapsed="false">
      <c r="A136" s="77"/>
      <c r="B136" s="78" t="str">
        <f aca="false">IF(A136&lt;&gt;"",IFERROR(INDEX('Trade Log'!$G$5:$G$1004,MATCH(A136,'Trade Log'!$B$5:$B$1004,0)),""),"")</f>
        <v/>
      </c>
      <c r="C136" s="79" t="str">
        <f aca="false">IF(A136&lt;&gt;"",IFERROR(INDEX('Trade Log'!$I$5:$I$1004,MATCH(A136,'Trade Log'!$B$5:$B$1004,0)),""),"")</f>
        <v/>
      </c>
      <c r="D136" s="80" t="str">
        <f aca="false">IF(A136&lt;&gt;"",COUNTIF('Trade Log'!$B$5:$B$1004,A136),"")</f>
        <v/>
      </c>
      <c r="E136" s="80" t="str">
        <f aca="false">IF(A136&lt;&gt;"",SUMIF('Trade Log'!$B$5:$B$1004,A136,'Trade Log'!$L$5:$L$1004),"")</f>
        <v/>
      </c>
      <c r="F136" s="81" t="str">
        <f aca="false">IF(A136&lt;&gt;"",SUMIF('Trade Log'!$B$5:$B$1004,A136,'Trade Log'!$Q$5:$Q$1004),"")</f>
        <v/>
      </c>
      <c r="G136" s="81" t="str">
        <f aca="false">IF(A136&lt;&gt;"",SUMIF('Trade Log'!$B$5:$B$1004,A136,'Trade Log'!$R$5:$R$1004),"")</f>
        <v/>
      </c>
      <c r="H136" s="82" t="str">
        <f aca="false">IF(A136&lt;&gt;"",SUMIF('Trade Log'!$B$5:$B$1004,A136,'Trade Log'!$T$5:$T$1004),"")</f>
        <v/>
      </c>
      <c r="I136" s="83" t="str">
        <f aca="false">IF(A136&lt;&gt;"",IFERROR(SUMIF('Trade Log'!$B$5:$B$1004,A136,'Trade Log'!$R$5:$R$1004)/SUMIF('Trade Log'!$B$5:$B$1004,A136,'Trade Log'!$Q$5:$Q$1004)-1,""),"")</f>
        <v/>
      </c>
      <c r="J136" s="84" t="str">
        <f aca="false">IF(A136&lt;&gt;"",SUMIF('Trade Log'!$B$5:$B$1004,A136,'Trade Log'!$V$5:$V$1004),"")</f>
        <v/>
      </c>
      <c r="K136" s="85" t="str">
        <f aca="false">IF(A136&lt;&gt;"",IFERROR(SUMIF('Trade Log'!$B$5:$B$1004,A136,'Trade Log'!$V$5:$V$1004)/SUMIF('Trade Log'!$B$5:$B$1004,A136,'Trade Log'!$Q$5:$Q$1004),""),"")</f>
        <v/>
      </c>
      <c r="L136" s="86" t="str">
        <f aca="false">IF(A136&lt;&gt;"",IFERROR(SUMIFS('Trade Log'!$L$5:$L$1004,'Trade Log'!$B$5:$B$1004,A136,'Trade Log'!$E$5:$E$1004,""),0),"")</f>
        <v/>
      </c>
      <c r="M136" s="87" t="str">
        <f aca="false">IF(A136&lt;&gt;"",IFERROR(INDEX('Trade Log'!$AB$5:$AB$1004,MATCH(2,1/('Trade Log'!$B$5:$B$1004=A136),1)),""),"")</f>
        <v/>
      </c>
    </row>
    <row r="137" customFormat="false" ht="19.5" hidden="false" customHeight="true" outlineLevel="0" collapsed="false">
      <c r="A137" s="88"/>
      <c r="B137" s="68" t="str">
        <f aca="false">IF(A137&lt;&gt;"",IFERROR(INDEX('Trade Log'!$G$5:$G$1004,MATCH(A137,'Trade Log'!$B$5:$B$1004,0)),""),"")</f>
        <v/>
      </c>
      <c r="C137" s="69" t="str">
        <f aca="false">IF(A137&lt;&gt;"",IFERROR(INDEX('Trade Log'!$I$5:$I$1004,MATCH(A137,'Trade Log'!$B$5:$B$1004,0)),""),"")</f>
        <v/>
      </c>
      <c r="D137" s="67" t="str">
        <f aca="false">IF(A137&lt;&gt;"",COUNTIF('Trade Log'!$B$5:$B$1004,A137),"")</f>
        <v/>
      </c>
      <c r="E137" s="67" t="str">
        <f aca="false">IF(A137&lt;&gt;"",SUMIF('Trade Log'!$B$5:$B$1004,A137,'Trade Log'!$L$5:$L$1004),"")</f>
        <v/>
      </c>
      <c r="F137" s="70" t="str">
        <f aca="false">IF(A137&lt;&gt;"",SUMIF('Trade Log'!$B$5:$B$1004,A137,'Trade Log'!$Q$5:$Q$1004),"")</f>
        <v/>
      </c>
      <c r="G137" s="70" t="str">
        <f aca="false">IF(A137&lt;&gt;"",SUMIF('Trade Log'!$B$5:$B$1004,A137,'Trade Log'!$R$5:$R$1004),"")</f>
        <v/>
      </c>
      <c r="H137" s="71" t="str">
        <f aca="false">IF(A137&lt;&gt;"",SUMIF('Trade Log'!$B$5:$B$1004,A137,'Trade Log'!$T$5:$T$1004),"")</f>
        <v/>
      </c>
      <c r="I137" s="72" t="str">
        <f aca="false">IF(A137&lt;&gt;"",IFERROR(SUMIF('Trade Log'!$B$5:$B$1004,A137,'Trade Log'!$R$5:$R$1004)/SUMIF('Trade Log'!$B$5:$B$1004,A137,'Trade Log'!$Q$5:$Q$1004)-1,""),"")</f>
        <v/>
      </c>
      <c r="J137" s="73" t="str">
        <f aca="false">IF(A137&lt;&gt;"",SUMIF('Trade Log'!$B$5:$B$1004,A137,'Trade Log'!$V$5:$V$1004),"")</f>
        <v/>
      </c>
      <c r="K137" s="74" t="str">
        <f aca="false">IF(A137&lt;&gt;"",IFERROR(SUMIF('Trade Log'!$B$5:$B$1004,A137,'Trade Log'!$V$5:$V$1004)/SUMIF('Trade Log'!$B$5:$B$1004,A137,'Trade Log'!$Q$5:$Q$1004),""),"")</f>
        <v/>
      </c>
      <c r="L137" s="75" t="str">
        <f aca="false">IF(A137&lt;&gt;"",IFERROR(SUMIFS('Trade Log'!$L$5:$L$1004,'Trade Log'!$B$5:$B$1004,A137,'Trade Log'!$E$5:$E$1004,""),0),"")</f>
        <v/>
      </c>
      <c r="M137" s="76" t="str">
        <f aca="false">IF(A137&lt;&gt;"",IFERROR(INDEX('Trade Log'!$AB$5:$AB$1004,MATCH(2,1/('Trade Log'!$B$5:$B$1004=A137),1)),""),"")</f>
        <v/>
      </c>
    </row>
    <row r="138" customFormat="false" ht="19.5" hidden="false" customHeight="true" outlineLevel="0" collapsed="false">
      <c r="A138" s="77"/>
      <c r="B138" s="78" t="str">
        <f aca="false">IF(A138&lt;&gt;"",IFERROR(INDEX('Trade Log'!$G$5:$G$1004,MATCH(A138,'Trade Log'!$B$5:$B$1004,0)),""),"")</f>
        <v/>
      </c>
      <c r="C138" s="79" t="str">
        <f aca="false">IF(A138&lt;&gt;"",IFERROR(INDEX('Trade Log'!$I$5:$I$1004,MATCH(A138,'Trade Log'!$B$5:$B$1004,0)),""),"")</f>
        <v/>
      </c>
      <c r="D138" s="80" t="str">
        <f aca="false">IF(A138&lt;&gt;"",COUNTIF('Trade Log'!$B$5:$B$1004,A138),"")</f>
        <v/>
      </c>
      <c r="E138" s="80" t="str">
        <f aca="false">IF(A138&lt;&gt;"",SUMIF('Trade Log'!$B$5:$B$1004,A138,'Trade Log'!$L$5:$L$1004),"")</f>
        <v/>
      </c>
      <c r="F138" s="81" t="str">
        <f aca="false">IF(A138&lt;&gt;"",SUMIF('Trade Log'!$B$5:$B$1004,A138,'Trade Log'!$Q$5:$Q$1004),"")</f>
        <v/>
      </c>
      <c r="G138" s="81" t="str">
        <f aca="false">IF(A138&lt;&gt;"",SUMIF('Trade Log'!$B$5:$B$1004,A138,'Trade Log'!$R$5:$R$1004),"")</f>
        <v/>
      </c>
      <c r="H138" s="82" t="str">
        <f aca="false">IF(A138&lt;&gt;"",SUMIF('Trade Log'!$B$5:$B$1004,A138,'Trade Log'!$T$5:$T$1004),"")</f>
        <v/>
      </c>
      <c r="I138" s="83" t="str">
        <f aca="false">IF(A138&lt;&gt;"",IFERROR(SUMIF('Trade Log'!$B$5:$B$1004,A138,'Trade Log'!$R$5:$R$1004)/SUMIF('Trade Log'!$B$5:$B$1004,A138,'Trade Log'!$Q$5:$Q$1004)-1,""),"")</f>
        <v/>
      </c>
      <c r="J138" s="84" t="str">
        <f aca="false">IF(A138&lt;&gt;"",SUMIF('Trade Log'!$B$5:$B$1004,A138,'Trade Log'!$V$5:$V$1004),"")</f>
        <v/>
      </c>
      <c r="K138" s="85" t="str">
        <f aca="false">IF(A138&lt;&gt;"",IFERROR(SUMIF('Trade Log'!$B$5:$B$1004,A138,'Trade Log'!$V$5:$V$1004)/SUMIF('Trade Log'!$B$5:$B$1004,A138,'Trade Log'!$Q$5:$Q$1004),""),"")</f>
        <v/>
      </c>
      <c r="L138" s="86" t="str">
        <f aca="false">IF(A138&lt;&gt;"",IFERROR(SUMIFS('Trade Log'!$L$5:$L$1004,'Trade Log'!$B$5:$B$1004,A138,'Trade Log'!$E$5:$E$1004,""),0),"")</f>
        <v/>
      </c>
      <c r="M138" s="87" t="str">
        <f aca="false">IF(A138&lt;&gt;"",IFERROR(INDEX('Trade Log'!$AB$5:$AB$1004,MATCH(2,1/('Trade Log'!$B$5:$B$1004=A138),1)),""),"")</f>
        <v/>
      </c>
    </row>
    <row r="139" customFormat="false" ht="19.5" hidden="false" customHeight="true" outlineLevel="0" collapsed="false">
      <c r="A139" s="88"/>
      <c r="B139" s="68" t="str">
        <f aca="false">IF(A139&lt;&gt;"",IFERROR(INDEX('Trade Log'!$G$5:$G$1004,MATCH(A139,'Trade Log'!$B$5:$B$1004,0)),""),"")</f>
        <v/>
      </c>
      <c r="C139" s="69" t="str">
        <f aca="false">IF(A139&lt;&gt;"",IFERROR(INDEX('Trade Log'!$I$5:$I$1004,MATCH(A139,'Trade Log'!$B$5:$B$1004,0)),""),"")</f>
        <v/>
      </c>
      <c r="D139" s="67" t="str">
        <f aca="false">IF(A139&lt;&gt;"",COUNTIF('Trade Log'!$B$5:$B$1004,A139),"")</f>
        <v/>
      </c>
      <c r="E139" s="67" t="str">
        <f aca="false">IF(A139&lt;&gt;"",SUMIF('Trade Log'!$B$5:$B$1004,A139,'Trade Log'!$L$5:$L$1004),"")</f>
        <v/>
      </c>
      <c r="F139" s="70" t="str">
        <f aca="false">IF(A139&lt;&gt;"",SUMIF('Trade Log'!$B$5:$B$1004,A139,'Trade Log'!$Q$5:$Q$1004),"")</f>
        <v/>
      </c>
      <c r="G139" s="70" t="str">
        <f aca="false">IF(A139&lt;&gt;"",SUMIF('Trade Log'!$B$5:$B$1004,A139,'Trade Log'!$R$5:$R$1004),"")</f>
        <v/>
      </c>
      <c r="H139" s="71" t="str">
        <f aca="false">IF(A139&lt;&gt;"",SUMIF('Trade Log'!$B$5:$B$1004,A139,'Trade Log'!$T$5:$T$1004),"")</f>
        <v/>
      </c>
      <c r="I139" s="72" t="str">
        <f aca="false">IF(A139&lt;&gt;"",IFERROR(SUMIF('Trade Log'!$B$5:$B$1004,A139,'Trade Log'!$R$5:$R$1004)/SUMIF('Trade Log'!$B$5:$B$1004,A139,'Trade Log'!$Q$5:$Q$1004)-1,""),"")</f>
        <v/>
      </c>
      <c r="J139" s="73" t="str">
        <f aca="false">IF(A139&lt;&gt;"",SUMIF('Trade Log'!$B$5:$B$1004,A139,'Trade Log'!$V$5:$V$1004),"")</f>
        <v/>
      </c>
      <c r="K139" s="74" t="str">
        <f aca="false">IF(A139&lt;&gt;"",IFERROR(SUMIF('Trade Log'!$B$5:$B$1004,A139,'Trade Log'!$V$5:$V$1004)/SUMIF('Trade Log'!$B$5:$B$1004,A139,'Trade Log'!$Q$5:$Q$1004),""),"")</f>
        <v/>
      </c>
      <c r="L139" s="75" t="str">
        <f aca="false">IF(A139&lt;&gt;"",IFERROR(SUMIFS('Trade Log'!$L$5:$L$1004,'Trade Log'!$B$5:$B$1004,A139,'Trade Log'!$E$5:$E$1004,""),0),"")</f>
        <v/>
      </c>
      <c r="M139" s="76" t="str">
        <f aca="false">IF(A139&lt;&gt;"",IFERROR(INDEX('Trade Log'!$AB$5:$AB$1004,MATCH(2,1/('Trade Log'!$B$5:$B$1004=A139),1)),""),"")</f>
        <v/>
      </c>
    </row>
    <row r="140" customFormat="false" ht="19.5" hidden="false" customHeight="true" outlineLevel="0" collapsed="false">
      <c r="A140" s="77"/>
      <c r="B140" s="78" t="str">
        <f aca="false">IF(A140&lt;&gt;"",IFERROR(INDEX('Trade Log'!$G$5:$G$1004,MATCH(A140,'Trade Log'!$B$5:$B$1004,0)),""),"")</f>
        <v/>
      </c>
      <c r="C140" s="79" t="str">
        <f aca="false">IF(A140&lt;&gt;"",IFERROR(INDEX('Trade Log'!$I$5:$I$1004,MATCH(A140,'Trade Log'!$B$5:$B$1004,0)),""),"")</f>
        <v/>
      </c>
      <c r="D140" s="80" t="str">
        <f aca="false">IF(A140&lt;&gt;"",COUNTIF('Trade Log'!$B$5:$B$1004,A140),"")</f>
        <v/>
      </c>
      <c r="E140" s="80" t="str">
        <f aca="false">IF(A140&lt;&gt;"",SUMIF('Trade Log'!$B$5:$B$1004,A140,'Trade Log'!$L$5:$L$1004),"")</f>
        <v/>
      </c>
      <c r="F140" s="81" t="str">
        <f aca="false">IF(A140&lt;&gt;"",SUMIF('Trade Log'!$B$5:$B$1004,A140,'Trade Log'!$Q$5:$Q$1004),"")</f>
        <v/>
      </c>
      <c r="G140" s="81" t="str">
        <f aca="false">IF(A140&lt;&gt;"",SUMIF('Trade Log'!$B$5:$B$1004,A140,'Trade Log'!$R$5:$R$1004),"")</f>
        <v/>
      </c>
      <c r="H140" s="82" t="str">
        <f aca="false">IF(A140&lt;&gt;"",SUMIF('Trade Log'!$B$5:$B$1004,A140,'Trade Log'!$T$5:$T$1004),"")</f>
        <v/>
      </c>
      <c r="I140" s="83" t="str">
        <f aca="false">IF(A140&lt;&gt;"",IFERROR(SUMIF('Trade Log'!$B$5:$B$1004,A140,'Trade Log'!$R$5:$R$1004)/SUMIF('Trade Log'!$B$5:$B$1004,A140,'Trade Log'!$Q$5:$Q$1004)-1,""),"")</f>
        <v/>
      </c>
      <c r="J140" s="84" t="str">
        <f aca="false">IF(A140&lt;&gt;"",SUMIF('Trade Log'!$B$5:$B$1004,A140,'Trade Log'!$V$5:$V$1004),"")</f>
        <v/>
      </c>
      <c r="K140" s="85" t="str">
        <f aca="false">IF(A140&lt;&gt;"",IFERROR(SUMIF('Trade Log'!$B$5:$B$1004,A140,'Trade Log'!$V$5:$V$1004)/SUMIF('Trade Log'!$B$5:$B$1004,A140,'Trade Log'!$Q$5:$Q$1004),""),"")</f>
        <v/>
      </c>
      <c r="L140" s="86" t="str">
        <f aca="false">IF(A140&lt;&gt;"",IFERROR(SUMIFS('Trade Log'!$L$5:$L$1004,'Trade Log'!$B$5:$B$1004,A140,'Trade Log'!$E$5:$E$1004,""),0),"")</f>
        <v/>
      </c>
      <c r="M140" s="87" t="str">
        <f aca="false">IF(A140&lt;&gt;"",IFERROR(INDEX('Trade Log'!$AB$5:$AB$1004,MATCH(2,1/('Trade Log'!$B$5:$B$1004=A140),1)),""),"")</f>
        <v/>
      </c>
    </row>
    <row r="141" customFormat="false" ht="19.5" hidden="false" customHeight="true" outlineLevel="0" collapsed="false">
      <c r="A141" s="88"/>
      <c r="B141" s="68" t="str">
        <f aca="false">IF(A141&lt;&gt;"",IFERROR(INDEX('Trade Log'!$G$5:$G$1004,MATCH(A141,'Trade Log'!$B$5:$B$1004,0)),""),"")</f>
        <v/>
      </c>
      <c r="C141" s="69" t="str">
        <f aca="false">IF(A141&lt;&gt;"",IFERROR(INDEX('Trade Log'!$I$5:$I$1004,MATCH(A141,'Trade Log'!$B$5:$B$1004,0)),""),"")</f>
        <v/>
      </c>
      <c r="D141" s="67" t="str">
        <f aca="false">IF(A141&lt;&gt;"",COUNTIF('Trade Log'!$B$5:$B$1004,A141),"")</f>
        <v/>
      </c>
      <c r="E141" s="67" t="str">
        <f aca="false">IF(A141&lt;&gt;"",SUMIF('Trade Log'!$B$5:$B$1004,A141,'Trade Log'!$L$5:$L$1004),"")</f>
        <v/>
      </c>
      <c r="F141" s="70" t="str">
        <f aca="false">IF(A141&lt;&gt;"",SUMIF('Trade Log'!$B$5:$B$1004,A141,'Trade Log'!$Q$5:$Q$1004),"")</f>
        <v/>
      </c>
      <c r="G141" s="70" t="str">
        <f aca="false">IF(A141&lt;&gt;"",SUMIF('Trade Log'!$B$5:$B$1004,A141,'Trade Log'!$R$5:$R$1004),"")</f>
        <v/>
      </c>
      <c r="H141" s="71" t="str">
        <f aca="false">IF(A141&lt;&gt;"",SUMIF('Trade Log'!$B$5:$B$1004,A141,'Trade Log'!$T$5:$T$1004),"")</f>
        <v/>
      </c>
      <c r="I141" s="72" t="str">
        <f aca="false">IF(A141&lt;&gt;"",IFERROR(SUMIF('Trade Log'!$B$5:$B$1004,A141,'Trade Log'!$R$5:$R$1004)/SUMIF('Trade Log'!$B$5:$B$1004,A141,'Trade Log'!$Q$5:$Q$1004)-1,""),"")</f>
        <v/>
      </c>
      <c r="J141" s="73" t="str">
        <f aca="false">IF(A141&lt;&gt;"",SUMIF('Trade Log'!$B$5:$B$1004,A141,'Trade Log'!$V$5:$V$1004),"")</f>
        <v/>
      </c>
      <c r="K141" s="74" t="str">
        <f aca="false">IF(A141&lt;&gt;"",IFERROR(SUMIF('Trade Log'!$B$5:$B$1004,A141,'Trade Log'!$V$5:$V$1004)/SUMIF('Trade Log'!$B$5:$B$1004,A141,'Trade Log'!$Q$5:$Q$1004),""),"")</f>
        <v/>
      </c>
      <c r="L141" s="75" t="str">
        <f aca="false">IF(A141&lt;&gt;"",IFERROR(SUMIFS('Trade Log'!$L$5:$L$1004,'Trade Log'!$B$5:$B$1004,A141,'Trade Log'!$E$5:$E$1004,""),0),"")</f>
        <v/>
      </c>
      <c r="M141" s="76" t="str">
        <f aca="false">IF(A141&lt;&gt;"",IFERROR(INDEX('Trade Log'!$AB$5:$AB$1004,MATCH(2,1/('Trade Log'!$B$5:$B$1004=A141),1)),""),"")</f>
        <v/>
      </c>
    </row>
    <row r="142" customFormat="false" ht="19.5" hidden="false" customHeight="true" outlineLevel="0" collapsed="false">
      <c r="A142" s="77"/>
      <c r="B142" s="78" t="str">
        <f aca="false">IF(A142&lt;&gt;"",IFERROR(INDEX('Trade Log'!$G$5:$G$1004,MATCH(A142,'Trade Log'!$B$5:$B$1004,0)),""),"")</f>
        <v/>
      </c>
      <c r="C142" s="79" t="str">
        <f aca="false">IF(A142&lt;&gt;"",IFERROR(INDEX('Trade Log'!$I$5:$I$1004,MATCH(A142,'Trade Log'!$B$5:$B$1004,0)),""),"")</f>
        <v/>
      </c>
      <c r="D142" s="80" t="str">
        <f aca="false">IF(A142&lt;&gt;"",COUNTIF('Trade Log'!$B$5:$B$1004,A142),"")</f>
        <v/>
      </c>
      <c r="E142" s="80" t="str">
        <f aca="false">IF(A142&lt;&gt;"",SUMIF('Trade Log'!$B$5:$B$1004,A142,'Trade Log'!$L$5:$L$1004),"")</f>
        <v/>
      </c>
      <c r="F142" s="81" t="str">
        <f aca="false">IF(A142&lt;&gt;"",SUMIF('Trade Log'!$B$5:$B$1004,A142,'Trade Log'!$Q$5:$Q$1004),"")</f>
        <v/>
      </c>
      <c r="G142" s="81" t="str">
        <f aca="false">IF(A142&lt;&gt;"",SUMIF('Trade Log'!$B$5:$B$1004,A142,'Trade Log'!$R$5:$R$1004),"")</f>
        <v/>
      </c>
      <c r="H142" s="82" t="str">
        <f aca="false">IF(A142&lt;&gt;"",SUMIF('Trade Log'!$B$5:$B$1004,A142,'Trade Log'!$T$5:$T$1004),"")</f>
        <v/>
      </c>
      <c r="I142" s="83" t="str">
        <f aca="false">IF(A142&lt;&gt;"",IFERROR(SUMIF('Trade Log'!$B$5:$B$1004,A142,'Trade Log'!$R$5:$R$1004)/SUMIF('Trade Log'!$B$5:$B$1004,A142,'Trade Log'!$Q$5:$Q$1004)-1,""),"")</f>
        <v/>
      </c>
      <c r="J142" s="84" t="str">
        <f aca="false">IF(A142&lt;&gt;"",SUMIF('Trade Log'!$B$5:$B$1004,A142,'Trade Log'!$V$5:$V$1004),"")</f>
        <v/>
      </c>
      <c r="K142" s="85" t="str">
        <f aca="false">IF(A142&lt;&gt;"",IFERROR(SUMIF('Trade Log'!$B$5:$B$1004,A142,'Trade Log'!$V$5:$V$1004)/SUMIF('Trade Log'!$B$5:$B$1004,A142,'Trade Log'!$Q$5:$Q$1004),""),"")</f>
        <v/>
      </c>
      <c r="L142" s="86" t="str">
        <f aca="false">IF(A142&lt;&gt;"",IFERROR(SUMIFS('Trade Log'!$L$5:$L$1004,'Trade Log'!$B$5:$B$1004,A142,'Trade Log'!$E$5:$E$1004,""),0),"")</f>
        <v/>
      </c>
      <c r="M142" s="87" t="str">
        <f aca="false">IF(A142&lt;&gt;"",IFERROR(INDEX('Trade Log'!$AB$5:$AB$1004,MATCH(2,1/('Trade Log'!$B$5:$B$1004=A142),1)),""),"")</f>
        <v/>
      </c>
    </row>
    <row r="143" customFormat="false" ht="19.5" hidden="false" customHeight="true" outlineLevel="0" collapsed="false">
      <c r="A143" s="88"/>
      <c r="B143" s="68" t="str">
        <f aca="false">IF(A143&lt;&gt;"",IFERROR(INDEX('Trade Log'!$G$5:$G$1004,MATCH(A143,'Trade Log'!$B$5:$B$1004,0)),""),"")</f>
        <v/>
      </c>
      <c r="C143" s="69" t="str">
        <f aca="false">IF(A143&lt;&gt;"",IFERROR(INDEX('Trade Log'!$I$5:$I$1004,MATCH(A143,'Trade Log'!$B$5:$B$1004,0)),""),"")</f>
        <v/>
      </c>
      <c r="D143" s="67" t="str">
        <f aca="false">IF(A143&lt;&gt;"",COUNTIF('Trade Log'!$B$5:$B$1004,A143),"")</f>
        <v/>
      </c>
      <c r="E143" s="67" t="str">
        <f aca="false">IF(A143&lt;&gt;"",SUMIF('Trade Log'!$B$5:$B$1004,A143,'Trade Log'!$L$5:$L$1004),"")</f>
        <v/>
      </c>
      <c r="F143" s="70" t="str">
        <f aca="false">IF(A143&lt;&gt;"",SUMIF('Trade Log'!$B$5:$B$1004,A143,'Trade Log'!$Q$5:$Q$1004),"")</f>
        <v/>
      </c>
      <c r="G143" s="70" t="str">
        <f aca="false">IF(A143&lt;&gt;"",SUMIF('Trade Log'!$B$5:$B$1004,A143,'Trade Log'!$R$5:$R$1004),"")</f>
        <v/>
      </c>
      <c r="H143" s="71" t="str">
        <f aca="false">IF(A143&lt;&gt;"",SUMIF('Trade Log'!$B$5:$B$1004,A143,'Trade Log'!$T$5:$T$1004),"")</f>
        <v/>
      </c>
      <c r="I143" s="72" t="str">
        <f aca="false">IF(A143&lt;&gt;"",IFERROR(SUMIF('Trade Log'!$B$5:$B$1004,A143,'Trade Log'!$R$5:$R$1004)/SUMIF('Trade Log'!$B$5:$B$1004,A143,'Trade Log'!$Q$5:$Q$1004)-1,""),"")</f>
        <v/>
      </c>
      <c r="J143" s="73" t="str">
        <f aca="false">IF(A143&lt;&gt;"",SUMIF('Trade Log'!$B$5:$B$1004,A143,'Trade Log'!$V$5:$V$1004),"")</f>
        <v/>
      </c>
      <c r="K143" s="74" t="str">
        <f aca="false">IF(A143&lt;&gt;"",IFERROR(SUMIF('Trade Log'!$B$5:$B$1004,A143,'Trade Log'!$V$5:$V$1004)/SUMIF('Trade Log'!$B$5:$B$1004,A143,'Trade Log'!$Q$5:$Q$1004),""),"")</f>
        <v/>
      </c>
      <c r="L143" s="75" t="str">
        <f aca="false">IF(A143&lt;&gt;"",IFERROR(SUMIFS('Trade Log'!$L$5:$L$1004,'Trade Log'!$B$5:$B$1004,A143,'Trade Log'!$E$5:$E$1004,""),0),"")</f>
        <v/>
      </c>
      <c r="M143" s="76" t="str">
        <f aca="false">IF(A143&lt;&gt;"",IFERROR(INDEX('Trade Log'!$AB$5:$AB$1004,MATCH(2,1/('Trade Log'!$B$5:$B$1004=A143),1)),""),"")</f>
        <v/>
      </c>
    </row>
    <row r="144" customFormat="false" ht="19.5" hidden="false" customHeight="true" outlineLevel="0" collapsed="false">
      <c r="A144" s="77"/>
      <c r="B144" s="78" t="str">
        <f aca="false">IF(A144&lt;&gt;"",IFERROR(INDEX('Trade Log'!$G$5:$G$1004,MATCH(A144,'Trade Log'!$B$5:$B$1004,0)),""),"")</f>
        <v/>
      </c>
      <c r="C144" s="79" t="str">
        <f aca="false">IF(A144&lt;&gt;"",IFERROR(INDEX('Trade Log'!$I$5:$I$1004,MATCH(A144,'Trade Log'!$B$5:$B$1004,0)),""),"")</f>
        <v/>
      </c>
      <c r="D144" s="80" t="str">
        <f aca="false">IF(A144&lt;&gt;"",COUNTIF('Trade Log'!$B$5:$B$1004,A144),"")</f>
        <v/>
      </c>
      <c r="E144" s="80" t="str">
        <f aca="false">IF(A144&lt;&gt;"",SUMIF('Trade Log'!$B$5:$B$1004,A144,'Trade Log'!$L$5:$L$1004),"")</f>
        <v/>
      </c>
      <c r="F144" s="81" t="str">
        <f aca="false">IF(A144&lt;&gt;"",SUMIF('Trade Log'!$B$5:$B$1004,A144,'Trade Log'!$Q$5:$Q$1004),"")</f>
        <v/>
      </c>
      <c r="G144" s="81" t="str">
        <f aca="false">IF(A144&lt;&gt;"",SUMIF('Trade Log'!$B$5:$B$1004,A144,'Trade Log'!$R$5:$R$1004),"")</f>
        <v/>
      </c>
      <c r="H144" s="82" t="str">
        <f aca="false">IF(A144&lt;&gt;"",SUMIF('Trade Log'!$B$5:$B$1004,A144,'Trade Log'!$T$5:$T$1004),"")</f>
        <v/>
      </c>
      <c r="I144" s="83" t="str">
        <f aca="false">IF(A144&lt;&gt;"",IFERROR(SUMIF('Trade Log'!$B$5:$B$1004,A144,'Trade Log'!$R$5:$R$1004)/SUMIF('Trade Log'!$B$5:$B$1004,A144,'Trade Log'!$Q$5:$Q$1004)-1,""),"")</f>
        <v/>
      </c>
      <c r="J144" s="84" t="str">
        <f aca="false">IF(A144&lt;&gt;"",SUMIF('Trade Log'!$B$5:$B$1004,A144,'Trade Log'!$V$5:$V$1004),"")</f>
        <v/>
      </c>
      <c r="K144" s="85" t="str">
        <f aca="false">IF(A144&lt;&gt;"",IFERROR(SUMIF('Trade Log'!$B$5:$B$1004,A144,'Trade Log'!$V$5:$V$1004)/SUMIF('Trade Log'!$B$5:$B$1004,A144,'Trade Log'!$Q$5:$Q$1004),""),"")</f>
        <v/>
      </c>
      <c r="L144" s="86" t="str">
        <f aca="false">IF(A144&lt;&gt;"",IFERROR(SUMIFS('Trade Log'!$L$5:$L$1004,'Trade Log'!$B$5:$B$1004,A144,'Trade Log'!$E$5:$E$1004,""),0),"")</f>
        <v/>
      </c>
      <c r="M144" s="87" t="str">
        <f aca="false">IF(A144&lt;&gt;"",IFERROR(INDEX('Trade Log'!$AB$5:$AB$1004,MATCH(2,1/('Trade Log'!$B$5:$B$1004=A144),1)),""),"")</f>
        <v/>
      </c>
    </row>
    <row r="145" customFormat="false" ht="19.5" hidden="false" customHeight="true" outlineLevel="0" collapsed="false">
      <c r="A145" s="88"/>
      <c r="B145" s="68" t="str">
        <f aca="false">IF(A145&lt;&gt;"",IFERROR(INDEX('Trade Log'!$G$5:$G$1004,MATCH(A145,'Trade Log'!$B$5:$B$1004,0)),""),"")</f>
        <v/>
      </c>
      <c r="C145" s="69" t="str">
        <f aca="false">IF(A145&lt;&gt;"",IFERROR(INDEX('Trade Log'!$I$5:$I$1004,MATCH(A145,'Trade Log'!$B$5:$B$1004,0)),""),"")</f>
        <v/>
      </c>
      <c r="D145" s="67" t="str">
        <f aca="false">IF(A145&lt;&gt;"",COUNTIF('Trade Log'!$B$5:$B$1004,A145),"")</f>
        <v/>
      </c>
      <c r="E145" s="67" t="str">
        <f aca="false">IF(A145&lt;&gt;"",SUMIF('Trade Log'!$B$5:$B$1004,A145,'Trade Log'!$L$5:$L$1004),"")</f>
        <v/>
      </c>
      <c r="F145" s="70" t="str">
        <f aca="false">IF(A145&lt;&gt;"",SUMIF('Trade Log'!$B$5:$B$1004,A145,'Trade Log'!$Q$5:$Q$1004),"")</f>
        <v/>
      </c>
      <c r="G145" s="70" t="str">
        <f aca="false">IF(A145&lt;&gt;"",SUMIF('Trade Log'!$B$5:$B$1004,A145,'Trade Log'!$R$5:$R$1004),"")</f>
        <v/>
      </c>
      <c r="H145" s="71" t="str">
        <f aca="false">IF(A145&lt;&gt;"",SUMIF('Trade Log'!$B$5:$B$1004,A145,'Trade Log'!$T$5:$T$1004),"")</f>
        <v/>
      </c>
      <c r="I145" s="72" t="str">
        <f aca="false">IF(A145&lt;&gt;"",IFERROR(SUMIF('Trade Log'!$B$5:$B$1004,A145,'Trade Log'!$R$5:$R$1004)/SUMIF('Trade Log'!$B$5:$B$1004,A145,'Trade Log'!$Q$5:$Q$1004)-1,""),"")</f>
        <v/>
      </c>
      <c r="J145" s="73" t="str">
        <f aca="false">IF(A145&lt;&gt;"",SUMIF('Trade Log'!$B$5:$B$1004,A145,'Trade Log'!$V$5:$V$1004),"")</f>
        <v/>
      </c>
      <c r="K145" s="74" t="str">
        <f aca="false">IF(A145&lt;&gt;"",IFERROR(SUMIF('Trade Log'!$B$5:$B$1004,A145,'Trade Log'!$V$5:$V$1004)/SUMIF('Trade Log'!$B$5:$B$1004,A145,'Trade Log'!$Q$5:$Q$1004),""),"")</f>
        <v/>
      </c>
      <c r="L145" s="75" t="str">
        <f aca="false">IF(A145&lt;&gt;"",IFERROR(SUMIFS('Trade Log'!$L$5:$L$1004,'Trade Log'!$B$5:$B$1004,A145,'Trade Log'!$E$5:$E$1004,""),0),"")</f>
        <v/>
      </c>
      <c r="M145" s="76" t="str">
        <f aca="false">IF(A145&lt;&gt;"",IFERROR(INDEX('Trade Log'!$AB$5:$AB$1004,MATCH(2,1/('Trade Log'!$B$5:$B$1004=A145),1)),""),"")</f>
        <v/>
      </c>
    </row>
    <row r="146" customFormat="false" ht="19.5" hidden="false" customHeight="true" outlineLevel="0" collapsed="false">
      <c r="A146" s="77"/>
      <c r="B146" s="78" t="str">
        <f aca="false">IF(A146&lt;&gt;"",IFERROR(INDEX('Trade Log'!$G$5:$G$1004,MATCH(A146,'Trade Log'!$B$5:$B$1004,0)),""),"")</f>
        <v/>
      </c>
      <c r="C146" s="79" t="str">
        <f aca="false">IF(A146&lt;&gt;"",IFERROR(INDEX('Trade Log'!$I$5:$I$1004,MATCH(A146,'Trade Log'!$B$5:$B$1004,0)),""),"")</f>
        <v/>
      </c>
      <c r="D146" s="80" t="str">
        <f aca="false">IF(A146&lt;&gt;"",COUNTIF('Trade Log'!$B$5:$B$1004,A146),"")</f>
        <v/>
      </c>
      <c r="E146" s="80" t="str">
        <f aca="false">IF(A146&lt;&gt;"",SUMIF('Trade Log'!$B$5:$B$1004,A146,'Trade Log'!$L$5:$L$1004),"")</f>
        <v/>
      </c>
      <c r="F146" s="81" t="str">
        <f aca="false">IF(A146&lt;&gt;"",SUMIF('Trade Log'!$B$5:$B$1004,A146,'Trade Log'!$Q$5:$Q$1004),"")</f>
        <v/>
      </c>
      <c r="G146" s="81" t="str">
        <f aca="false">IF(A146&lt;&gt;"",SUMIF('Trade Log'!$B$5:$B$1004,A146,'Trade Log'!$R$5:$R$1004),"")</f>
        <v/>
      </c>
      <c r="H146" s="82" t="str">
        <f aca="false">IF(A146&lt;&gt;"",SUMIF('Trade Log'!$B$5:$B$1004,A146,'Trade Log'!$T$5:$T$1004),"")</f>
        <v/>
      </c>
      <c r="I146" s="83" t="str">
        <f aca="false">IF(A146&lt;&gt;"",IFERROR(SUMIF('Trade Log'!$B$5:$B$1004,A146,'Trade Log'!$R$5:$R$1004)/SUMIF('Trade Log'!$B$5:$B$1004,A146,'Trade Log'!$Q$5:$Q$1004)-1,""),"")</f>
        <v/>
      </c>
      <c r="J146" s="84" t="str">
        <f aca="false">IF(A146&lt;&gt;"",SUMIF('Trade Log'!$B$5:$B$1004,A146,'Trade Log'!$V$5:$V$1004),"")</f>
        <v/>
      </c>
      <c r="K146" s="85" t="str">
        <f aca="false">IF(A146&lt;&gt;"",IFERROR(SUMIF('Trade Log'!$B$5:$B$1004,A146,'Trade Log'!$V$5:$V$1004)/SUMIF('Trade Log'!$B$5:$B$1004,A146,'Trade Log'!$Q$5:$Q$1004),""),"")</f>
        <v/>
      </c>
      <c r="L146" s="86" t="str">
        <f aca="false">IF(A146&lt;&gt;"",IFERROR(SUMIFS('Trade Log'!$L$5:$L$1004,'Trade Log'!$B$5:$B$1004,A146,'Trade Log'!$E$5:$E$1004,""),0),"")</f>
        <v/>
      </c>
      <c r="M146" s="87" t="str">
        <f aca="false">IF(A146&lt;&gt;"",IFERROR(INDEX('Trade Log'!$AB$5:$AB$1004,MATCH(2,1/('Trade Log'!$B$5:$B$1004=A146),1)),""),"")</f>
        <v/>
      </c>
    </row>
    <row r="147" customFormat="false" ht="19.5" hidden="false" customHeight="true" outlineLevel="0" collapsed="false">
      <c r="A147" s="88"/>
      <c r="B147" s="68" t="str">
        <f aca="false">IF(A147&lt;&gt;"",IFERROR(INDEX('Trade Log'!$G$5:$G$1004,MATCH(A147,'Trade Log'!$B$5:$B$1004,0)),""),"")</f>
        <v/>
      </c>
      <c r="C147" s="69" t="str">
        <f aca="false">IF(A147&lt;&gt;"",IFERROR(INDEX('Trade Log'!$I$5:$I$1004,MATCH(A147,'Trade Log'!$B$5:$B$1004,0)),""),"")</f>
        <v/>
      </c>
      <c r="D147" s="67" t="str">
        <f aca="false">IF(A147&lt;&gt;"",COUNTIF('Trade Log'!$B$5:$B$1004,A147),"")</f>
        <v/>
      </c>
      <c r="E147" s="67" t="str">
        <f aca="false">IF(A147&lt;&gt;"",SUMIF('Trade Log'!$B$5:$B$1004,A147,'Trade Log'!$L$5:$L$1004),"")</f>
        <v/>
      </c>
      <c r="F147" s="70" t="str">
        <f aca="false">IF(A147&lt;&gt;"",SUMIF('Trade Log'!$B$5:$B$1004,A147,'Trade Log'!$Q$5:$Q$1004),"")</f>
        <v/>
      </c>
      <c r="G147" s="70" t="str">
        <f aca="false">IF(A147&lt;&gt;"",SUMIF('Trade Log'!$B$5:$B$1004,A147,'Trade Log'!$R$5:$R$1004),"")</f>
        <v/>
      </c>
      <c r="H147" s="71" t="str">
        <f aca="false">IF(A147&lt;&gt;"",SUMIF('Trade Log'!$B$5:$B$1004,A147,'Trade Log'!$T$5:$T$1004),"")</f>
        <v/>
      </c>
      <c r="I147" s="72" t="str">
        <f aca="false">IF(A147&lt;&gt;"",IFERROR(SUMIF('Trade Log'!$B$5:$B$1004,A147,'Trade Log'!$R$5:$R$1004)/SUMIF('Trade Log'!$B$5:$B$1004,A147,'Trade Log'!$Q$5:$Q$1004)-1,""),"")</f>
        <v/>
      </c>
      <c r="J147" s="73" t="str">
        <f aca="false">IF(A147&lt;&gt;"",SUMIF('Trade Log'!$B$5:$B$1004,A147,'Trade Log'!$V$5:$V$1004),"")</f>
        <v/>
      </c>
      <c r="K147" s="74" t="str">
        <f aca="false">IF(A147&lt;&gt;"",IFERROR(SUMIF('Trade Log'!$B$5:$B$1004,A147,'Trade Log'!$V$5:$V$1004)/SUMIF('Trade Log'!$B$5:$B$1004,A147,'Trade Log'!$Q$5:$Q$1004),""),"")</f>
        <v/>
      </c>
      <c r="L147" s="75" t="str">
        <f aca="false">IF(A147&lt;&gt;"",IFERROR(SUMIFS('Trade Log'!$L$5:$L$1004,'Trade Log'!$B$5:$B$1004,A147,'Trade Log'!$E$5:$E$1004,""),0),"")</f>
        <v/>
      </c>
      <c r="M147" s="76" t="str">
        <f aca="false">IF(A147&lt;&gt;"",IFERROR(INDEX('Trade Log'!$AB$5:$AB$1004,MATCH(2,1/('Trade Log'!$B$5:$B$1004=A147),1)),""),"")</f>
        <v/>
      </c>
    </row>
    <row r="148" customFormat="false" ht="19.5" hidden="false" customHeight="true" outlineLevel="0" collapsed="false">
      <c r="A148" s="77"/>
      <c r="B148" s="78" t="str">
        <f aca="false">IF(A148&lt;&gt;"",IFERROR(INDEX('Trade Log'!$G$5:$G$1004,MATCH(A148,'Trade Log'!$B$5:$B$1004,0)),""),"")</f>
        <v/>
      </c>
      <c r="C148" s="79" t="str">
        <f aca="false">IF(A148&lt;&gt;"",IFERROR(INDEX('Trade Log'!$I$5:$I$1004,MATCH(A148,'Trade Log'!$B$5:$B$1004,0)),""),"")</f>
        <v/>
      </c>
      <c r="D148" s="80" t="str">
        <f aca="false">IF(A148&lt;&gt;"",COUNTIF('Trade Log'!$B$5:$B$1004,A148),"")</f>
        <v/>
      </c>
      <c r="E148" s="80" t="str">
        <f aca="false">IF(A148&lt;&gt;"",SUMIF('Trade Log'!$B$5:$B$1004,A148,'Trade Log'!$L$5:$L$1004),"")</f>
        <v/>
      </c>
      <c r="F148" s="81" t="str">
        <f aca="false">IF(A148&lt;&gt;"",SUMIF('Trade Log'!$B$5:$B$1004,A148,'Trade Log'!$Q$5:$Q$1004),"")</f>
        <v/>
      </c>
      <c r="G148" s="81" t="str">
        <f aca="false">IF(A148&lt;&gt;"",SUMIF('Trade Log'!$B$5:$B$1004,A148,'Trade Log'!$R$5:$R$1004),"")</f>
        <v/>
      </c>
      <c r="H148" s="82" t="str">
        <f aca="false">IF(A148&lt;&gt;"",SUMIF('Trade Log'!$B$5:$B$1004,A148,'Trade Log'!$T$5:$T$1004),"")</f>
        <v/>
      </c>
      <c r="I148" s="83" t="str">
        <f aca="false">IF(A148&lt;&gt;"",IFERROR(SUMIF('Trade Log'!$B$5:$B$1004,A148,'Trade Log'!$R$5:$R$1004)/SUMIF('Trade Log'!$B$5:$B$1004,A148,'Trade Log'!$Q$5:$Q$1004)-1,""),"")</f>
        <v/>
      </c>
      <c r="J148" s="84" t="str">
        <f aca="false">IF(A148&lt;&gt;"",SUMIF('Trade Log'!$B$5:$B$1004,A148,'Trade Log'!$V$5:$V$1004),"")</f>
        <v/>
      </c>
      <c r="K148" s="85" t="str">
        <f aca="false">IF(A148&lt;&gt;"",IFERROR(SUMIF('Trade Log'!$B$5:$B$1004,A148,'Trade Log'!$V$5:$V$1004)/SUMIF('Trade Log'!$B$5:$B$1004,A148,'Trade Log'!$Q$5:$Q$1004),""),"")</f>
        <v/>
      </c>
      <c r="L148" s="86" t="str">
        <f aca="false">IF(A148&lt;&gt;"",IFERROR(SUMIFS('Trade Log'!$L$5:$L$1004,'Trade Log'!$B$5:$B$1004,A148,'Trade Log'!$E$5:$E$1004,""),0),"")</f>
        <v/>
      </c>
      <c r="M148" s="87" t="str">
        <f aca="false">IF(A148&lt;&gt;"",IFERROR(INDEX('Trade Log'!$AB$5:$AB$1004,MATCH(2,1/('Trade Log'!$B$5:$B$1004=A148),1)),""),"")</f>
        <v/>
      </c>
    </row>
    <row r="149" customFormat="false" ht="19.5" hidden="false" customHeight="true" outlineLevel="0" collapsed="false">
      <c r="A149" s="88"/>
      <c r="B149" s="68" t="str">
        <f aca="false">IF(A149&lt;&gt;"",IFERROR(INDEX('Trade Log'!$G$5:$G$1004,MATCH(A149,'Trade Log'!$B$5:$B$1004,0)),""),"")</f>
        <v/>
      </c>
      <c r="C149" s="69" t="str">
        <f aca="false">IF(A149&lt;&gt;"",IFERROR(INDEX('Trade Log'!$I$5:$I$1004,MATCH(A149,'Trade Log'!$B$5:$B$1004,0)),""),"")</f>
        <v/>
      </c>
      <c r="D149" s="67" t="str">
        <f aca="false">IF(A149&lt;&gt;"",COUNTIF('Trade Log'!$B$5:$B$1004,A149),"")</f>
        <v/>
      </c>
      <c r="E149" s="67" t="str">
        <f aca="false">IF(A149&lt;&gt;"",SUMIF('Trade Log'!$B$5:$B$1004,A149,'Trade Log'!$L$5:$L$1004),"")</f>
        <v/>
      </c>
      <c r="F149" s="70" t="str">
        <f aca="false">IF(A149&lt;&gt;"",SUMIF('Trade Log'!$B$5:$B$1004,A149,'Trade Log'!$Q$5:$Q$1004),"")</f>
        <v/>
      </c>
      <c r="G149" s="70" t="str">
        <f aca="false">IF(A149&lt;&gt;"",SUMIF('Trade Log'!$B$5:$B$1004,A149,'Trade Log'!$R$5:$R$1004),"")</f>
        <v/>
      </c>
      <c r="H149" s="71" t="str">
        <f aca="false">IF(A149&lt;&gt;"",SUMIF('Trade Log'!$B$5:$B$1004,A149,'Trade Log'!$T$5:$T$1004),"")</f>
        <v/>
      </c>
      <c r="I149" s="72" t="str">
        <f aca="false">IF(A149&lt;&gt;"",IFERROR(SUMIF('Trade Log'!$B$5:$B$1004,A149,'Trade Log'!$R$5:$R$1004)/SUMIF('Trade Log'!$B$5:$B$1004,A149,'Trade Log'!$Q$5:$Q$1004)-1,""),"")</f>
        <v/>
      </c>
      <c r="J149" s="73" t="str">
        <f aca="false">IF(A149&lt;&gt;"",SUMIF('Trade Log'!$B$5:$B$1004,A149,'Trade Log'!$V$5:$V$1004),"")</f>
        <v/>
      </c>
      <c r="K149" s="74" t="str">
        <f aca="false">IF(A149&lt;&gt;"",IFERROR(SUMIF('Trade Log'!$B$5:$B$1004,A149,'Trade Log'!$V$5:$V$1004)/SUMIF('Trade Log'!$B$5:$B$1004,A149,'Trade Log'!$Q$5:$Q$1004),""),"")</f>
        <v/>
      </c>
      <c r="L149" s="75" t="str">
        <f aca="false">IF(A149&lt;&gt;"",IFERROR(SUMIFS('Trade Log'!$L$5:$L$1004,'Trade Log'!$B$5:$B$1004,A149,'Trade Log'!$E$5:$E$1004,""),0),"")</f>
        <v/>
      </c>
      <c r="M149" s="76" t="str">
        <f aca="false">IF(A149&lt;&gt;"",IFERROR(INDEX('Trade Log'!$AB$5:$AB$1004,MATCH(2,1/('Trade Log'!$B$5:$B$1004=A149),1)),""),"")</f>
        <v/>
      </c>
    </row>
    <row r="150" customFormat="false" ht="19.5" hidden="false" customHeight="true" outlineLevel="0" collapsed="false">
      <c r="A150" s="77"/>
      <c r="B150" s="78" t="str">
        <f aca="false">IF(A150&lt;&gt;"",IFERROR(INDEX('Trade Log'!$G$5:$G$1004,MATCH(A150,'Trade Log'!$B$5:$B$1004,0)),""),"")</f>
        <v/>
      </c>
      <c r="C150" s="79" t="str">
        <f aca="false">IF(A150&lt;&gt;"",IFERROR(INDEX('Trade Log'!$I$5:$I$1004,MATCH(A150,'Trade Log'!$B$5:$B$1004,0)),""),"")</f>
        <v/>
      </c>
      <c r="D150" s="80" t="str">
        <f aca="false">IF(A150&lt;&gt;"",COUNTIF('Trade Log'!$B$5:$B$1004,A150),"")</f>
        <v/>
      </c>
      <c r="E150" s="80" t="str">
        <f aca="false">IF(A150&lt;&gt;"",SUMIF('Trade Log'!$B$5:$B$1004,A150,'Trade Log'!$L$5:$L$1004),"")</f>
        <v/>
      </c>
      <c r="F150" s="81" t="str">
        <f aca="false">IF(A150&lt;&gt;"",SUMIF('Trade Log'!$B$5:$B$1004,A150,'Trade Log'!$Q$5:$Q$1004),"")</f>
        <v/>
      </c>
      <c r="G150" s="81" t="str">
        <f aca="false">IF(A150&lt;&gt;"",SUMIF('Trade Log'!$B$5:$B$1004,A150,'Trade Log'!$R$5:$R$1004),"")</f>
        <v/>
      </c>
      <c r="H150" s="82" t="str">
        <f aca="false">IF(A150&lt;&gt;"",SUMIF('Trade Log'!$B$5:$B$1004,A150,'Trade Log'!$T$5:$T$1004),"")</f>
        <v/>
      </c>
      <c r="I150" s="83" t="str">
        <f aca="false">IF(A150&lt;&gt;"",IFERROR(SUMIF('Trade Log'!$B$5:$B$1004,A150,'Trade Log'!$R$5:$R$1004)/SUMIF('Trade Log'!$B$5:$B$1004,A150,'Trade Log'!$Q$5:$Q$1004)-1,""),"")</f>
        <v/>
      </c>
      <c r="J150" s="84" t="str">
        <f aca="false">IF(A150&lt;&gt;"",SUMIF('Trade Log'!$B$5:$B$1004,A150,'Trade Log'!$V$5:$V$1004),"")</f>
        <v/>
      </c>
      <c r="K150" s="85" t="str">
        <f aca="false">IF(A150&lt;&gt;"",IFERROR(SUMIF('Trade Log'!$B$5:$B$1004,A150,'Trade Log'!$V$5:$V$1004)/SUMIF('Trade Log'!$B$5:$B$1004,A150,'Trade Log'!$Q$5:$Q$1004),""),"")</f>
        <v/>
      </c>
      <c r="L150" s="86" t="str">
        <f aca="false">IF(A150&lt;&gt;"",IFERROR(SUMIFS('Trade Log'!$L$5:$L$1004,'Trade Log'!$B$5:$B$1004,A150,'Trade Log'!$E$5:$E$1004,""),0),"")</f>
        <v/>
      </c>
      <c r="M150" s="87" t="str">
        <f aca="false">IF(A150&lt;&gt;"",IFERROR(INDEX('Trade Log'!$AB$5:$AB$1004,MATCH(2,1/('Trade Log'!$B$5:$B$1004=A150),1)),""),"")</f>
        <v/>
      </c>
    </row>
    <row r="151" customFormat="false" ht="19.5" hidden="false" customHeight="true" outlineLevel="0" collapsed="false">
      <c r="A151" s="88"/>
      <c r="B151" s="68" t="str">
        <f aca="false">IF(A151&lt;&gt;"",IFERROR(INDEX('Trade Log'!$G$5:$G$1004,MATCH(A151,'Trade Log'!$B$5:$B$1004,0)),""),"")</f>
        <v/>
      </c>
      <c r="C151" s="69" t="str">
        <f aca="false">IF(A151&lt;&gt;"",IFERROR(INDEX('Trade Log'!$I$5:$I$1004,MATCH(A151,'Trade Log'!$B$5:$B$1004,0)),""),"")</f>
        <v/>
      </c>
      <c r="D151" s="67" t="str">
        <f aca="false">IF(A151&lt;&gt;"",COUNTIF('Trade Log'!$B$5:$B$1004,A151),"")</f>
        <v/>
      </c>
      <c r="E151" s="67" t="str">
        <f aca="false">IF(A151&lt;&gt;"",SUMIF('Trade Log'!$B$5:$B$1004,A151,'Trade Log'!$L$5:$L$1004),"")</f>
        <v/>
      </c>
      <c r="F151" s="70" t="str">
        <f aca="false">IF(A151&lt;&gt;"",SUMIF('Trade Log'!$B$5:$B$1004,A151,'Trade Log'!$Q$5:$Q$1004),"")</f>
        <v/>
      </c>
      <c r="G151" s="70" t="str">
        <f aca="false">IF(A151&lt;&gt;"",SUMIF('Trade Log'!$B$5:$B$1004,A151,'Trade Log'!$R$5:$R$1004),"")</f>
        <v/>
      </c>
      <c r="H151" s="71" t="str">
        <f aca="false">IF(A151&lt;&gt;"",SUMIF('Trade Log'!$B$5:$B$1004,A151,'Trade Log'!$T$5:$T$1004),"")</f>
        <v/>
      </c>
      <c r="I151" s="72" t="str">
        <f aca="false">IF(A151&lt;&gt;"",IFERROR(SUMIF('Trade Log'!$B$5:$B$1004,A151,'Trade Log'!$R$5:$R$1004)/SUMIF('Trade Log'!$B$5:$B$1004,A151,'Trade Log'!$Q$5:$Q$1004)-1,""),"")</f>
        <v/>
      </c>
      <c r="J151" s="73" t="str">
        <f aca="false">IF(A151&lt;&gt;"",SUMIF('Trade Log'!$B$5:$B$1004,A151,'Trade Log'!$V$5:$V$1004),"")</f>
        <v/>
      </c>
      <c r="K151" s="74" t="str">
        <f aca="false">IF(A151&lt;&gt;"",IFERROR(SUMIF('Trade Log'!$B$5:$B$1004,A151,'Trade Log'!$V$5:$V$1004)/SUMIF('Trade Log'!$B$5:$B$1004,A151,'Trade Log'!$Q$5:$Q$1004),""),"")</f>
        <v/>
      </c>
      <c r="L151" s="75" t="str">
        <f aca="false">IF(A151&lt;&gt;"",IFERROR(SUMIFS('Trade Log'!$L$5:$L$1004,'Trade Log'!$B$5:$B$1004,A151,'Trade Log'!$E$5:$E$1004,""),0),"")</f>
        <v/>
      </c>
      <c r="M151" s="76" t="str">
        <f aca="false">IF(A151&lt;&gt;"",IFERROR(INDEX('Trade Log'!$AB$5:$AB$1004,MATCH(2,1/('Trade Log'!$B$5:$B$1004=A151),1)),""),"")</f>
        <v/>
      </c>
    </row>
    <row r="152" customFormat="false" ht="19.5" hidden="false" customHeight="true" outlineLevel="0" collapsed="false">
      <c r="A152" s="77"/>
      <c r="B152" s="78" t="str">
        <f aca="false">IF(A152&lt;&gt;"",IFERROR(INDEX('Trade Log'!$G$5:$G$1004,MATCH(A152,'Trade Log'!$B$5:$B$1004,0)),""),"")</f>
        <v/>
      </c>
      <c r="C152" s="79" t="str">
        <f aca="false">IF(A152&lt;&gt;"",IFERROR(INDEX('Trade Log'!$I$5:$I$1004,MATCH(A152,'Trade Log'!$B$5:$B$1004,0)),""),"")</f>
        <v/>
      </c>
      <c r="D152" s="80" t="str">
        <f aca="false">IF(A152&lt;&gt;"",COUNTIF('Trade Log'!$B$5:$B$1004,A152),"")</f>
        <v/>
      </c>
      <c r="E152" s="80" t="str">
        <f aca="false">IF(A152&lt;&gt;"",SUMIF('Trade Log'!$B$5:$B$1004,A152,'Trade Log'!$L$5:$L$1004),"")</f>
        <v/>
      </c>
      <c r="F152" s="81" t="str">
        <f aca="false">IF(A152&lt;&gt;"",SUMIF('Trade Log'!$B$5:$B$1004,A152,'Trade Log'!$Q$5:$Q$1004),"")</f>
        <v/>
      </c>
      <c r="G152" s="81" t="str">
        <f aca="false">IF(A152&lt;&gt;"",SUMIF('Trade Log'!$B$5:$B$1004,A152,'Trade Log'!$R$5:$R$1004),"")</f>
        <v/>
      </c>
      <c r="H152" s="82" t="str">
        <f aca="false">IF(A152&lt;&gt;"",SUMIF('Trade Log'!$B$5:$B$1004,A152,'Trade Log'!$T$5:$T$1004),"")</f>
        <v/>
      </c>
      <c r="I152" s="83" t="str">
        <f aca="false">IF(A152&lt;&gt;"",IFERROR(SUMIF('Trade Log'!$B$5:$B$1004,A152,'Trade Log'!$R$5:$R$1004)/SUMIF('Trade Log'!$B$5:$B$1004,A152,'Trade Log'!$Q$5:$Q$1004)-1,""),"")</f>
        <v/>
      </c>
      <c r="J152" s="84" t="str">
        <f aca="false">IF(A152&lt;&gt;"",SUMIF('Trade Log'!$B$5:$B$1004,A152,'Trade Log'!$V$5:$V$1004),"")</f>
        <v/>
      </c>
      <c r="K152" s="85" t="str">
        <f aca="false">IF(A152&lt;&gt;"",IFERROR(SUMIF('Trade Log'!$B$5:$B$1004,A152,'Trade Log'!$V$5:$V$1004)/SUMIF('Trade Log'!$B$5:$B$1004,A152,'Trade Log'!$Q$5:$Q$1004),""),"")</f>
        <v/>
      </c>
      <c r="L152" s="86" t="str">
        <f aca="false">IF(A152&lt;&gt;"",IFERROR(SUMIFS('Trade Log'!$L$5:$L$1004,'Trade Log'!$B$5:$B$1004,A152,'Trade Log'!$E$5:$E$1004,""),0),"")</f>
        <v/>
      </c>
      <c r="M152" s="87" t="str">
        <f aca="false">IF(A152&lt;&gt;"",IFERROR(INDEX('Trade Log'!$AB$5:$AB$1004,MATCH(2,1/('Trade Log'!$B$5:$B$1004=A152),1)),""),"")</f>
        <v/>
      </c>
    </row>
    <row r="153" customFormat="false" ht="19.5" hidden="false" customHeight="true" outlineLevel="0" collapsed="false">
      <c r="A153" s="88"/>
      <c r="B153" s="68" t="str">
        <f aca="false">IF(A153&lt;&gt;"",IFERROR(INDEX('Trade Log'!$G$5:$G$1004,MATCH(A153,'Trade Log'!$B$5:$B$1004,0)),""),"")</f>
        <v/>
      </c>
      <c r="C153" s="69" t="str">
        <f aca="false">IF(A153&lt;&gt;"",IFERROR(INDEX('Trade Log'!$I$5:$I$1004,MATCH(A153,'Trade Log'!$B$5:$B$1004,0)),""),"")</f>
        <v/>
      </c>
      <c r="D153" s="67" t="str">
        <f aca="false">IF(A153&lt;&gt;"",COUNTIF('Trade Log'!$B$5:$B$1004,A153),"")</f>
        <v/>
      </c>
      <c r="E153" s="67" t="str">
        <f aca="false">IF(A153&lt;&gt;"",SUMIF('Trade Log'!$B$5:$B$1004,A153,'Trade Log'!$L$5:$L$1004),"")</f>
        <v/>
      </c>
      <c r="F153" s="70" t="str">
        <f aca="false">IF(A153&lt;&gt;"",SUMIF('Trade Log'!$B$5:$B$1004,A153,'Trade Log'!$Q$5:$Q$1004),"")</f>
        <v/>
      </c>
      <c r="G153" s="70" t="str">
        <f aca="false">IF(A153&lt;&gt;"",SUMIF('Trade Log'!$B$5:$B$1004,A153,'Trade Log'!$R$5:$R$1004),"")</f>
        <v/>
      </c>
      <c r="H153" s="71" t="str">
        <f aca="false">IF(A153&lt;&gt;"",SUMIF('Trade Log'!$B$5:$B$1004,A153,'Trade Log'!$T$5:$T$1004),"")</f>
        <v/>
      </c>
      <c r="I153" s="72" t="str">
        <f aca="false">IF(A153&lt;&gt;"",IFERROR(SUMIF('Trade Log'!$B$5:$B$1004,A153,'Trade Log'!$R$5:$R$1004)/SUMIF('Trade Log'!$B$5:$B$1004,A153,'Trade Log'!$Q$5:$Q$1004)-1,""),"")</f>
        <v/>
      </c>
      <c r="J153" s="73" t="str">
        <f aca="false">IF(A153&lt;&gt;"",SUMIF('Trade Log'!$B$5:$B$1004,A153,'Trade Log'!$V$5:$V$1004),"")</f>
        <v/>
      </c>
      <c r="K153" s="74" t="str">
        <f aca="false">IF(A153&lt;&gt;"",IFERROR(SUMIF('Trade Log'!$B$5:$B$1004,A153,'Trade Log'!$V$5:$V$1004)/SUMIF('Trade Log'!$B$5:$B$1004,A153,'Trade Log'!$Q$5:$Q$1004),""),"")</f>
        <v/>
      </c>
      <c r="L153" s="75" t="str">
        <f aca="false">IF(A153&lt;&gt;"",IFERROR(SUMIFS('Trade Log'!$L$5:$L$1004,'Trade Log'!$B$5:$B$1004,A153,'Trade Log'!$E$5:$E$1004,""),0),"")</f>
        <v/>
      </c>
      <c r="M153" s="76" t="str">
        <f aca="false">IF(A153&lt;&gt;"",IFERROR(INDEX('Trade Log'!$AB$5:$AB$1004,MATCH(2,1/('Trade Log'!$B$5:$B$1004=A153),1)),""),"")</f>
        <v/>
      </c>
    </row>
    <row r="154" customFormat="false" ht="19.5" hidden="false" customHeight="true" outlineLevel="0" collapsed="false">
      <c r="A154" s="77"/>
      <c r="B154" s="78" t="str">
        <f aca="false">IF(A154&lt;&gt;"",IFERROR(INDEX('Trade Log'!$G$5:$G$1004,MATCH(A154,'Trade Log'!$B$5:$B$1004,0)),""),"")</f>
        <v/>
      </c>
      <c r="C154" s="79" t="str">
        <f aca="false">IF(A154&lt;&gt;"",IFERROR(INDEX('Trade Log'!$I$5:$I$1004,MATCH(A154,'Trade Log'!$B$5:$B$1004,0)),""),"")</f>
        <v/>
      </c>
      <c r="D154" s="80" t="str">
        <f aca="false">IF(A154&lt;&gt;"",COUNTIF('Trade Log'!$B$5:$B$1004,A154),"")</f>
        <v/>
      </c>
      <c r="E154" s="80" t="str">
        <f aca="false">IF(A154&lt;&gt;"",SUMIF('Trade Log'!$B$5:$B$1004,A154,'Trade Log'!$L$5:$L$1004),"")</f>
        <v/>
      </c>
      <c r="F154" s="81" t="str">
        <f aca="false">IF(A154&lt;&gt;"",SUMIF('Trade Log'!$B$5:$B$1004,A154,'Trade Log'!$Q$5:$Q$1004),"")</f>
        <v/>
      </c>
      <c r="G154" s="81" t="str">
        <f aca="false">IF(A154&lt;&gt;"",SUMIF('Trade Log'!$B$5:$B$1004,A154,'Trade Log'!$R$5:$R$1004),"")</f>
        <v/>
      </c>
      <c r="H154" s="82" t="str">
        <f aca="false">IF(A154&lt;&gt;"",SUMIF('Trade Log'!$B$5:$B$1004,A154,'Trade Log'!$T$5:$T$1004),"")</f>
        <v/>
      </c>
      <c r="I154" s="83" t="str">
        <f aca="false">IF(A154&lt;&gt;"",IFERROR(SUMIF('Trade Log'!$B$5:$B$1004,A154,'Trade Log'!$R$5:$R$1004)/SUMIF('Trade Log'!$B$5:$B$1004,A154,'Trade Log'!$Q$5:$Q$1004)-1,""),"")</f>
        <v/>
      </c>
      <c r="J154" s="84" t="str">
        <f aca="false">IF(A154&lt;&gt;"",SUMIF('Trade Log'!$B$5:$B$1004,A154,'Trade Log'!$V$5:$V$1004),"")</f>
        <v/>
      </c>
      <c r="K154" s="85" t="str">
        <f aca="false">IF(A154&lt;&gt;"",IFERROR(SUMIF('Trade Log'!$B$5:$B$1004,A154,'Trade Log'!$V$5:$V$1004)/SUMIF('Trade Log'!$B$5:$B$1004,A154,'Trade Log'!$Q$5:$Q$1004),""),"")</f>
        <v/>
      </c>
      <c r="L154" s="86" t="str">
        <f aca="false">IF(A154&lt;&gt;"",IFERROR(SUMIFS('Trade Log'!$L$5:$L$1004,'Trade Log'!$B$5:$B$1004,A154,'Trade Log'!$E$5:$E$1004,""),0),"")</f>
        <v/>
      </c>
      <c r="M154" s="87" t="str">
        <f aca="false">IF(A154&lt;&gt;"",IFERROR(INDEX('Trade Log'!$AB$5:$AB$1004,MATCH(2,1/('Trade Log'!$B$5:$B$1004=A154),1)),""),"")</f>
        <v/>
      </c>
    </row>
    <row r="155" customFormat="false" ht="19.5" hidden="false" customHeight="true" outlineLevel="0" collapsed="false">
      <c r="A155" s="88"/>
      <c r="B155" s="68" t="str">
        <f aca="false">IF(A155&lt;&gt;"",IFERROR(INDEX('Trade Log'!$G$5:$G$1004,MATCH(A155,'Trade Log'!$B$5:$B$1004,0)),""),"")</f>
        <v/>
      </c>
      <c r="C155" s="69" t="str">
        <f aca="false">IF(A155&lt;&gt;"",IFERROR(INDEX('Trade Log'!$I$5:$I$1004,MATCH(A155,'Trade Log'!$B$5:$B$1004,0)),""),"")</f>
        <v/>
      </c>
      <c r="D155" s="67" t="str">
        <f aca="false">IF(A155&lt;&gt;"",COUNTIF('Trade Log'!$B$5:$B$1004,A155),"")</f>
        <v/>
      </c>
      <c r="E155" s="67" t="str">
        <f aca="false">IF(A155&lt;&gt;"",SUMIF('Trade Log'!$B$5:$B$1004,A155,'Trade Log'!$L$5:$L$1004),"")</f>
        <v/>
      </c>
      <c r="F155" s="70" t="str">
        <f aca="false">IF(A155&lt;&gt;"",SUMIF('Trade Log'!$B$5:$B$1004,A155,'Trade Log'!$Q$5:$Q$1004),"")</f>
        <v/>
      </c>
      <c r="G155" s="70" t="str">
        <f aca="false">IF(A155&lt;&gt;"",SUMIF('Trade Log'!$B$5:$B$1004,A155,'Trade Log'!$R$5:$R$1004),"")</f>
        <v/>
      </c>
      <c r="H155" s="71" t="str">
        <f aca="false">IF(A155&lt;&gt;"",SUMIF('Trade Log'!$B$5:$B$1004,A155,'Trade Log'!$T$5:$T$1004),"")</f>
        <v/>
      </c>
      <c r="I155" s="72" t="str">
        <f aca="false">IF(A155&lt;&gt;"",IFERROR(SUMIF('Trade Log'!$B$5:$B$1004,A155,'Trade Log'!$R$5:$R$1004)/SUMIF('Trade Log'!$B$5:$B$1004,A155,'Trade Log'!$Q$5:$Q$1004)-1,""),"")</f>
        <v/>
      </c>
      <c r="J155" s="73" t="str">
        <f aca="false">IF(A155&lt;&gt;"",SUMIF('Trade Log'!$B$5:$B$1004,A155,'Trade Log'!$V$5:$V$1004),"")</f>
        <v/>
      </c>
      <c r="K155" s="74" t="str">
        <f aca="false">IF(A155&lt;&gt;"",IFERROR(SUMIF('Trade Log'!$B$5:$B$1004,A155,'Trade Log'!$V$5:$V$1004)/SUMIF('Trade Log'!$B$5:$B$1004,A155,'Trade Log'!$Q$5:$Q$1004),""),"")</f>
        <v/>
      </c>
      <c r="L155" s="75" t="str">
        <f aca="false">IF(A155&lt;&gt;"",IFERROR(SUMIFS('Trade Log'!$L$5:$L$1004,'Trade Log'!$B$5:$B$1004,A155,'Trade Log'!$E$5:$E$1004,""),0),"")</f>
        <v/>
      </c>
      <c r="M155" s="76" t="str">
        <f aca="false">IF(A155&lt;&gt;"",IFERROR(INDEX('Trade Log'!$AB$5:$AB$1004,MATCH(2,1/('Trade Log'!$B$5:$B$1004=A155),1)),""),"")</f>
        <v/>
      </c>
    </row>
    <row r="156" customFormat="false" ht="19.5" hidden="false" customHeight="true" outlineLevel="0" collapsed="false">
      <c r="A156" s="77"/>
      <c r="B156" s="78" t="str">
        <f aca="false">IF(A156&lt;&gt;"",IFERROR(INDEX('Trade Log'!$G$5:$G$1004,MATCH(A156,'Trade Log'!$B$5:$B$1004,0)),""),"")</f>
        <v/>
      </c>
      <c r="C156" s="79" t="str">
        <f aca="false">IF(A156&lt;&gt;"",IFERROR(INDEX('Trade Log'!$I$5:$I$1004,MATCH(A156,'Trade Log'!$B$5:$B$1004,0)),""),"")</f>
        <v/>
      </c>
      <c r="D156" s="80" t="str">
        <f aca="false">IF(A156&lt;&gt;"",COUNTIF('Trade Log'!$B$5:$B$1004,A156),"")</f>
        <v/>
      </c>
      <c r="E156" s="80" t="str">
        <f aca="false">IF(A156&lt;&gt;"",SUMIF('Trade Log'!$B$5:$B$1004,A156,'Trade Log'!$L$5:$L$1004),"")</f>
        <v/>
      </c>
      <c r="F156" s="81" t="str">
        <f aca="false">IF(A156&lt;&gt;"",SUMIF('Trade Log'!$B$5:$B$1004,A156,'Trade Log'!$Q$5:$Q$1004),"")</f>
        <v/>
      </c>
      <c r="G156" s="81" t="str">
        <f aca="false">IF(A156&lt;&gt;"",SUMIF('Trade Log'!$B$5:$B$1004,A156,'Trade Log'!$R$5:$R$1004),"")</f>
        <v/>
      </c>
      <c r="H156" s="82" t="str">
        <f aca="false">IF(A156&lt;&gt;"",SUMIF('Trade Log'!$B$5:$B$1004,A156,'Trade Log'!$T$5:$T$1004),"")</f>
        <v/>
      </c>
      <c r="I156" s="83" t="str">
        <f aca="false">IF(A156&lt;&gt;"",IFERROR(SUMIF('Trade Log'!$B$5:$B$1004,A156,'Trade Log'!$R$5:$R$1004)/SUMIF('Trade Log'!$B$5:$B$1004,A156,'Trade Log'!$Q$5:$Q$1004)-1,""),"")</f>
        <v/>
      </c>
      <c r="J156" s="84" t="str">
        <f aca="false">IF(A156&lt;&gt;"",SUMIF('Trade Log'!$B$5:$B$1004,A156,'Trade Log'!$V$5:$V$1004),"")</f>
        <v/>
      </c>
      <c r="K156" s="85" t="str">
        <f aca="false">IF(A156&lt;&gt;"",IFERROR(SUMIF('Trade Log'!$B$5:$B$1004,A156,'Trade Log'!$V$5:$V$1004)/SUMIF('Trade Log'!$B$5:$B$1004,A156,'Trade Log'!$Q$5:$Q$1004),""),"")</f>
        <v/>
      </c>
      <c r="L156" s="86" t="str">
        <f aca="false">IF(A156&lt;&gt;"",IFERROR(SUMIFS('Trade Log'!$L$5:$L$1004,'Trade Log'!$B$5:$B$1004,A156,'Trade Log'!$E$5:$E$1004,""),0),"")</f>
        <v/>
      </c>
      <c r="M156" s="87" t="str">
        <f aca="false">IF(A156&lt;&gt;"",IFERROR(INDEX('Trade Log'!$AB$5:$AB$1004,MATCH(2,1/('Trade Log'!$B$5:$B$1004=A156),1)),""),"")</f>
        <v/>
      </c>
    </row>
    <row r="157" customFormat="false" ht="19.5" hidden="false" customHeight="true" outlineLevel="0" collapsed="false">
      <c r="A157" s="88"/>
      <c r="B157" s="68" t="str">
        <f aca="false">IF(A157&lt;&gt;"",IFERROR(INDEX('Trade Log'!$G$5:$G$1004,MATCH(A157,'Trade Log'!$B$5:$B$1004,0)),""),"")</f>
        <v/>
      </c>
      <c r="C157" s="69" t="str">
        <f aca="false">IF(A157&lt;&gt;"",IFERROR(INDEX('Trade Log'!$I$5:$I$1004,MATCH(A157,'Trade Log'!$B$5:$B$1004,0)),""),"")</f>
        <v/>
      </c>
      <c r="D157" s="67" t="str">
        <f aca="false">IF(A157&lt;&gt;"",COUNTIF('Trade Log'!$B$5:$B$1004,A157),"")</f>
        <v/>
      </c>
      <c r="E157" s="67" t="str">
        <f aca="false">IF(A157&lt;&gt;"",SUMIF('Trade Log'!$B$5:$B$1004,A157,'Trade Log'!$L$5:$L$1004),"")</f>
        <v/>
      </c>
      <c r="F157" s="70" t="str">
        <f aca="false">IF(A157&lt;&gt;"",SUMIF('Trade Log'!$B$5:$B$1004,A157,'Trade Log'!$Q$5:$Q$1004),"")</f>
        <v/>
      </c>
      <c r="G157" s="70" t="str">
        <f aca="false">IF(A157&lt;&gt;"",SUMIF('Trade Log'!$B$5:$B$1004,A157,'Trade Log'!$R$5:$R$1004),"")</f>
        <v/>
      </c>
      <c r="H157" s="71" t="str">
        <f aca="false">IF(A157&lt;&gt;"",SUMIF('Trade Log'!$B$5:$B$1004,A157,'Trade Log'!$T$5:$T$1004),"")</f>
        <v/>
      </c>
      <c r="I157" s="72" t="str">
        <f aca="false">IF(A157&lt;&gt;"",IFERROR(SUMIF('Trade Log'!$B$5:$B$1004,A157,'Trade Log'!$R$5:$R$1004)/SUMIF('Trade Log'!$B$5:$B$1004,A157,'Trade Log'!$Q$5:$Q$1004)-1,""),"")</f>
        <v/>
      </c>
      <c r="J157" s="73" t="str">
        <f aca="false">IF(A157&lt;&gt;"",SUMIF('Trade Log'!$B$5:$B$1004,A157,'Trade Log'!$V$5:$V$1004),"")</f>
        <v/>
      </c>
      <c r="K157" s="74" t="str">
        <f aca="false">IF(A157&lt;&gt;"",IFERROR(SUMIF('Trade Log'!$B$5:$B$1004,A157,'Trade Log'!$V$5:$V$1004)/SUMIF('Trade Log'!$B$5:$B$1004,A157,'Trade Log'!$Q$5:$Q$1004),""),"")</f>
        <v/>
      </c>
      <c r="L157" s="75" t="str">
        <f aca="false">IF(A157&lt;&gt;"",IFERROR(SUMIFS('Trade Log'!$L$5:$L$1004,'Trade Log'!$B$5:$B$1004,A157,'Trade Log'!$E$5:$E$1004,""),0),"")</f>
        <v/>
      </c>
      <c r="M157" s="76" t="str">
        <f aca="false">IF(A157&lt;&gt;"",IFERROR(INDEX('Trade Log'!$AB$5:$AB$1004,MATCH(2,1/('Trade Log'!$B$5:$B$1004=A157),1)),""),"")</f>
        <v/>
      </c>
    </row>
    <row r="158" customFormat="false" ht="19.5" hidden="false" customHeight="true" outlineLevel="0" collapsed="false">
      <c r="A158" s="77"/>
      <c r="B158" s="78" t="str">
        <f aca="false">IF(A158&lt;&gt;"",IFERROR(INDEX('Trade Log'!$G$5:$G$1004,MATCH(A158,'Trade Log'!$B$5:$B$1004,0)),""),"")</f>
        <v/>
      </c>
      <c r="C158" s="79" t="str">
        <f aca="false">IF(A158&lt;&gt;"",IFERROR(INDEX('Trade Log'!$I$5:$I$1004,MATCH(A158,'Trade Log'!$B$5:$B$1004,0)),""),"")</f>
        <v/>
      </c>
      <c r="D158" s="80" t="str">
        <f aca="false">IF(A158&lt;&gt;"",COUNTIF('Trade Log'!$B$5:$B$1004,A158),"")</f>
        <v/>
      </c>
      <c r="E158" s="80" t="str">
        <f aca="false">IF(A158&lt;&gt;"",SUMIF('Trade Log'!$B$5:$B$1004,A158,'Trade Log'!$L$5:$L$1004),"")</f>
        <v/>
      </c>
      <c r="F158" s="81" t="str">
        <f aca="false">IF(A158&lt;&gt;"",SUMIF('Trade Log'!$B$5:$B$1004,A158,'Trade Log'!$Q$5:$Q$1004),"")</f>
        <v/>
      </c>
      <c r="G158" s="81" t="str">
        <f aca="false">IF(A158&lt;&gt;"",SUMIF('Trade Log'!$B$5:$B$1004,A158,'Trade Log'!$R$5:$R$1004),"")</f>
        <v/>
      </c>
      <c r="H158" s="82" t="str">
        <f aca="false">IF(A158&lt;&gt;"",SUMIF('Trade Log'!$B$5:$B$1004,A158,'Trade Log'!$T$5:$T$1004),"")</f>
        <v/>
      </c>
      <c r="I158" s="83" t="str">
        <f aca="false">IF(A158&lt;&gt;"",IFERROR(SUMIF('Trade Log'!$B$5:$B$1004,A158,'Trade Log'!$R$5:$R$1004)/SUMIF('Trade Log'!$B$5:$B$1004,A158,'Trade Log'!$Q$5:$Q$1004)-1,""),"")</f>
        <v/>
      </c>
      <c r="J158" s="84" t="str">
        <f aca="false">IF(A158&lt;&gt;"",SUMIF('Trade Log'!$B$5:$B$1004,A158,'Trade Log'!$V$5:$V$1004),"")</f>
        <v/>
      </c>
      <c r="K158" s="85" t="str">
        <f aca="false">IF(A158&lt;&gt;"",IFERROR(SUMIF('Trade Log'!$B$5:$B$1004,A158,'Trade Log'!$V$5:$V$1004)/SUMIF('Trade Log'!$B$5:$B$1004,A158,'Trade Log'!$Q$5:$Q$1004),""),"")</f>
        <v/>
      </c>
      <c r="L158" s="86" t="str">
        <f aca="false">IF(A158&lt;&gt;"",IFERROR(SUMIFS('Trade Log'!$L$5:$L$1004,'Trade Log'!$B$5:$B$1004,A158,'Trade Log'!$E$5:$E$1004,""),0),"")</f>
        <v/>
      </c>
      <c r="M158" s="87" t="str">
        <f aca="false">IF(A158&lt;&gt;"",IFERROR(INDEX('Trade Log'!$AB$5:$AB$1004,MATCH(2,1/('Trade Log'!$B$5:$B$1004=A158),1)),""),"")</f>
        <v/>
      </c>
    </row>
    <row r="159" customFormat="false" ht="19.5" hidden="false" customHeight="true" outlineLevel="0" collapsed="false">
      <c r="A159" s="88"/>
      <c r="B159" s="68" t="str">
        <f aca="false">IF(A159&lt;&gt;"",IFERROR(INDEX('Trade Log'!$G$5:$G$1004,MATCH(A159,'Trade Log'!$B$5:$B$1004,0)),""),"")</f>
        <v/>
      </c>
      <c r="C159" s="69" t="str">
        <f aca="false">IF(A159&lt;&gt;"",IFERROR(INDEX('Trade Log'!$I$5:$I$1004,MATCH(A159,'Trade Log'!$B$5:$B$1004,0)),""),"")</f>
        <v/>
      </c>
      <c r="D159" s="67" t="str">
        <f aca="false">IF(A159&lt;&gt;"",COUNTIF('Trade Log'!$B$5:$B$1004,A159),"")</f>
        <v/>
      </c>
      <c r="E159" s="67" t="str">
        <f aca="false">IF(A159&lt;&gt;"",SUMIF('Trade Log'!$B$5:$B$1004,A159,'Trade Log'!$L$5:$L$1004),"")</f>
        <v/>
      </c>
      <c r="F159" s="70" t="str">
        <f aca="false">IF(A159&lt;&gt;"",SUMIF('Trade Log'!$B$5:$B$1004,A159,'Trade Log'!$Q$5:$Q$1004),"")</f>
        <v/>
      </c>
      <c r="G159" s="70" t="str">
        <f aca="false">IF(A159&lt;&gt;"",SUMIF('Trade Log'!$B$5:$B$1004,A159,'Trade Log'!$R$5:$R$1004),"")</f>
        <v/>
      </c>
      <c r="H159" s="71" t="str">
        <f aca="false">IF(A159&lt;&gt;"",SUMIF('Trade Log'!$B$5:$B$1004,A159,'Trade Log'!$T$5:$T$1004),"")</f>
        <v/>
      </c>
      <c r="I159" s="72" t="str">
        <f aca="false">IF(A159&lt;&gt;"",IFERROR(SUMIF('Trade Log'!$B$5:$B$1004,A159,'Trade Log'!$R$5:$R$1004)/SUMIF('Trade Log'!$B$5:$B$1004,A159,'Trade Log'!$Q$5:$Q$1004)-1,""),"")</f>
        <v/>
      </c>
      <c r="J159" s="73" t="str">
        <f aca="false">IF(A159&lt;&gt;"",SUMIF('Trade Log'!$B$5:$B$1004,A159,'Trade Log'!$V$5:$V$1004),"")</f>
        <v/>
      </c>
      <c r="K159" s="74" t="str">
        <f aca="false">IF(A159&lt;&gt;"",IFERROR(SUMIF('Trade Log'!$B$5:$B$1004,A159,'Trade Log'!$V$5:$V$1004)/SUMIF('Trade Log'!$B$5:$B$1004,A159,'Trade Log'!$Q$5:$Q$1004),""),"")</f>
        <v/>
      </c>
      <c r="L159" s="75" t="str">
        <f aca="false">IF(A159&lt;&gt;"",IFERROR(SUMIFS('Trade Log'!$L$5:$L$1004,'Trade Log'!$B$5:$B$1004,A159,'Trade Log'!$E$5:$E$1004,""),0),"")</f>
        <v/>
      </c>
      <c r="M159" s="76" t="str">
        <f aca="false">IF(A159&lt;&gt;"",IFERROR(INDEX('Trade Log'!$AB$5:$AB$1004,MATCH(2,1/('Trade Log'!$B$5:$B$1004=A159),1)),""),"")</f>
        <v/>
      </c>
    </row>
    <row r="160" customFormat="false" ht="19.5" hidden="false" customHeight="true" outlineLevel="0" collapsed="false">
      <c r="A160" s="77"/>
      <c r="B160" s="78" t="str">
        <f aca="false">IF(A160&lt;&gt;"",IFERROR(INDEX('Trade Log'!$G$5:$G$1004,MATCH(A160,'Trade Log'!$B$5:$B$1004,0)),""),"")</f>
        <v/>
      </c>
      <c r="C160" s="79" t="str">
        <f aca="false">IF(A160&lt;&gt;"",IFERROR(INDEX('Trade Log'!$I$5:$I$1004,MATCH(A160,'Trade Log'!$B$5:$B$1004,0)),""),"")</f>
        <v/>
      </c>
      <c r="D160" s="80" t="str">
        <f aca="false">IF(A160&lt;&gt;"",COUNTIF('Trade Log'!$B$5:$B$1004,A160),"")</f>
        <v/>
      </c>
      <c r="E160" s="80" t="str">
        <f aca="false">IF(A160&lt;&gt;"",SUMIF('Trade Log'!$B$5:$B$1004,A160,'Trade Log'!$L$5:$L$1004),"")</f>
        <v/>
      </c>
      <c r="F160" s="81" t="str">
        <f aca="false">IF(A160&lt;&gt;"",SUMIF('Trade Log'!$B$5:$B$1004,A160,'Trade Log'!$Q$5:$Q$1004),"")</f>
        <v/>
      </c>
      <c r="G160" s="81" t="str">
        <f aca="false">IF(A160&lt;&gt;"",SUMIF('Trade Log'!$B$5:$B$1004,A160,'Trade Log'!$R$5:$R$1004),"")</f>
        <v/>
      </c>
      <c r="H160" s="82" t="str">
        <f aca="false">IF(A160&lt;&gt;"",SUMIF('Trade Log'!$B$5:$B$1004,A160,'Trade Log'!$T$5:$T$1004),"")</f>
        <v/>
      </c>
      <c r="I160" s="83" t="str">
        <f aca="false">IF(A160&lt;&gt;"",IFERROR(SUMIF('Trade Log'!$B$5:$B$1004,A160,'Trade Log'!$R$5:$R$1004)/SUMIF('Trade Log'!$B$5:$B$1004,A160,'Trade Log'!$Q$5:$Q$1004)-1,""),"")</f>
        <v/>
      </c>
      <c r="J160" s="84" t="str">
        <f aca="false">IF(A160&lt;&gt;"",SUMIF('Trade Log'!$B$5:$B$1004,A160,'Trade Log'!$V$5:$V$1004),"")</f>
        <v/>
      </c>
      <c r="K160" s="85" t="str">
        <f aca="false">IF(A160&lt;&gt;"",IFERROR(SUMIF('Trade Log'!$B$5:$B$1004,A160,'Trade Log'!$V$5:$V$1004)/SUMIF('Trade Log'!$B$5:$B$1004,A160,'Trade Log'!$Q$5:$Q$1004),""),"")</f>
        <v/>
      </c>
      <c r="L160" s="86" t="str">
        <f aca="false">IF(A160&lt;&gt;"",IFERROR(SUMIFS('Trade Log'!$L$5:$L$1004,'Trade Log'!$B$5:$B$1004,A160,'Trade Log'!$E$5:$E$1004,""),0),"")</f>
        <v/>
      </c>
      <c r="M160" s="87" t="str">
        <f aca="false">IF(A160&lt;&gt;"",IFERROR(INDEX('Trade Log'!$AB$5:$AB$1004,MATCH(2,1/('Trade Log'!$B$5:$B$1004=A160),1)),""),"")</f>
        <v/>
      </c>
    </row>
    <row r="161" customFormat="false" ht="19.5" hidden="false" customHeight="true" outlineLevel="0" collapsed="false">
      <c r="A161" s="88"/>
      <c r="B161" s="68" t="str">
        <f aca="false">IF(A161&lt;&gt;"",IFERROR(INDEX('Trade Log'!$G$5:$G$1004,MATCH(A161,'Trade Log'!$B$5:$B$1004,0)),""),"")</f>
        <v/>
      </c>
      <c r="C161" s="69" t="str">
        <f aca="false">IF(A161&lt;&gt;"",IFERROR(INDEX('Trade Log'!$I$5:$I$1004,MATCH(A161,'Trade Log'!$B$5:$B$1004,0)),""),"")</f>
        <v/>
      </c>
      <c r="D161" s="67" t="str">
        <f aca="false">IF(A161&lt;&gt;"",COUNTIF('Trade Log'!$B$5:$B$1004,A161),"")</f>
        <v/>
      </c>
      <c r="E161" s="67" t="str">
        <f aca="false">IF(A161&lt;&gt;"",SUMIF('Trade Log'!$B$5:$B$1004,A161,'Trade Log'!$L$5:$L$1004),"")</f>
        <v/>
      </c>
      <c r="F161" s="70" t="str">
        <f aca="false">IF(A161&lt;&gt;"",SUMIF('Trade Log'!$B$5:$B$1004,A161,'Trade Log'!$Q$5:$Q$1004),"")</f>
        <v/>
      </c>
      <c r="G161" s="70" t="str">
        <f aca="false">IF(A161&lt;&gt;"",SUMIF('Trade Log'!$B$5:$B$1004,A161,'Trade Log'!$R$5:$R$1004),"")</f>
        <v/>
      </c>
      <c r="H161" s="71" t="str">
        <f aca="false">IF(A161&lt;&gt;"",SUMIF('Trade Log'!$B$5:$B$1004,A161,'Trade Log'!$T$5:$T$1004),"")</f>
        <v/>
      </c>
      <c r="I161" s="72" t="str">
        <f aca="false">IF(A161&lt;&gt;"",IFERROR(SUMIF('Trade Log'!$B$5:$B$1004,A161,'Trade Log'!$R$5:$R$1004)/SUMIF('Trade Log'!$B$5:$B$1004,A161,'Trade Log'!$Q$5:$Q$1004)-1,""),"")</f>
        <v/>
      </c>
      <c r="J161" s="73" t="str">
        <f aca="false">IF(A161&lt;&gt;"",SUMIF('Trade Log'!$B$5:$B$1004,A161,'Trade Log'!$V$5:$V$1004),"")</f>
        <v/>
      </c>
      <c r="K161" s="74" t="str">
        <f aca="false">IF(A161&lt;&gt;"",IFERROR(SUMIF('Trade Log'!$B$5:$B$1004,A161,'Trade Log'!$V$5:$V$1004)/SUMIF('Trade Log'!$B$5:$B$1004,A161,'Trade Log'!$Q$5:$Q$1004),""),"")</f>
        <v/>
      </c>
      <c r="L161" s="75" t="str">
        <f aca="false">IF(A161&lt;&gt;"",IFERROR(SUMIFS('Trade Log'!$L$5:$L$1004,'Trade Log'!$B$5:$B$1004,A161,'Trade Log'!$E$5:$E$1004,""),0),"")</f>
        <v/>
      </c>
      <c r="M161" s="76" t="str">
        <f aca="false">IF(A161&lt;&gt;"",IFERROR(INDEX('Trade Log'!$AB$5:$AB$1004,MATCH(2,1/('Trade Log'!$B$5:$B$1004=A161),1)),""),"")</f>
        <v/>
      </c>
    </row>
    <row r="162" customFormat="false" ht="19.5" hidden="false" customHeight="true" outlineLevel="0" collapsed="false">
      <c r="A162" s="77"/>
      <c r="B162" s="78" t="str">
        <f aca="false">IF(A162&lt;&gt;"",IFERROR(INDEX('Trade Log'!$G$5:$G$1004,MATCH(A162,'Trade Log'!$B$5:$B$1004,0)),""),"")</f>
        <v/>
      </c>
      <c r="C162" s="79" t="str">
        <f aca="false">IF(A162&lt;&gt;"",IFERROR(INDEX('Trade Log'!$I$5:$I$1004,MATCH(A162,'Trade Log'!$B$5:$B$1004,0)),""),"")</f>
        <v/>
      </c>
      <c r="D162" s="80" t="str">
        <f aca="false">IF(A162&lt;&gt;"",COUNTIF('Trade Log'!$B$5:$B$1004,A162),"")</f>
        <v/>
      </c>
      <c r="E162" s="80" t="str">
        <f aca="false">IF(A162&lt;&gt;"",SUMIF('Trade Log'!$B$5:$B$1004,A162,'Trade Log'!$L$5:$L$1004),"")</f>
        <v/>
      </c>
      <c r="F162" s="81" t="str">
        <f aca="false">IF(A162&lt;&gt;"",SUMIF('Trade Log'!$B$5:$B$1004,A162,'Trade Log'!$Q$5:$Q$1004),"")</f>
        <v/>
      </c>
      <c r="G162" s="81" t="str">
        <f aca="false">IF(A162&lt;&gt;"",SUMIF('Trade Log'!$B$5:$B$1004,A162,'Trade Log'!$R$5:$R$1004),"")</f>
        <v/>
      </c>
      <c r="H162" s="82" t="str">
        <f aca="false">IF(A162&lt;&gt;"",SUMIF('Trade Log'!$B$5:$B$1004,A162,'Trade Log'!$T$5:$T$1004),"")</f>
        <v/>
      </c>
      <c r="I162" s="83" t="str">
        <f aca="false">IF(A162&lt;&gt;"",IFERROR(SUMIF('Trade Log'!$B$5:$B$1004,A162,'Trade Log'!$R$5:$R$1004)/SUMIF('Trade Log'!$B$5:$B$1004,A162,'Trade Log'!$Q$5:$Q$1004)-1,""),"")</f>
        <v/>
      </c>
      <c r="J162" s="84" t="str">
        <f aca="false">IF(A162&lt;&gt;"",SUMIF('Trade Log'!$B$5:$B$1004,A162,'Trade Log'!$V$5:$V$1004),"")</f>
        <v/>
      </c>
      <c r="K162" s="85" t="str">
        <f aca="false">IF(A162&lt;&gt;"",IFERROR(SUMIF('Trade Log'!$B$5:$B$1004,A162,'Trade Log'!$V$5:$V$1004)/SUMIF('Trade Log'!$B$5:$B$1004,A162,'Trade Log'!$Q$5:$Q$1004),""),"")</f>
        <v/>
      </c>
      <c r="L162" s="86" t="str">
        <f aca="false">IF(A162&lt;&gt;"",IFERROR(SUMIFS('Trade Log'!$L$5:$L$1004,'Trade Log'!$B$5:$B$1004,A162,'Trade Log'!$E$5:$E$1004,""),0),"")</f>
        <v/>
      </c>
      <c r="M162" s="87" t="str">
        <f aca="false">IF(A162&lt;&gt;"",IFERROR(INDEX('Trade Log'!$AB$5:$AB$1004,MATCH(2,1/('Trade Log'!$B$5:$B$1004=A162),1)),""),"")</f>
        <v/>
      </c>
    </row>
    <row r="163" customFormat="false" ht="19.5" hidden="false" customHeight="true" outlineLevel="0" collapsed="false">
      <c r="A163" s="88"/>
      <c r="B163" s="68" t="str">
        <f aca="false">IF(A163&lt;&gt;"",IFERROR(INDEX('Trade Log'!$G$5:$G$1004,MATCH(A163,'Trade Log'!$B$5:$B$1004,0)),""),"")</f>
        <v/>
      </c>
      <c r="C163" s="69" t="str">
        <f aca="false">IF(A163&lt;&gt;"",IFERROR(INDEX('Trade Log'!$I$5:$I$1004,MATCH(A163,'Trade Log'!$B$5:$B$1004,0)),""),"")</f>
        <v/>
      </c>
      <c r="D163" s="67" t="str">
        <f aca="false">IF(A163&lt;&gt;"",COUNTIF('Trade Log'!$B$5:$B$1004,A163),"")</f>
        <v/>
      </c>
      <c r="E163" s="67" t="str">
        <f aca="false">IF(A163&lt;&gt;"",SUMIF('Trade Log'!$B$5:$B$1004,A163,'Trade Log'!$L$5:$L$1004),"")</f>
        <v/>
      </c>
      <c r="F163" s="70" t="str">
        <f aca="false">IF(A163&lt;&gt;"",SUMIF('Trade Log'!$B$5:$B$1004,A163,'Trade Log'!$Q$5:$Q$1004),"")</f>
        <v/>
      </c>
      <c r="G163" s="70" t="str">
        <f aca="false">IF(A163&lt;&gt;"",SUMIF('Trade Log'!$B$5:$B$1004,A163,'Trade Log'!$R$5:$R$1004),"")</f>
        <v/>
      </c>
      <c r="H163" s="71" t="str">
        <f aca="false">IF(A163&lt;&gt;"",SUMIF('Trade Log'!$B$5:$B$1004,A163,'Trade Log'!$T$5:$T$1004),"")</f>
        <v/>
      </c>
      <c r="I163" s="72" t="str">
        <f aca="false">IF(A163&lt;&gt;"",IFERROR(SUMIF('Trade Log'!$B$5:$B$1004,A163,'Trade Log'!$R$5:$R$1004)/SUMIF('Trade Log'!$B$5:$B$1004,A163,'Trade Log'!$Q$5:$Q$1004)-1,""),"")</f>
        <v/>
      </c>
      <c r="J163" s="73" t="str">
        <f aca="false">IF(A163&lt;&gt;"",SUMIF('Trade Log'!$B$5:$B$1004,A163,'Trade Log'!$V$5:$V$1004),"")</f>
        <v/>
      </c>
      <c r="K163" s="74" t="str">
        <f aca="false">IF(A163&lt;&gt;"",IFERROR(SUMIF('Trade Log'!$B$5:$B$1004,A163,'Trade Log'!$V$5:$V$1004)/SUMIF('Trade Log'!$B$5:$B$1004,A163,'Trade Log'!$Q$5:$Q$1004),""),"")</f>
        <v/>
      </c>
      <c r="L163" s="75" t="str">
        <f aca="false">IF(A163&lt;&gt;"",IFERROR(SUMIFS('Trade Log'!$L$5:$L$1004,'Trade Log'!$B$5:$B$1004,A163,'Trade Log'!$E$5:$E$1004,""),0),"")</f>
        <v/>
      </c>
      <c r="M163" s="76" t="str">
        <f aca="false">IF(A163&lt;&gt;"",IFERROR(INDEX('Trade Log'!$AB$5:$AB$1004,MATCH(2,1/('Trade Log'!$B$5:$B$1004=A163),1)),""),"")</f>
        <v/>
      </c>
    </row>
    <row r="164" customFormat="false" ht="19.5" hidden="false" customHeight="true" outlineLevel="0" collapsed="false">
      <c r="A164" s="77"/>
      <c r="B164" s="78" t="str">
        <f aca="false">IF(A164&lt;&gt;"",IFERROR(INDEX('Trade Log'!$G$5:$G$1004,MATCH(A164,'Trade Log'!$B$5:$B$1004,0)),""),"")</f>
        <v/>
      </c>
      <c r="C164" s="79" t="str">
        <f aca="false">IF(A164&lt;&gt;"",IFERROR(INDEX('Trade Log'!$I$5:$I$1004,MATCH(A164,'Trade Log'!$B$5:$B$1004,0)),""),"")</f>
        <v/>
      </c>
      <c r="D164" s="80" t="str">
        <f aca="false">IF(A164&lt;&gt;"",COUNTIF('Trade Log'!$B$5:$B$1004,A164),"")</f>
        <v/>
      </c>
      <c r="E164" s="80" t="str">
        <f aca="false">IF(A164&lt;&gt;"",SUMIF('Trade Log'!$B$5:$B$1004,A164,'Trade Log'!$L$5:$L$1004),"")</f>
        <v/>
      </c>
      <c r="F164" s="81" t="str">
        <f aca="false">IF(A164&lt;&gt;"",SUMIF('Trade Log'!$B$5:$B$1004,A164,'Trade Log'!$Q$5:$Q$1004),"")</f>
        <v/>
      </c>
      <c r="G164" s="81" t="str">
        <f aca="false">IF(A164&lt;&gt;"",SUMIF('Trade Log'!$B$5:$B$1004,A164,'Trade Log'!$R$5:$R$1004),"")</f>
        <v/>
      </c>
      <c r="H164" s="82" t="str">
        <f aca="false">IF(A164&lt;&gt;"",SUMIF('Trade Log'!$B$5:$B$1004,A164,'Trade Log'!$T$5:$T$1004),"")</f>
        <v/>
      </c>
      <c r="I164" s="83" t="str">
        <f aca="false">IF(A164&lt;&gt;"",IFERROR(SUMIF('Trade Log'!$B$5:$B$1004,A164,'Trade Log'!$R$5:$R$1004)/SUMIF('Trade Log'!$B$5:$B$1004,A164,'Trade Log'!$Q$5:$Q$1004)-1,""),"")</f>
        <v/>
      </c>
      <c r="J164" s="84" t="str">
        <f aca="false">IF(A164&lt;&gt;"",SUMIF('Trade Log'!$B$5:$B$1004,A164,'Trade Log'!$V$5:$V$1004),"")</f>
        <v/>
      </c>
      <c r="K164" s="85" t="str">
        <f aca="false">IF(A164&lt;&gt;"",IFERROR(SUMIF('Trade Log'!$B$5:$B$1004,A164,'Trade Log'!$V$5:$V$1004)/SUMIF('Trade Log'!$B$5:$B$1004,A164,'Trade Log'!$Q$5:$Q$1004),""),"")</f>
        <v/>
      </c>
      <c r="L164" s="86" t="str">
        <f aca="false">IF(A164&lt;&gt;"",IFERROR(SUMIFS('Trade Log'!$L$5:$L$1004,'Trade Log'!$B$5:$B$1004,A164,'Trade Log'!$E$5:$E$1004,""),0),"")</f>
        <v/>
      </c>
      <c r="M164" s="87" t="str">
        <f aca="false">IF(A164&lt;&gt;"",IFERROR(INDEX('Trade Log'!$AB$5:$AB$1004,MATCH(2,1/('Trade Log'!$B$5:$B$1004=A164),1)),""),"")</f>
        <v/>
      </c>
    </row>
    <row r="165" customFormat="false" ht="19.5" hidden="false" customHeight="true" outlineLevel="0" collapsed="false">
      <c r="A165" s="88"/>
      <c r="B165" s="68" t="str">
        <f aca="false">IF(A165&lt;&gt;"",IFERROR(INDEX('Trade Log'!$G$5:$G$1004,MATCH(A165,'Trade Log'!$B$5:$B$1004,0)),""),"")</f>
        <v/>
      </c>
      <c r="C165" s="69" t="str">
        <f aca="false">IF(A165&lt;&gt;"",IFERROR(INDEX('Trade Log'!$I$5:$I$1004,MATCH(A165,'Trade Log'!$B$5:$B$1004,0)),""),"")</f>
        <v/>
      </c>
      <c r="D165" s="67" t="str">
        <f aca="false">IF(A165&lt;&gt;"",COUNTIF('Trade Log'!$B$5:$B$1004,A165),"")</f>
        <v/>
      </c>
      <c r="E165" s="67" t="str">
        <f aca="false">IF(A165&lt;&gt;"",SUMIF('Trade Log'!$B$5:$B$1004,A165,'Trade Log'!$L$5:$L$1004),"")</f>
        <v/>
      </c>
      <c r="F165" s="70" t="str">
        <f aca="false">IF(A165&lt;&gt;"",SUMIF('Trade Log'!$B$5:$B$1004,A165,'Trade Log'!$Q$5:$Q$1004),"")</f>
        <v/>
      </c>
      <c r="G165" s="70" t="str">
        <f aca="false">IF(A165&lt;&gt;"",SUMIF('Trade Log'!$B$5:$B$1004,A165,'Trade Log'!$R$5:$R$1004),"")</f>
        <v/>
      </c>
      <c r="H165" s="71" t="str">
        <f aca="false">IF(A165&lt;&gt;"",SUMIF('Trade Log'!$B$5:$B$1004,A165,'Trade Log'!$T$5:$T$1004),"")</f>
        <v/>
      </c>
      <c r="I165" s="72" t="str">
        <f aca="false">IF(A165&lt;&gt;"",IFERROR(SUMIF('Trade Log'!$B$5:$B$1004,A165,'Trade Log'!$R$5:$R$1004)/SUMIF('Trade Log'!$B$5:$B$1004,A165,'Trade Log'!$Q$5:$Q$1004)-1,""),"")</f>
        <v/>
      </c>
      <c r="J165" s="73" t="str">
        <f aca="false">IF(A165&lt;&gt;"",SUMIF('Trade Log'!$B$5:$B$1004,A165,'Trade Log'!$V$5:$V$1004),"")</f>
        <v/>
      </c>
      <c r="K165" s="74" t="str">
        <f aca="false">IF(A165&lt;&gt;"",IFERROR(SUMIF('Trade Log'!$B$5:$B$1004,A165,'Trade Log'!$V$5:$V$1004)/SUMIF('Trade Log'!$B$5:$B$1004,A165,'Trade Log'!$Q$5:$Q$1004),""),"")</f>
        <v/>
      </c>
      <c r="L165" s="75" t="str">
        <f aca="false">IF(A165&lt;&gt;"",IFERROR(SUMIFS('Trade Log'!$L$5:$L$1004,'Trade Log'!$B$5:$B$1004,A165,'Trade Log'!$E$5:$E$1004,""),0),"")</f>
        <v/>
      </c>
      <c r="M165" s="76" t="str">
        <f aca="false">IF(A165&lt;&gt;"",IFERROR(INDEX('Trade Log'!$AB$5:$AB$1004,MATCH(2,1/('Trade Log'!$B$5:$B$1004=A165),1)),""),"")</f>
        <v/>
      </c>
    </row>
    <row r="166" customFormat="false" ht="19.5" hidden="false" customHeight="true" outlineLevel="0" collapsed="false">
      <c r="A166" s="77"/>
      <c r="B166" s="78" t="str">
        <f aca="false">IF(A166&lt;&gt;"",IFERROR(INDEX('Trade Log'!$G$5:$G$1004,MATCH(A166,'Trade Log'!$B$5:$B$1004,0)),""),"")</f>
        <v/>
      </c>
      <c r="C166" s="79" t="str">
        <f aca="false">IF(A166&lt;&gt;"",IFERROR(INDEX('Trade Log'!$I$5:$I$1004,MATCH(A166,'Trade Log'!$B$5:$B$1004,0)),""),"")</f>
        <v/>
      </c>
      <c r="D166" s="80" t="str">
        <f aca="false">IF(A166&lt;&gt;"",COUNTIF('Trade Log'!$B$5:$B$1004,A166),"")</f>
        <v/>
      </c>
      <c r="E166" s="80" t="str">
        <f aca="false">IF(A166&lt;&gt;"",SUMIF('Trade Log'!$B$5:$B$1004,A166,'Trade Log'!$L$5:$L$1004),"")</f>
        <v/>
      </c>
      <c r="F166" s="81" t="str">
        <f aca="false">IF(A166&lt;&gt;"",SUMIF('Trade Log'!$B$5:$B$1004,A166,'Trade Log'!$Q$5:$Q$1004),"")</f>
        <v/>
      </c>
      <c r="G166" s="81" t="str">
        <f aca="false">IF(A166&lt;&gt;"",SUMIF('Trade Log'!$B$5:$B$1004,A166,'Trade Log'!$R$5:$R$1004),"")</f>
        <v/>
      </c>
      <c r="H166" s="82" t="str">
        <f aca="false">IF(A166&lt;&gt;"",SUMIF('Trade Log'!$B$5:$B$1004,A166,'Trade Log'!$T$5:$T$1004),"")</f>
        <v/>
      </c>
      <c r="I166" s="83" t="str">
        <f aca="false">IF(A166&lt;&gt;"",IFERROR(SUMIF('Trade Log'!$B$5:$B$1004,A166,'Trade Log'!$R$5:$R$1004)/SUMIF('Trade Log'!$B$5:$B$1004,A166,'Trade Log'!$Q$5:$Q$1004)-1,""),"")</f>
        <v/>
      </c>
      <c r="J166" s="84" t="str">
        <f aca="false">IF(A166&lt;&gt;"",SUMIF('Trade Log'!$B$5:$B$1004,A166,'Trade Log'!$V$5:$V$1004),"")</f>
        <v/>
      </c>
      <c r="K166" s="85" t="str">
        <f aca="false">IF(A166&lt;&gt;"",IFERROR(SUMIF('Trade Log'!$B$5:$B$1004,A166,'Trade Log'!$V$5:$V$1004)/SUMIF('Trade Log'!$B$5:$B$1004,A166,'Trade Log'!$Q$5:$Q$1004),""),"")</f>
        <v/>
      </c>
      <c r="L166" s="86" t="str">
        <f aca="false">IF(A166&lt;&gt;"",IFERROR(SUMIFS('Trade Log'!$L$5:$L$1004,'Trade Log'!$B$5:$B$1004,A166,'Trade Log'!$E$5:$E$1004,""),0),"")</f>
        <v/>
      </c>
      <c r="M166" s="87" t="str">
        <f aca="false">IF(A166&lt;&gt;"",IFERROR(INDEX('Trade Log'!$AB$5:$AB$1004,MATCH(2,1/('Trade Log'!$B$5:$B$1004=A166),1)),""),"")</f>
        <v/>
      </c>
    </row>
    <row r="167" customFormat="false" ht="19.5" hidden="false" customHeight="true" outlineLevel="0" collapsed="false">
      <c r="A167" s="88"/>
      <c r="B167" s="68" t="str">
        <f aca="false">IF(A167&lt;&gt;"",IFERROR(INDEX('Trade Log'!$G$5:$G$1004,MATCH(A167,'Trade Log'!$B$5:$B$1004,0)),""),"")</f>
        <v/>
      </c>
      <c r="C167" s="69" t="str">
        <f aca="false">IF(A167&lt;&gt;"",IFERROR(INDEX('Trade Log'!$I$5:$I$1004,MATCH(A167,'Trade Log'!$B$5:$B$1004,0)),""),"")</f>
        <v/>
      </c>
      <c r="D167" s="67" t="str">
        <f aca="false">IF(A167&lt;&gt;"",COUNTIF('Trade Log'!$B$5:$B$1004,A167),"")</f>
        <v/>
      </c>
      <c r="E167" s="67" t="str">
        <f aca="false">IF(A167&lt;&gt;"",SUMIF('Trade Log'!$B$5:$B$1004,A167,'Trade Log'!$L$5:$L$1004),"")</f>
        <v/>
      </c>
      <c r="F167" s="70" t="str">
        <f aca="false">IF(A167&lt;&gt;"",SUMIF('Trade Log'!$B$5:$B$1004,A167,'Trade Log'!$Q$5:$Q$1004),"")</f>
        <v/>
      </c>
      <c r="G167" s="70" t="str">
        <f aca="false">IF(A167&lt;&gt;"",SUMIF('Trade Log'!$B$5:$B$1004,A167,'Trade Log'!$R$5:$R$1004),"")</f>
        <v/>
      </c>
      <c r="H167" s="71" t="str">
        <f aca="false">IF(A167&lt;&gt;"",SUMIF('Trade Log'!$B$5:$B$1004,A167,'Trade Log'!$T$5:$T$1004),"")</f>
        <v/>
      </c>
      <c r="I167" s="72" t="str">
        <f aca="false">IF(A167&lt;&gt;"",IFERROR(SUMIF('Trade Log'!$B$5:$B$1004,A167,'Trade Log'!$R$5:$R$1004)/SUMIF('Trade Log'!$B$5:$B$1004,A167,'Trade Log'!$Q$5:$Q$1004)-1,""),"")</f>
        <v/>
      </c>
      <c r="J167" s="73" t="str">
        <f aca="false">IF(A167&lt;&gt;"",SUMIF('Trade Log'!$B$5:$B$1004,A167,'Trade Log'!$V$5:$V$1004),"")</f>
        <v/>
      </c>
      <c r="K167" s="74" t="str">
        <f aca="false">IF(A167&lt;&gt;"",IFERROR(SUMIF('Trade Log'!$B$5:$B$1004,A167,'Trade Log'!$V$5:$V$1004)/SUMIF('Trade Log'!$B$5:$B$1004,A167,'Trade Log'!$Q$5:$Q$1004),""),"")</f>
        <v/>
      </c>
      <c r="L167" s="75" t="str">
        <f aca="false">IF(A167&lt;&gt;"",IFERROR(SUMIFS('Trade Log'!$L$5:$L$1004,'Trade Log'!$B$5:$B$1004,A167,'Trade Log'!$E$5:$E$1004,""),0),"")</f>
        <v/>
      </c>
      <c r="M167" s="76" t="str">
        <f aca="false">IF(A167&lt;&gt;"",IFERROR(INDEX('Trade Log'!$AB$5:$AB$1004,MATCH(2,1/('Trade Log'!$B$5:$B$1004=A167),1)),""),"")</f>
        <v/>
      </c>
    </row>
    <row r="168" customFormat="false" ht="19.5" hidden="false" customHeight="true" outlineLevel="0" collapsed="false">
      <c r="A168" s="77"/>
      <c r="B168" s="78" t="str">
        <f aca="false">IF(A168&lt;&gt;"",IFERROR(INDEX('Trade Log'!$G$5:$G$1004,MATCH(A168,'Trade Log'!$B$5:$B$1004,0)),""),"")</f>
        <v/>
      </c>
      <c r="C168" s="79" t="str">
        <f aca="false">IF(A168&lt;&gt;"",IFERROR(INDEX('Trade Log'!$I$5:$I$1004,MATCH(A168,'Trade Log'!$B$5:$B$1004,0)),""),"")</f>
        <v/>
      </c>
      <c r="D168" s="80" t="str">
        <f aca="false">IF(A168&lt;&gt;"",COUNTIF('Trade Log'!$B$5:$B$1004,A168),"")</f>
        <v/>
      </c>
      <c r="E168" s="80" t="str">
        <f aca="false">IF(A168&lt;&gt;"",SUMIF('Trade Log'!$B$5:$B$1004,A168,'Trade Log'!$L$5:$L$1004),"")</f>
        <v/>
      </c>
      <c r="F168" s="81" t="str">
        <f aca="false">IF(A168&lt;&gt;"",SUMIF('Trade Log'!$B$5:$B$1004,A168,'Trade Log'!$Q$5:$Q$1004),"")</f>
        <v/>
      </c>
      <c r="G168" s="81" t="str">
        <f aca="false">IF(A168&lt;&gt;"",SUMIF('Trade Log'!$B$5:$B$1004,A168,'Trade Log'!$R$5:$R$1004),"")</f>
        <v/>
      </c>
      <c r="H168" s="82" t="str">
        <f aca="false">IF(A168&lt;&gt;"",SUMIF('Trade Log'!$B$5:$B$1004,A168,'Trade Log'!$T$5:$T$1004),"")</f>
        <v/>
      </c>
      <c r="I168" s="83" t="str">
        <f aca="false">IF(A168&lt;&gt;"",IFERROR(SUMIF('Trade Log'!$B$5:$B$1004,A168,'Trade Log'!$R$5:$R$1004)/SUMIF('Trade Log'!$B$5:$B$1004,A168,'Trade Log'!$Q$5:$Q$1004)-1,""),"")</f>
        <v/>
      </c>
      <c r="J168" s="84" t="str">
        <f aca="false">IF(A168&lt;&gt;"",SUMIF('Trade Log'!$B$5:$B$1004,A168,'Trade Log'!$V$5:$V$1004),"")</f>
        <v/>
      </c>
      <c r="K168" s="85" t="str">
        <f aca="false">IF(A168&lt;&gt;"",IFERROR(SUMIF('Trade Log'!$B$5:$B$1004,A168,'Trade Log'!$V$5:$V$1004)/SUMIF('Trade Log'!$B$5:$B$1004,A168,'Trade Log'!$Q$5:$Q$1004),""),"")</f>
        <v/>
      </c>
      <c r="L168" s="86" t="str">
        <f aca="false">IF(A168&lt;&gt;"",IFERROR(SUMIFS('Trade Log'!$L$5:$L$1004,'Trade Log'!$B$5:$B$1004,A168,'Trade Log'!$E$5:$E$1004,""),0),"")</f>
        <v/>
      </c>
      <c r="M168" s="87" t="str">
        <f aca="false">IF(A168&lt;&gt;"",IFERROR(INDEX('Trade Log'!$AB$5:$AB$1004,MATCH(2,1/('Trade Log'!$B$5:$B$1004=A168),1)),""),"")</f>
        <v/>
      </c>
    </row>
    <row r="169" customFormat="false" ht="19.5" hidden="false" customHeight="true" outlineLevel="0" collapsed="false">
      <c r="A169" s="88"/>
      <c r="B169" s="68" t="str">
        <f aca="false">IF(A169&lt;&gt;"",IFERROR(INDEX('Trade Log'!$G$5:$G$1004,MATCH(A169,'Trade Log'!$B$5:$B$1004,0)),""),"")</f>
        <v/>
      </c>
      <c r="C169" s="69" t="str">
        <f aca="false">IF(A169&lt;&gt;"",IFERROR(INDEX('Trade Log'!$I$5:$I$1004,MATCH(A169,'Trade Log'!$B$5:$B$1004,0)),""),"")</f>
        <v/>
      </c>
      <c r="D169" s="67" t="str">
        <f aca="false">IF(A169&lt;&gt;"",COUNTIF('Trade Log'!$B$5:$B$1004,A169),"")</f>
        <v/>
      </c>
      <c r="E169" s="67" t="str">
        <f aca="false">IF(A169&lt;&gt;"",SUMIF('Trade Log'!$B$5:$B$1004,A169,'Trade Log'!$L$5:$L$1004),"")</f>
        <v/>
      </c>
      <c r="F169" s="70" t="str">
        <f aca="false">IF(A169&lt;&gt;"",SUMIF('Trade Log'!$B$5:$B$1004,A169,'Trade Log'!$Q$5:$Q$1004),"")</f>
        <v/>
      </c>
      <c r="G169" s="70" t="str">
        <f aca="false">IF(A169&lt;&gt;"",SUMIF('Trade Log'!$B$5:$B$1004,A169,'Trade Log'!$R$5:$R$1004),"")</f>
        <v/>
      </c>
      <c r="H169" s="71" t="str">
        <f aca="false">IF(A169&lt;&gt;"",SUMIF('Trade Log'!$B$5:$B$1004,A169,'Trade Log'!$T$5:$T$1004),"")</f>
        <v/>
      </c>
      <c r="I169" s="72" t="str">
        <f aca="false">IF(A169&lt;&gt;"",IFERROR(SUMIF('Trade Log'!$B$5:$B$1004,A169,'Trade Log'!$R$5:$R$1004)/SUMIF('Trade Log'!$B$5:$B$1004,A169,'Trade Log'!$Q$5:$Q$1004)-1,""),"")</f>
        <v/>
      </c>
      <c r="J169" s="73" t="str">
        <f aca="false">IF(A169&lt;&gt;"",SUMIF('Trade Log'!$B$5:$B$1004,A169,'Trade Log'!$V$5:$V$1004),"")</f>
        <v/>
      </c>
      <c r="K169" s="74" t="str">
        <f aca="false">IF(A169&lt;&gt;"",IFERROR(SUMIF('Trade Log'!$B$5:$B$1004,A169,'Trade Log'!$V$5:$V$1004)/SUMIF('Trade Log'!$B$5:$B$1004,A169,'Trade Log'!$Q$5:$Q$1004),""),"")</f>
        <v/>
      </c>
      <c r="L169" s="75" t="str">
        <f aca="false">IF(A169&lt;&gt;"",IFERROR(SUMIFS('Trade Log'!$L$5:$L$1004,'Trade Log'!$B$5:$B$1004,A169,'Trade Log'!$E$5:$E$1004,""),0),"")</f>
        <v/>
      </c>
      <c r="M169" s="76" t="str">
        <f aca="false">IF(A169&lt;&gt;"",IFERROR(INDEX('Trade Log'!$AB$5:$AB$1004,MATCH(2,1/('Trade Log'!$B$5:$B$1004=A169),1)),""),"")</f>
        <v/>
      </c>
    </row>
    <row r="170" customFormat="false" ht="19.5" hidden="false" customHeight="true" outlineLevel="0" collapsed="false">
      <c r="A170" s="77"/>
      <c r="B170" s="78" t="str">
        <f aca="false">IF(A170&lt;&gt;"",IFERROR(INDEX('Trade Log'!$G$5:$G$1004,MATCH(A170,'Trade Log'!$B$5:$B$1004,0)),""),"")</f>
        <v/>
      </c>
      <c r="C170" s="79" t="str">
        <f aca="false">IF(A170&lt;&gt;"",IFERROR(INDEX('Trade Log'!$I$5:$I$1004,MATCH(A170,'Trade Log'!$B$5:$B$1004,0)),""),"")</f>
        <v/>
      </c>
      <c r="D170" s="80" t="str">
        <f aca="false">IF(A170&lt;&gt;"",COUNTIF('Trade Log'!$B$5:$B$1004,A170),"")</f>
        <v/>
      </c>
      <c r="E170" s="80" t="str">
        <f aca="false">IF(A170&lt;&gt;"",SUMIF('Trade Log'!$B$5:$B$1004,A170,'Trade Log'!$L$5:$L$1004),"")</f>
        <v/>
      </c>
      <c r="F170" s="81" t="str">
        <f aca="false">IF(A170&lt;&gt;"",SUMIF('Trade Log'!$B$5:$B$1004,A170,'Trade Log'!$Q$5:$Q$1004),"")</f>
        <v/>
      </c>
      <c r="G170" s="81" t="str">
        <f aca="false">IF(A170&lt;&gt;"",SUMIF('Trade Log'!$B$5:$B$1004,A170,'Trade Log'!$R$5:$R$1004),"")</f>
        <v/>
      </c>
      <c r="H170" s="82" t="str">
        <f aca="false">IF(A170&lt;&gt;"",SUMIF('Trade Log'!$B$5:$B$1004,A170,'Trade Log'!$T$5:$T$1004),"")</f>
        <v/>
      </c>
      <c r="I170" s="83" t="str">
        <f aca="false">IF(A170&lt;&gt;"",IFERROR(SUMIF('Trade Log'!$B$5:$B$1004,A170,'Trade Log'!$R$5:$R$1004)/SUMIF('Trade Log'!$B$5:$B$1004,A170,'Trade Log'!$Q$5:$Q$1004)-1,""),"")</f>
        <v/>
      </c>
      <c r="J170" s="84" t="str">
        <f aca="false">IF(A170&lt;&gt;"",SUMIF('Trade Log'!$B$5:$B$1004,A170,'Trade Log'!$V$5:$V$1004),"")</f>
        <v/>
      </c>
      <c r="K170" s="85" t="str">
        <f aca="false">IF(A170&lt;&gt;"",IFERROR(SUMIF('Trade Log'!$B$5:$B$1004,A170,'Trade Log'!$V$5:$V$1004)/SUMIF('Trade Log'!$B$5:$B$1004,A170,'Trade Log'!$Q$5:$Q$1004),""),"")</f>
        <v/>
      </c>
      <c r="L170" s="86" t="str">
        <f aca="false">IF(A170&lt;&gt;"",IFERROR(SUMIFS('Trade Log'!$L$5:$L$1004,'Trade Log'!$B$5:$B$1004,A170,'Trade Log'!$E$5:$E$1004,""),0),"")</f>
        <v/>
      </c>
      <c r="M170" s="87" t="str">
        <f aca="false">IF(A170&lt;&gt;"",IFERROR(INDEX('Trade Log'!$AB$5:$AB$1004,MATCH(2,1/('Trade Log'!$B$5:$B$1004=A170),1)),""),"")</f>
        <v/>
      </c>
    </row>
    <row r="171" customFormat="false" ht="19.5" hidden="false" customHeight="true" outlineLevel="0" collapsed="false">
      <c r="A171" s="88"/>
      <c r="B171" s="68" t="str">
        <f aca="false">IF(A171&lt;&gt;"",IFERROR(INDEX('Trade Log'!$G$5:$G$1004,MATCH(A171,'Trade Log'!$B$5:$B$1004,0)),""),"")</f>
        <v/>
      </c>
      <c r="C171" s="69" t="str">
        <f aca="false">IF(A171&lt;&gt;"",IFERROR(INDEX('Trade Log'!$I$5:$I$1004,MATCH(A171,'Trade Log'!$B$5:$B$1004,0)),""),"")</f>
        <v/>
      </c>
      <c r="D171" s="67" t="str">
        <f aca="false">IF(A171&lt;&gt;"",COUNTIF('Trade Log'!$B$5:$B$1004,A171),"")</f>
        <v/>
      </c>
      <c r="E171" s="67" t="str">
        <f aca="false">IF(A171&lt;&gt;"",SUMIF('Trade Log'!$B$5:$B$1004,A171,'Trade Log'!$L$5:$L$1004),"")</f>
        <v/>
      </c>
      <c r="F171" s="70" t="str">
        <f aca="false">IF(A171&lt;&gt;"",SUMIF('Trade Log'!$B$5:$B$1004,A171,'Trade Log'!$Q$5:$Q$1004),"")</f>
        <v/>
      </c>
      <c r="G171" s="70" t="str">
        <f aca="false">IF(A171&lt;&gt;"",SUMIF('Trade Log'!$B$5:$B$1004,A171,'Trade Log'!$R$5:$R$1004),"")</f>
        <v/>
      </c>
      <c r="H171" s="71" t="str">
        <f aca="false">IF(A171&lt;&gt;"",SUMIF('Trade Log'!$B$5:$B$1004,A171,'Trade Log'!$T$5:$T$1004),"")</f>
        <v/>
      </c>
      <c r="I171" s="72" t="str">
        <f aca="false">IF(A171&lt;&gt;"",IFERROR(SUMIF('Trade Log'!$B$5:$B$1004,A171,'Trade Log'!$R$5:$R$1004)/SUMIF('Trade Log'!$B$5:$B$1004,A171,'Trade Log'!$Q$5:$Q$1004)-1,""),"")</f>
        <v/>
      </c>
      <c r="J171" s="73" t="str">
        <f aca="false">IF(A171&lt;&gt;"",SUMIF('Trade Log'!$B$5:$B$1004,A171,'Trade Log'!$V$5:$V$1004),"")</f>
        <v/>
      </c>
      <c r="K171" s="74" t="str">
        <f aca="false">IF(A171&lt;&gt;"",IFERROR(SUMIF('Trade Log'!$B$5:$B$1004,A171,'Trade Log'!$V$5:$V$1004)/SUMIF('Trade Log'!$B$5:$B$1004,A171,'Trade Log'!$Q$5:$Q$1004),""),"")</f>
        <v/>
      </c>
      <c r="L171" s="75" t="str">
        <f aca="false">IF(A171&lt;&gt;"",IFERROR(SUMIFS('Trade Log'!$L$5:$L$1004,'Trade Log'!$B$5:$B$1004,A171,'Trade Log'!$E$5:$E$1004,""),0),"")</f>
        <v/>
      </c>
      <c r="M171" s="76" t="str">
        <f aca="false">IF(A171&lt;&gt;"",IFERROR(INDEX('Trade Log'!$AB$5:$AB$1004,MATCH(2,1/('Trade Log'!$B$5:$B$1004=A171),1)),""),"")</f>
        <v/>
      </c>
    </row>
    <row r="172" customFormat="false" ht="19.5" hidden="false" customHeight="true" outlineLevel="0" collapsed="false">
      <c r="A172" s="77"/>
      <c r="B172" s="78" t="str">
        <f aca="false">IF(A172&lt;&gt;"",IFERROR(INDEX('Trade Log'!$G$5:$G$1004,MATCH(A172,'Trade Log'!$B$5:$B$1004,0)),""),"")</f>
        <v/>
      </c>
      <c r="C172" s="79" t="str">
        <f aca="false">IF(A172&lt;&gt;"",IFERROR(INDEX('Trade Log'!$I$5:$I$1004,MATCH(A172,'Trade Log'!$B$5:$B$1004,0)),""),"")</f>
        <v/>
      </c>
      <c r="D172" s="80" t="str">
        <f aca="false">IF(A172&lt;&gt;"",COUNTIF('Trade Log'!$B$5:$B$1004,A172),"")</f>
        <v/>
      </c>
      <c r="E172" s="80" t="str">
        <f aca="false">IF(A172&lt;&gt;"",SUMIF('Trade Log'!$B$5:$B$1004,A172,'Trade Log'!$L$5:$L$1004),"")</f>
        <v/>
      </c>
      <c r="F172" s="81" t="str">
        <f aca="false">IF(A172&lt;&gt;"",SUMIF('Trade Log'!$B$5:$B$1004,A172,'Trade Log'!$Q$5:$Q$1004),"")</f>
        <v/>
      </c>
      <c r="G172" s="81" t="str">
        <f aca="false">IF(A172&lt;&gt;"",SUMIF('Trade Log'!$B$5:$B$1004,A172,'Trade Log'!$R$5:$R$1004),"")</f>
        <v/>
      </c>
      <c r="H172" s="82" t="str">
        <f aca="false">IF(A172&lt;&gt;"",SUMIF('Trade Log'!$B$5:$B$1004,A172,'Trade Log'!$T$5:$T$1004),"")</f>
        <v/>
      </c>
      <c r="I172" s="83" t="str">
        <f aca="false">IF(A172&lt;&gt;"",IFERROR(SUMIF('Trade Log'!$B$5:$B$1004,A172,'Trade Log'!$R$5:$R$1004)/SUMIF('Trade Log'!$B$5:$B$1004,A172,'Trade Log'!$Q$5:$Q$1004)-1,""),"")</f>
        <v/>
      </c>
      <c r="J172" s="84" t="str">
        <f aca="false">IF(A172&lt;&gt;"",SUMIF('Trade Log'!$B$5:$B$1004,A172,'Trade Log'!$V$5:$V$1004),"")</f>
        <v/>
      </c>
      <c r="K172" s="85" t="str">
        <f aca="false">IF(A172&lt;&gt;"",IFERROR(SUMIF('Trade Log'!$B$5:$B$1004,A172,'Trade Log'!$V$5:$V$1004)/SUMIF('Trade Log'!$B$5:$B$1004,A172,'Trade Log'!$Q$5:$Q$1004),""),"")</f>
        <v/>
      </c>
      <c r="L172" s="86" t="str">
        <f aca="false">IF(A172&lt;&gt;"",IFERROR(SUMIFS('Trade Log'!$L$5:$L$1004,'Trade Log'!$B$5:$B$1004,A172,'Trade Log'!$E$5:$E$1004,""),0),"")</f>
        <v/>
      </c>
      <c r="M172" s="87" t="str">
        <f aca="false">IF(A172&lt;&gt;"",IFERROR(INDEX('Trade Log'!$AB$5:$AB$1004,MATCH(2,1/('Trade Log'!$B$5:$B$1004=A172),1)),""),"")</f>
        <v/>
      </c>
    </row>
    <row r="173" customFormat="false" ht="19.5" hidden="false" customHeight="true" outlineLevel="0" collapsed="false">
      <c r="A173" s="88"/>
      <c r="B173" s="68" t="str">
        <f aca="false">IF(A173&lt;&gt;"",IFERROR(INDEX('Trade Log'!$G$5:$G$1004,MATCH(A173,'Trade Log'!$B$5:$B$1004,0)),""),"")</f>
        <v/>
      </c>
      <c r="C173" s="69" t="str">
        <f aca="false">IF(A173&lt;&gt;"",IFERROR(INDEX('Trade Log'!$I$5:$I$1004,MATCH(A173,'Trade Log'!$B$5:$B$1004,0)),""),"")</f>
        <v/>
      </c>
      <c r="D173" s="67" t="str">
        <f aca="false">IF(A173&lt;&gt;"",COUNTIF('Trade Log'!$B$5:$B$1004,A173),"")</f>
        <v/>
      </c>
      <c r="E173" s="67" t="str">
        <f aca="false">IF(A173&lt;&gt;"",SUMIF('Trade Log'!$B$5:$B$1004,A173,'Trade Log'!$L$5:$L$1004),"")</f>
        <v/>
      </c>
      <c r="F173" s="70" t="str">
        <f aca="false">IF(A173&lt;&gt;"",SUMIF('Trade Log'!$B$5:$B$1004,A173,'Trade Log'!$Q$5:$Q$1004),"")</f>
        <v/>
      </c>
      <c r="G173" s="70" t="str">
        <f aca="false">IF(A173&lt;&gt;"",SUMIF('Trade Log'!$B$5:$B$1004,A173,'Trade Log'!$R$5:$R$1004),"")</f>
        <v/>
      </c>
      <c r="H173" s="71" t="str">
        <f aca="false">IF(A173&lt;&gt;"",SUMIF('Trade Log'!$B$5:$B$1004,A173,'Trade Log'!$T$5:$T$1004),"")</f>
        <v/>
      </c>
      <c r="I173" s="72" t="str">
        <f aca="false">IF(A173&lt;&gt;"",IFERROR(SUMIF('Trade Log'!$B$5:$B$1004,A173,'Trade Log'!$R$5:$R$1004)/SUMIF('Trade Log'!$B$5:$B$1004,A173,'Trade Log'!$Q$5:$Q$1004)-1,""),"")</f>
        <v/>
      </c>
      <c r="J173" s="73" t="str">
        <f aca="false">IF(A173&lt;&gt;"",SUMIF('Trade Log'!$B$5:$B$1004,A173,'Trade Log'!$V$5:$V$1004),"")</f>
        <v/>
      </c>
      <c r="K173" s="74" t="str">
        <f aca="false">IF(A173&lt;&gt;"",IFERROR(SUMIF('Trade Log'!$B$5:$B$1004,A173,'Trade Log'!$V$5:$V$1004)/SUMIF('Trade Log'!$B$5:$B$1004,A173,'Trade Log'!$Q$5:$Q$1004),""),"")</f>
        <v/>
      </c>
      <c r="L173" s="75" t="str">
        <f aca="false">IF(A173&lt;&gt;"",IFERROR(SUMIFS('Trade Log'!$L$5:$L$1004,'Trade Log'!$B$5:$B$1004,A173,'Trade Log'!$E$5:$E$1004,""),0),"")</f>
        <v/>
      </c>
      <c r="M173" s="76" t="str">
        <f aca="false">IF(A173&lt;&gt;"",IFERROR(INDEX('Trade Log'!$AB$5:$AB$1004,MATCH(2,1/('Trade Log'!$B$5:$B$1004=A173),1)),""),"")</f>
        <v/>
      </c>
    </row>
    <row r="174" customFormat="false" ht="19.5" hidden="false" customHeight="true" outlineLevel="0" collapsed="false">
      <c r="A174" s="77"/>
      <c r="B174" s="78" t="str">
        <f aca="false">IF(A174&lt;&gt;"",IFERROR(INDEX('Trade Log'!$G$5:$G$1004,MATCH(A174,'Trade Log'!$B$5:$B$1004,0)),""),"")</f>
        <v/>
      </c>
      <c r="C174" s="79" t="str">
        <f aca="false">IF(A174&lt;&gt;"",IFERROR(INDEX('Trade Log'!$I$5:$I$1004,MATCH(A174,'Trade Log'!$B$5:$B$1004,0)),""),"")</f>
        <v/>
      </c>
      <c r="D174" s="80" t="str">
        <f aca="false">IF(A174&lt;&gt;"",COUNTIF('Trade Log'!$B$5:$B$1004,A174),"")</f>
        <v/>
      </c>
      <c r="E174" s="80" t="str">
        <f aca="false">IF(A174&lt;&gt;"",SUMIF('Trade Log'!$B$5:$B$1004,A174,'Trade Log'!$L$5:$L$1004),"")</f>
        <v/>
      </c>
      <c r="F174" s="81" t="str">
        <f aca="false">IF(A174&lt;&gt;"",SUMIF('Trade Log'!$B$5:$B$1004,A174,'Trade Log'!$Q$5:$Q$1004),"")</f>
        <v/>
      </c>
      <c r="G174" s="81" t="str">
        <f aca="false">IF(A174&lt;&gt;"",SUMIF('Trade Log'!$B$5:$B$1004,A174,'Trade Log'!$R$5:$R$1004),"")</f>
        <v/>
      </c>
      <c r="H174" s="82" t="str">
        <f aca="false">IF(A174&lt;&gt;"",SUMIF('Trade Log'!$B$5:$B$1004,A174,'Trade Log'!$T$5:$T$1004),"")</f>
        <v/>
      </c>
      <c r="I174" s="83" t="str">
        <f aca="false">IF(A174&lt;&gt;"",IFERROR(SUMIF('Trade Log'!$B$5:$B$1004,A174,'Trade Log'!$R$5:$R$1004)/SUMIF('Trade Log'!$B$5:$B$1004,A174,'Trade Log'!$Q$5:$Q$1004)-1,""),"")</f>
        <v/>
      </c>
      <c r="J174" s="84" t="str">
        <f aca="false">IF(A174&lt;&gt;"",SUMIF('Trade Log'!$B$5:$B$1004,A174,'Trade Log'!$V$5:$V$1004),"")</f>
        <v/>
      </c>
      <c r="K174" s="85" t="str">
        <f aca="false">IF(A174&lt;&gt;"",IFERROR(SUMIF('Trade Log'!$B$5:$B$1004,A174,'Trade Log'!$V$5:$V$1004)/SUMIF('Trade Log'!$B$5:$B$1004,A174,'Trade Log'!$Q$5:$Q$1004),""),"")</f>
        <v/>
      </c>
      <c r="L174" s="86" t="str">
        <f aca="false">IF(A174&lt;&gt;"",IFERROR(SUMIFS('Trade Log'!$L$5:$L$1004,'Trade Log'!$B$5:$B$1004,A174,'Trade Log'!$E$5:$E$1004,""),0),"")</f>
        <v/>
      </c>
      <c r="M174" s="87" t="str">
        <f aca="false">IF(A174&lt;&gt;"",IFERROR(INDEX('Trade Log'!$AB$5:$AB$1004,MATCH(2,1/('Trade Log'!$B$5:$B$1004=A174),1)),""),"")</f>
        <v/>
      </c>
    </row>
    <row r="175" customFormat="false" ht="19.5" hidden="false" customHeight="true" outlineLevel="0" collapsed="false">
      <c r="A175" s="88"/>
      <c r="B175" s="68" t="str">
        <f aca="false">IF(A175&lt;&gt;"",IFERROR(INDEX('Trade Log'!$G$5:$G$1004,MATCH(A175,'Trade Log'!$B$5:$B$1004,0)),""),"")</f>
        <v/>
      </c>
      <c r="C175" s="69" t="str">
        <f aca="false">IF(A175&lt;&gt;"",IFERROR(INDEX('Trade Log'!$I$5:$I$1004,MATCH(A175,'Trade Log'!$B$5:$B$1004,0)),""),"")</f>
        <v/>
      </c>
      <c r="D175" s="67" t="str">
        <f aca="false">IF(A175&lt;&gt;"",COUNTIF('Trade Log'!$B$5:$B$1004,A175),"")</f>
        <v/>
      </c>
      <c r="E175" s="67" t="str">
        <f aca="false">IF(A175&lt;&gt;"",SUMIF('Trade Log'!$B$5:$B$1004,A175,'Trade Log'!$L$5:$L$1004),"")</f>
        <v/>
      </c>
      <c r="F175" s="70" t="str">
        <f aca="false">IF(A175&lt;&gt;"",SUMIF('Trade Log'!$B$5:$B$1004,A175,'Trade Log'!$Q$5:$Q$1004),"")</f>
        <v/>
      </c>
      <c r="G175" s="70" t="str">
        <f aca="false">IF(A175&lt;&gt;"",SUMIF('Trade Log'!$B$5:$B$1004,A175,'Trade Log'!$R$5:$R$1004),"")</f>
        <v/>
      </c>
      <c r="H175" s="71" t="str">
        <f aca="false">IF(A175&lt;&gt;"",SUMIF('Trade Log'!$B$5:$B$1004,A175,'Trade Log'!$T$5:$T$1004),"")</f>
        <v/>
      </c>
      <c r="I175" s="72" t="str">
        <f aca="false">IF(A175&lt;&gt;"",IFERROR(SUMIF('Trade Log'!$B$5:$B$1004,A175,'Trade Log'!$R$5:$R$1004)/SUMIF('Trade Log'!$B$5:$B$1004,A175,'Trade Log'!$Q$5:$Q$1004)-1,""),"")</f>
        <v/>
      </c>
      <c r="J175" s="73" t="str">
        <f aca="false">IF(A175&lt;&gt;"",SUMIF('Trade Log'!$B$5:$B$1004,A175,'Trade Log'!$V$5:$V$1004),"")</f>
        <v/>
      </c>
      <c r="K175" s="74" t="str">
        <f aca="false">IF(A175&lt;&gt;"",IFERROR(SUMIF('Trade Log'!$B$5:$B$1004,A175,'Trade Log'!$V$5:$V$1004)/SUMIF('Trade Log'!$B$5:$B$1004,A175,'Trade Log'!$Q$5:$Q$1004),""),"")</f>
        <v/>
      </c>
      <c r="L175" s="75" t="str">
        <f aca="false">IF(A175&lt;&gt;"",IFERROR(SUMIFS('Trade Log'!$L$5:$L$1004,'Trade Log'!$B$5:$B$1004,A175,'Trade Log'!$E$5:$E$1004,""),0),"")</f>
        <v/>
      </c>
      <c r="M175" s="76" t="str">
        <f aca="false">IF(A175&lt;&gt;"",IFERROR(INDEX('Trade Log'!$AB$5:$AB$1004,MATCH(2,1/('Trade Log'!$B$5:$B$1004=A175),1)),""),"")</f>
        <v/>
      </c>
    </row>
    <row r="176" customFormat="false" ht="19.5" hidden="false" customHeight="true" outlineLevel="0" collapsed="false">
      <c r="A176" s="77"/>
      <c r="B176" s="78" t="str">
        <f aca="false">IF(A176&lt;&gt;"",IFERROR(INDEX('Trade Log'!$G$5:$G$1004,MATCH(A176,'Trade Log'!$B$5:$B$1004,0)),""),"")</f>
        <v/>
      </c>
      <c r="C176" s="79" t="str">
        <f aca="false">IF(A176&lt;&gt;"",IFERROR(INDEX('Trade Log'!$I$5:$I$1004,MATCH(A176,'Trade Log'!$B$5:$B$1004,0)),""),"")</f>
        <v/>
      </c>
      <c r="D176" s="80" t="str">
        <f aca="false">IF(A176&lt;&gt;"",COUNTIF('Trade Log'!$B$5:$B$1004,A176),"")</f>
        <v/>
      </c>
      <c r="E176" s="80" t="str">
        <f aca="false">IF(A176&lt;&gt;"",SUMIF('Trade Log'!$B$5:$B$1004,A176,'Trade Log'!$L$5:$L$1004),"")</f>
        <v/>
      </c>
      <c r="F176" s="81" t="str">
        <f aca="false">IF(A176&lt;&gt;"",SUMIF('Trade Log'!$B$5:$B$1004,A176,'Trade Log'!$Q$5:$Q$1004),"")</f>
        <v/>
      </c>
      <c r="G176" s="81" t="str">
        <f aca="false">IF(A176&lt;&gt;"",SUMIF('Trade Log'!$B$5:$B$1004,A176,'Trade Log'!$R$5:$R$1004),"")</f>
        <v/>
      </c>
      <c r="H176" s="82" t="str">
        <f aca="false">IF(A176&lt;&gt;"",SUMIF('Trade Log'!$B$5:$B$1004,A176,'Trade Log'!$T$5:$T$1004),"")</f>
        <v/>
      </c>
      <c r="I176" s="83" t="str">
        <f aca="false">IF(A176&lt;&gt;"",IFERROR(SUMIF('Trade Log'!$B$5:$B$1004,A176,'Trade Log'!$R$5:$R$1004)/SUMIF('Trade Log'!$B$5:$B$1004,A176,'Trade Log'!$Q$5:$Q$1004)-1,""),"")</f>
        <v/>
      </c>
      <c r="J176" s="84" t="str">
        <f aca="false">IF(A176&lt;&gt;"",SUMIF('Trade Log'!$B$5:$B$1004,A176,'Trade Log'!$V$5:$V$1004),"")</f>
        <v/>
      </c>
      <c r="K176" s="85" t="str">
        <f aca="false">IF(A176&lt;&gt;"",IFERROR(SUMIF('Trade Log'!$B$5:$B$1004,A176,'Trade Log'!$V$5:$V$1004)/SUMIF('Trade Log'!$B$5:$B$1004,A176,'Trade Log'!$Q$5:$Q$1004),""),"")</f>
        <v/>
      </c>
      <c r="L176" s="86" t="str">
        <f aca="false">IF(A176&lt;&gt;"",IFERROR(SUMIFS('Trade Log'!$L$5:$L$1004,'Trade Log'!$B$5:$B$1004,A176,'Trade Log'!$E$5:$E$1004,""),0),"")</f>
        <v/>
      </c>
      <c r="M176" s="87" t="str">
        <f aca="false">IF(A176&lt;&gt;"",IFERROR(INDEX('Trade Log'!$AB$5:$AB$1004,MATCH(2,1/('Trade Log'!$B$5:$B$1004=A176),1)),""),"")</f>
        <v/>
      </c>
    </row>
    <row r="177" customFormat="false" ht="19.5" hidden="false" customHeight="true" outlineLevel="0" collapsed="false">
      <c r="A177" s="88"/>
      <c r="B177" s="68" t="str">
        <f aca="false">IF(A177&lt;&gt;"",IFERROR(INDEX('Trade Log'!$G$5:$G$1004,MATCH(A177,'Trade Log'!$B$5:$B$1004,0)),""),"")</f>
        <v/>
      </c>
      <c r="C177" s="69" t="str">
        <f aca="false">IF(A177&lt;&gt;"",IFERROR(INDEX('Trade Log'!$I$5:$I$1004,MATCH(A177,'Trade Log'!$B$5:$B$1004,0)),""),"")</f>
        <v/>
      </c>
      <c r="D177" s="67" t="str">
        <f aca="false">IF(A177&lt;&gt;"",COUNTIF('Trade Log'!$B$5:$B$1004,A177),"")</f>
        <v/>
      </c>
      <c r="E177" s="67" t="str">
        <f aca="false">IF(A177&lt;&gt;"",SUMIF('Trade Log'!$B$5:$B$1004,A177,'Trade Log'!$L$5:$L$1004),"")</f>
        <v/>
      </c>
      <c r="F177" s="70" t="str">
        <f aca="false">IF(A177&lt;&gt;"",SUMIF('Trade Log'!$B$5:$B$1004,A177,'Trade Log'!$Q$5:$Q$1004),"")</f>
        <v/>
      </c>
      <c r="G177" s="70" t="str">
        <f aca="false">IF(A177&lt;&gt;"",SUMIF('Trade Log'!$B$5:$B$1004,A177,'Trade Log'!$R$5:$R$1004),"")</f>
        <v/>
      </c>
      <c r="H177" s="71" t="str">
        <f aca="false">IF(A177&lt;&gt;"",SUMIF('Trade Log'!$B$5:$B$1004,A177,'Trade Log'!$T$5:$T$1004),"")</f>
        <v/>
      </c>
      <c r="I177" s="72" t="str">
        <f aca="false">IF(A177&lt;&gt;"",IFERROR(SUMIF('Trade Log'!$B$5:$B$1004,A177,'Trade Log'!$R$5:$R$1004)/SUMIF('Trade Log'!$B$5:$B$1004,A177,'Trade Log'!$Q$5:$Q$1004)-1,""),"")</f>
        <v/>
      </c>
      <c r="J177" s="73" t="str">
        <f aca="false">IF(A177&lt;&gt;"",SUMIF('Trade Log'!$B$5:$B$1004,A177,'Trade Log'!$V$5:$V$1004),"")</f>
        <v/>
      </c>
      <c r="K177" s="74" t="str">
        <f aca="false">IF(A177&lt;&gt;"",IFERROR(SUMIF('Trade Log'!$B$5:$B$1004,A177,'Trade Log'!$V$5:$V$1004)/SUMIF('Trade Log'!$B$5:$B$1004,A177,'Trade Log'!$Q$5:$Q$1004),""),"")</f>
        <v/>
      </c>
      <c r="L177" s="75" t="str">
        <f aca="false">IF(A177&lt;&gt;"",IFERROR(SUMIFS('Trade Log'!$L$5:$L$1004,'Trade Log'!$B$5:$B$1004,A177,'Trade Log'!$E$5:$E$1004,""),0),"")</f>
        <v/>
      </c>
      <c r="M177" s="76" t="str">
        <f aca="false">IF(A177&lt;&gt;"",IFERROR(INDEX('Trade Log'!$AB$5:$AB$1004,MATCH(2,1/('Trade Log'!$B$5:$B$1004=A177),1)),""),"")</f>
        <v/>
      </c>
    </row>
    <row r="178" customFormat="false" ht="19.5" hidden="false" customHeight="true" outlineLevel="0" collapsed="false">
      <c r="A178" s="77"/>
      <c r="B178" s="78" t="str">
        <f aca="false">IF(A178&lt;&gt;"",IFERROR(INDEX('Trade Log'!$G$5:$G$1004,MATCH(A178,'Trade Log'!$B$5:$B$1004,0)),""),"")</f>
        <v/>
      </c>
      <c r="C178" s="79" t="str">
        <f aca="false">IF(A178&lt;&gt;"",IFERROR(INDEX('Trade Log'!$I$5:$I$1004,MATCH(A178,'Trade Log'!$B$5:$B$1004,0)),""),"")</f>
        <v/>
      </c>
      <c r="D178" s="80" t="str">
        <f aca="false">IF(A178&lt;&gt;"",COUNTIF('Trade Log'!$B$5:$B$1004,A178),"")</f>
        <v/>
      </c>
      <c r="E178" s="80" t="str">
        <f aca="false">IF(A178&lt;&gt;"",SUMIF('Trade Log'!$B$5:$B$1004,A178,'Trade Log'!$L$5:$L$1004),"")</f>
        <v/>
      </c>
      <c r="F178" s="81" t="str">
        <f aca="false">IF(A178&lt;&gt;"",SUMIF('Trade Log'!$B$5:$B$1004,A178,'Trade Log'!$Q$5:$Q$1004),"")</f>
        <v/>
      </c>
      <c r="G178" s="81" t="str">
        <f aca="false">IF(A178&lt;&gt;"",SUMIF('Trade Log'!$B$5:$B$1004,A178,'Trade Log'!$R$5:$R$1004),"")</f>
        <v/>
      </c>
      <c r="H178" s="82" t="str">
        <f aca="false">IF(A178&lt;&gt;"",SUMIF('Trade Log'!$B$5:$B$1004,A178,'Trade Log'!$T$5:$T$1004),"")</f>
        <v/>
      </c>
      <c r="I178" s="83" t="str">
        <f aca="false">IF(A178&lt;&gt;"",IFERROR(SUMIF('Trade Log'!$B$5:$B$1004,A178,'Trade Log'!$R$5:$R$1004)/SUMIF('Trade Log'!$B$5:$B$1004,A178,'Trade Log'!$Q$5:$Q$1004)-1,""),"")</f>
        <v/>
      </c>
      <c r="J178" s="84" t="str">
        <f aca="false">IF(A178&lt;&gt;"",SUMIF('Trade Log'!$B$5:$B$1004,A178,'Trade Log'!$V$5:$V$1004),"")</f>
        <v/>
      </c>
      <c r="K178" s="85" t="str">
        <f aca="false">IF(A178&lt;&gt;"",IFERROR(SUMIF('Trade Log'!$B$5:$B$1004,A178,'Trade Log'!$V$5:$V$1004)/SUMIF('Trade Log'!$B$5:$B$1004,A178,'Trade Log'!$Q$5:$Q$1004),""),"")</f>
        <v/>
      </c>
      <c r="L178" s="86" t="str">
        <f aca="false">IF(A178&lt;&gt;"",IFERROR(SUMIFS('Trade Log'!$L$5:$L$1004,'Trade Log'!$B$5:$B$1004,A178,'Trade Log'!$E$5:$E$1004,""),0),"")</f>
        <v/>
      </c>
      <c r="M178" s="87" t="str">
        <f aca="false">IF(A178&lt;&gt;"",IFERROR(INDEX('Trade Log'!$AB$5:$AB$1004,MATCH(2,1/('Trade Log'!$B$5:$B$1004=A178),1)),""),"")</f>
        <v/>
      </c>
    </row>
    <row r="179" customFormat="false" ht="19.5" hidden="false" customHeight="true" outlineLevel="0" collapsed="false">
      <c r="A179" s="88"/>
      <c r="B179" s="68" t="str">
        <f aca="false">IF(A179&lt;&gt;"",IFERROR(INDEX('Trade Log'!$G$5:$G$1004,MATCH(A179,'Trade Log'!$B$5:$B$1004,0)),""),"")</f>
        <v/>
      </c>
      <c r="C179" s="69" t="str">
        <f aca="false">IF(A179&lt;&gt;"",IFERROR(INDEX('Trade Log'!$I$5:$I$1004,MATCH(A179,'Trade Log'!$B$5:$B$1004,0)),""),"")</f>
        <v/>
      </c>
      <c r="D179" s="67" t="str">
        <f aca="false">IF(A179&lt;&gt;"",COUNTIF('Trade Log'!$B$5:$B$1004,A179),"")</f>
        <v/>
      </c>
      <c r="E179" s="67" t="str">
        <f aca="false">IF(A179&lt;&gt;"",SUMIF('Trade Log'!$B$5:$B$1004,A179,'Trade Log'!$L$5:$L$1004),"")</f>
        <v/>
      </c>
      <c r="F179" s="70" t="str">
        <f aca="false">IF(A179&lt;&gt;"",SUMIF('Trade Log'!$B$5:$B$1004,A179,'Trade Log'!$Q$5:$Q$1004),"")</f>
        <v/>
      </c>
      <c r="G179" s="70" t="str">
        <f aca="false">IF(A179&lt;&gt;"",SUMIF('Trade Log'!$B$5:$B$1004,A179,'Trade Log'!$R$5:$R$1004),"")</f>
        <v/>
      </c>
      <c r="H179" s="71" t="str">
        <f aca="false">IF(A179&lt;&gt;"",SUMIF('Trade Log'!$B$5:$B$1004,A179,'Trade Log'!$T$5:$T$1004),"")</f>
        <v/>
      </c>
      <c r="I179" s="72" t="str">
        <f aca="false">IF(A179&lt;&gt;"",IFERROR(SUMIF('Trade Log'!$B$5:$B$1004,A179,'Trade Log'!$R$5:$R$1004)/SUMIF('Trade Log'!$B$5:$B$1004,A179,'Trade Log'!$Q$5:$Q$1004)-1,""),"")</f>
        <v/>
      </c>
      <c r="J179" s="73" t="str">
        <f aca="false">IF(A179&lt;&gt;"",SUMIF('Trade Log'!$B$5:$B$1004,A179,'Trade Log'!$V$5:$V$1004),"")</f>
        <v/>
      </c>
      <c r="K179" s="74" t="str">
        <f aca="false">IF(A179&lt;&gt;"",IFERROR(SUMIF('Trade Log'!$B$5:$B$1004,A179,'Trade Log'!$V$5:$V$1004)/SUMIF('Trade Log'!$B$5:$B$1004,A179,'Trade Log'!$Q$5:$Q$1004),""),"")</f>
        <v/>
      </c>
      <c r="L179" s="75" t="str">
        <f aca="false">IF(A179&lt;&gt;"",IFERROR(SUMIFS('Trade Log'!$L$5:$L$1004,'Trade Log'!$B$5:$B$1004,A179,'Trade Log'!$E$5:$E$1004,""),0),"")</f>
        <v/>
      </c>
      <c r="M179" s="76" t="str">
        <f aca="false">IF(A179&lt;&gt;"",IFERROR(INDEX('Trade Log'!$AB$5:$AB$1004,MATCH(2,1/('Trade Log'!$B$5:$B$1004=A179),1)),""),"")</f>
        <v/>
      </c>
    </row>
    <row r="180" customFormat="false" ht="19.5" hidden="false" customHeight="true" outlineLevel="0" collapsed="false">
      <c r="A180" s="77"/>
      <c r="B180" s="78" t="str">
        <f aca="false">IF(A180&lt;&gt;"",IFERROR(INDEX('Trade Log'!$G$5:$G$1004,MATCH(A180,'Trade Log'!$B$5:$B$1004,0)),""),"")</f>
        <v/>
      </c>
      <c r="C180" s="79" t="str">
        <f aca="false">IF(A180&lt;&gt;"",IFERROR(INDEX('Trade Log'!$I$5:$I$1004,MATCH(A180,'Trade Log'!$B$5:$B$1004,0)),""),"")</f>
        <v/>
      </c>
      <c r="D180" s="80" t="str">
        <f aca="false">IF(A180&lt;&gt;"",COUNTIF('Trade Log'!$B$5:$B$1004,A180),"")</f>
        <v/>
      </c>
      <c r="E180" s="80" t="str">
        <f aca="false">IF(A180&lt;&gt;"",SUMIF('Trade Log'!$B$5:$B$1004,A180,'Trade Log'!$L$5:$L$1004),"")</f>
        <v/>
      </c>
      <c r="F180" s="81" t="str">
        <f aca="false">IF(A180&lt;&gt;"",SUMIF('Trade Log'!$B$5:$B$1004,A180,'Trade Log'!$Q$5:$Q$1004),"")</f>
        <v/>
      </c>
      <c r="G180" s="81" t="str">
        <f aca="false">IF(A180&lt;&gt;"",SUMIF('Trade Log'!$B$5:$B$1004,A180,'Trade Log'!$R$5:$R$1004),"")</f>
        <v/>
      </c>
      <c r="H180" s="82" t="str">
        <f aca="false">IF(A180&lt;&gt;"",SUMIF('Trade Log'!$B$5:$B$1004,A180,'Trade Log'!$T$5:$T$1004),"")</f>
        <v/>
      </c>
      <c r="I180" s="83" t="str">
        <f aca="false">IF(A180&lt;&gt;"",IFERROR(SUMIF('Trade Log'!$B$5:$B$1004,A180,'Trade Log'!$R$5:$R$1004)/SUMIF('Trade Log'!$B$5:$B$1004,A180,'Trade Log'!$Q$5:$Q$1004)-1,""),"")</f>
        <v/>
      </c>
      <c r="J180" s="84" t="str">
        <f aca="false">IF(A180&lt;&gt;"",SUMIF('Trade Log'!$B$5:$B$1004,A180,'Trade Log'!$V$5:$V$1004),"")</f>
        <v/>
      </c>
      <c r="K180" s="85" t="str">
        <f aca="false">IF(A180&lt;&gt;"",IFERROR(SUMIF('Trade Log'!$B$5:$B$1004,A180,'Trade Log'!$V$5:$V$1004)/SUMIF('Trade Log'!$B$5:$B$1004,A180,'Trade Log'!$Q$5:$Q$1004),""),"")</f>
        <v/>
      </c>
      <c r="L180" s="86" t="str">
        <f aca="false">IF(A180&lt;&gt;"",IFERROR(SUMIFS('Trade Log'!$L$5:$L$1004,'Trade Log'!$B$5:$B$1004,A180,'Trade Log'!$E$5:$E$1004,""),0),"")</f>
        <v/>
      </c>
      <c r="M180" s="87" t="str">
        <f aca="false">IF(A180&lt;&gt;"",IFERROR(INDEX('Trade Log'!$AB$5:$AB$1004,MATCH(2,1/('Trade Log'!$B$5:$B$1004=A180),1)),""),"")</f>
        <v/>
      </c>
    </row>
    <row r="181" customFormat="false" ht="19.5" hidden="false" customHeight="true" outlineLevel="0" collapsed="false">
      <c r="A181" s="88"/>
      <c r="B181" s="68" t="str">
        <f aca="false">IF(A181&lt;&gt;"",IFERROR(INDEX('Trade Log'!$G$5:$G$1004,MATCH(A181,'Trade Log'!$B$5:$B$1004,0)),""),"")</f>
        <v/>
      </c>
      <c r="C181" s="69" t="str">
        <f aca="false">IF(A181&lt;&gt;"",IFERROR(INDEX('Trade Log'!$I$5:$I$1004,MATCH(A181,'Trade Log'!$B$5:$B$1004,0)),""),"")</f>
        <v/>
      </c>
      <c r="D181" s="67" t="str">
        <f aca="false">IF(A181&lt;&gt;"",COUNTIF('Trade Log'!$B$5:$B$1004,A181),"")</f>
        <v/>
      </c>
      <c r="E181" s="67" t="str">
        <f aca="false">IF(A181&lt;&gt;"",SUMIF('Trade Log'!$B$5:$B$1004,A181,'Trade Log'!$L$5:$L$1004),"")</f>
        <v/>
      </c>
      <c r="F181" s="70" t="str">
        <f aca="false">IF(A181&lt;&gt;"",SUMIF('Trade Log'!$B$5:$B$1004,A181,'Trade Log'!$Q$5:$Q$1004),"")</f>
        <v/>
      </c>
      <c r="G181" s="70" t="str">
        <f aca="false">IF(A181&lt;&gt;"",SUMIF('Trade Log'!$B$5:$B$1004,A181,'Trade Log'!$R$5:$R$1004),"")</f>
        <v/>
      </c>
      <c r="H181" s="71" t="str">
        <f aca="false">IF(A181&lt;&gt;"",SUMIF('Trade Log'!$B$5:$B$1004,A181,'Trade Log'!$T$5:$T$1004),"")</f>
        <v/>
      </c>
      <c r="I181" s="72" t="str">
        <f aca="false">IF(A181&lt;&gt;"",IFERROR(SUMIF('Trade Log'!$B$5:$B$1004,A181,'Trade Log'!$R$5:$R$1004)/SUMIF('Trade Log'!$B$5:$B$1004,A181,'Trade Log'!$Q$5:$Q$1004)-1,""),"")</f>
        <v/>
      </c>
      <c r="J181" s="73" t="str">
        <f aca="false">IF(A181&lt;&gt;"",SUMIF('Trade Log'!$B$5:$B$1004,A181,'Trade Log'!$V$5:$V$1004),"")</f>
        <v/>
      </c>
      <c r="K181" s="74" t="str">
        <f aca="false">IF(A181&lt;&gt;"",IFERROR(SUMIF('Trade Log'!$B$5:$B$1004,A181,'Trade Log'!$V$5:$V$1004)/SUMIF('Trade Log'!$B$5:$B$1004,A181,'Trade Log'!$Q$5:$Q$1004),""),"")</f>
        <v/>
      </c>
      <c r="L181" s="75" t="str">
        <f aca="false">IF(A181&lt;&gt;"",IFERROR(SUMIFS('Trade Log'!$L$5:$L$1004,'Trade Log'!$B$5:$B$1004,A181,'Trade Log'!$E$5:$E$1004,""),0),"")</f>
        <v/>
      </c>
      <c r="M181" s="76" t="str">
        <f aca="false">IF(A181&lt;&gt;"",IFERROR(INDEX('Trade Log'!$AB$5:$AB$1004,MATCH(2,1/('Trade Log'!$B$5:$B$1004=A181),1)),""),"")</f>
        <v/>
      </c>
    </row>
    <row r="182" customFormat="false" ht="19.5" hidden="false" customHeight="true" outlineLevel="0" collapsed="false">
      <c r="A182" s="77"/>
      <c r="B182" s="78" t="str">
        <f aca="false">IF(A182&lt;&gt;"",IFERROR(INDEX('Trade Log'!$G$5:$G$1004,MATCH(A182,'Trade Log'!$B$5:$B$1004,0)),""),"")</f>
        <v/>
      </c>
      <c r="C182" s="79" t="str">
        <f aca="false">IF(A182&lt;&gt;"",IFERROR(INDEX('Trade Log'!$I$5:$I$1004,MATCH(A182,'Trade Log'!$B$5:$B$1004,0)),""),"")</f>
        <v/>
      </c>
      <c r="D182" s="80" t="str">
        <f aca="false">IF(A182&lt;&gt;"",COUNTIF('Trade Log'!$B$5:$B$1004,A182),"")</f>
        <v/>
      </c>
      <c r="E182" s="80" t="str">
        <f aca="false">IF(A182&lt;&gt;"",SUMIF('Trade Log'!$B$5:$B$1004,A182,'Trade Log'!$L$5:$L$1004),"")</f>
        <v/>
      </c>
      <c r="F182" s="81" t="str">
        <f aca="false">IF(A182&lt;&gt;"",SUMIF('Trade Log'!$B$5:$B$1004,A182,'Trade Log'!$Q$5:$Q$1004),"")</f>
        <v/>
      </c>
      <c r="G182" s="81" t="str">
        <f aca="false">IF(A182&lt;&gt;"",SUMIF('Trade Log'!$B$5:$B$1004,A182,'Trade Log'!$R$5:$R$1004),"")</f>
        <v/>
      </c>
      <c r="H182" s="82" t="str">
        <f aca="false">IF(A182&lt;&gt;"",SUMIF('Trade Log'!$B$5:$B$1004,A182,'Trade Log'!$T$5:$T$1004),"")</f>
        <v/>
      </c>
      <c r="I182" s="83" t="str">
        <f aca="false">IF(A182&lt;&gt;"",IFERROR(SUMIF('Trade Log'!$B$5:$B$1004,A182,'Trade Log'!$R$5:$R$1004)/SUMIF('Trade Log'!$B$5:$B$1004,A182,'Trade Log'!$Q$5:$Q$1004)-1,""),"")</f>
        <v/>
      </c>
      <c r="J182" s="84" t="str">
        <f aca="false">IF(A182&lt;&gt;"",SUMIF('Trade Log'!$B$5:$B$1004,A182,'Trade Log'!$V$5:$V$1004),"")</f>
        <v/>
      </c>
      <c r="K182" s="85" t="str">
        <f aca="false">IF(A182&lt;&gt;"",IFERROR(SUMIF('Trade Log'!$B$5:$B$1004,A182,'Trade Log'!$V$5:$V$1004)/SUMIF('Trade Log'!$B$5:$B$1004,A182,'Trade Log'!$Q$5:$Q$1004),""),"")</f>
        <v/>
      </c>
      <c r="L182" s="86" t="str">
        <f aca="false">IF(A182&lt;&gt;"",IFERROR(SUMIFS('Trade Log'!$L$5:$L$1004,'Trade Log'!$B$5:$B$1004,A182,'Trade Log'!$E$5:$E$1004,""),0),"")</f>
        <v/>
      </c>
      <c r="M182" s="87" t="str">
        <f aca="false">IF(A182&lt;&gt;"",IFERROR(INDEX('Trade Log'!$AB$5:$AB$1004,MATCH(2,1/('Trade Log'!$B$5:$B$1004=A182),1)),""),"")</f>
        <v/>
      </c>
    </row>
    <row r="183" customFormat="false" ht="19.5" hidden="false" customHeight="true" outlineLevel="0" collapsed="false">
      <c r="A183" s="88"/>
      <c r="B183" s="68" t="str">
        <f aca="false">IF(A183&lt;&gt;"",IFERROR(INDEX('Trade Log'!$G$5:$G$1004,MATCH(A183,'Trade Log'!$B$5:$B$1004,0)),""),"")</f>
        <v/>
      </c>
      <c r="C183" s="69" t="str">
        <f aca="false">IF(A183&lt;&gt;"",IFERROR(INDEX('Trade Log'!$I$5:$I$1004,MATCH(A183,'Trade Log'!$B$5:$B$1004,0)),""),"")</f>
        <v/>
      </c>
      <c r="D183" s="67" t="str">
        <f aca="false">IF(A183&lt;&gt;"",COUNTIF('Trade Log'!$B$5:$B$1004,A183),"")</f>
        <v/>
      </c>
      <c r="E183" s="67" t="str">
        <f aca="false">IF(A183&lt;&gt;"",SUMIF('Trade Log'!$B$5:$B$1004,A183,'Trade Log'!$L$5:$L$1004),"")</f>
        <v/>
      </c>
      <c r="F183" s="70" t="str">
        <f aca="false">IF(A183&lt;&gt;"",SUMIF('Trade Log'!$B$5:$B$1004,A183,'Trade Log'!$Q$5:$Q$1004),"")</f>
        <v/>
      </c>
      <c r="G183" s="70" t="str">
        <f aca="false">IF(A183&lt;&gt;"",SUMIF('Trade Log'!$B$5:$B$1004,A183,'Trade Log'!$R$5:$R$1004),"")</f>
        <v/>
      </c>
      <c r="H183" s="71" t="str">
        <f aca="false">IF(A183&lt;&gt;"",SUMIF('Trade Log'!$B$5:$B$1004,A183,'Trade Log'!$T$5:$T$1004),"")</f>
        <v/>
      </c>
      <c r="I183" s="72" t="str">
        <f aca="false">IF(A183&lt;&gt;"",IFERROR(SUMIF('Trade Log'!$B$5:$B$1004,A183,'Trade Log'!$R$5:$R$1004)/SUMIF('Trade Log'!$B$5:$B$1004,A183,'Trade Log'!$Q$5:$Q$1004)-1,""),"")</f>
        <v/>
      </c>
      <c r="J183" s="73" t="str">
        <f aca="false">IF(A183&lt;&gt;"",SUMIF('Trade Log'!$B$5:$B$1004,A183,'Trade Log'!$V$5:$V$1004),"")</f>
        <v/>
      </c>
      <c r="K183" s="74" t="str">
        <f aca="false">IF(A183&lt;&gt;"",IFERROR(SUMIF('Trade Log'!$B$5:$B$1004,A183,'Trade Log'!$V$5:$V$1004)/SUMIF('Trade Log'!$B$5:$B$1004,A183,'Trade Log'!$Q$5:$Q$1004),""),"")</f>
        <v/>
      </c>
      <c r="L183" s="75" t="str">
        <f aca="false">IF(A183&lt;&gt;"",IFERROR(SUMIFS('Trade Log'!$L$5:$L$1004,'Trade Log'!$B$5:$B$1004,A183,'Trade Log'!$E$5:$E$1004,""),0),"")</f>
        <v/>
      </c>
      <c r="M183" s="76" t="str">
        <f aca="false">IF(A183&lt;&gt;"",IFERROR(INDEX('Trade Log'!$AB$5:$AB$1004,MATCH(2,1/('Trade Log'!$B$5:$B$1004=A183),1)),""),"")</f>
        <v/>
      </c>
    </row>
    <row r="184" customFormat="false" ht="19.5" hidden="false" customHeight="true" outlineLevel="0" collapsed="false">
      <c r="A184" s="77"/>
      <c r="B184" s="78" t="str">
        <f aca="false">IF(A184&lt;&gt;"",IFERROR(INDEX('Trade Log'!$G$5:$G$1004,MATCH(A184,'Trade Log'!$B$5:$B$1004,0)),""),"")</f>
        <v/>
      </c>
      <c r="C184" s="79" t="str">
        <f aca="false">IF(A184&lt;&gt;"",IFERROR(INDEX('Trade Log'!$I$5:$I$1004,MATCH(A184,'Trade Log'!$B$5:$B$1004,0)),""),"")</f>
        <v/>
      </c>
      <c r="D184" s="80" t="str">
        <f aca="false">IF(A184&lt;&gt;"",COUNTIF('Trade Log'!$B$5:$B$1004,A184),"")</f>
        <v/>
      </c>
      <c r="E184" s="80" t="str">
        <f aca="false">IF(A184&lt;&gt;"",SUMIF('Trade Log'!$B$5:$B$1004,A184,'Trade Log'!$L$5:$L$1004),"")</f>
        <v/>
      </c>
      <c r="F184" s="81" t="str">
        <f aca="false">IF(A184&lt;&gt;"",SUMIF('Trade Log'!$B$5:$B$1004,A184,'Trade Log'!$Q$5:$Q$1004),"")</f>
        <v/>
      </c>
      <c r="G184" s="81" t="str">
        <f aca="false">IF(A184&lt;&gt;"",SUMIF('Trade Log'!$B$5:$B$1004,A184,'Trade Log'!$R$5:$R$1004),"")</f>
        <v/>
      </c>
      <c r="H184" s="82" t="str">
        <f aca="false">IF(A184&lt;&gt;"",SUMIF('Trade Log'!$B$5:$B$1004,A184,'Trade Log'!$T$5:$T$1004),"")</f>
        <v/>
      </c>
      <c r="I184" s="83" t="str">
        <f aca="false">IF(A184&lt;&gt;"",IFERROR(SUMIF('Trade Log'!$B$5:$B$1004,A184,'Trade Log'!$R$5:$R$1004)/SUMIF('Trade Log'!$B$5:$B$1004,A184,'Trade Log'!$Q$5:$Q$1004)-1,""),"")</f>
        <v/>
      </c>
      <c r="J184" s="84" t="str">
        <f aca="false">IF(A184&lt;&gt;"",SUMIF('Trade Log'!$B$5:$B$1004,A184,'Trade Log'!$V$5:$V$1004),"")</f>
        <v/>
      </c>
      <c r="K184" s="85" t="str">
        <f aca="false">IF(A184&lt;&gt;"",IFERROR(SUMIF('Trade Log'!$B$5:$B$1004,A184,'Trade Log'!$V$5:$V$1004)/SUMIF('Trade Log'!$B$5:$B$1004,A184,'Trade Log'!$Q$5:$Q$1004),""),"")</f>
        <v/>
      </c>
      <c r="L184" s="86" t="str">
        <f aca="false">IF(A184&lt;&gt;"",IFERROR(SUMIFS('Trade Log'!$L$5:$L$1004,'Trade Log'!$B$5:$B$1004,A184,'Trade Log'!$E$5:$E$1004,""),0),"")</f>
        <v/>
      </c>
      <c r="M184" s="87" t="str">
        <f aca="false">IF(A184&lt;&gt;"",IFERROR(INDEX('Trade Log'!$AB$5:$AB$1004,MATCH(2,1/('Trade Log'!$B$5:$B$1004=A184),1)),""),"")</f>
        <v/>
      </c>
    </row>
    <row r="185" customFormat="false" ht="19.5" hidden="false" customHeight="true" outlineLevel="0" collapsed="false">
      <c r="A185" s="88"/>
      <c r="B185" s="68" t="str">
        <f aca="false">IF(A185&lt;&gt;"",IFERROR(INDEX('Trade Log'!$G$5:$G$1004,MATCH(A185,'Trade Log'!$B$5:$B$1004,0)),""),"")</f>
        <v/>
      </c>
      <c r="C185" s="69" t="str">
        <f aca="false">IF(A185&lt;&gt;"",IFERROR(INDEX('Trade Log'!$I$5:$I$1004,MATCH(A185,'Trade Log'!$B$5:$B$1004,0)),""),"")</f>
        <v/>
      </c>
      <c r="D185" s="67" t="str">
        <f aca="false">IF(A185&lt;&gt;"",COUNTIF('Trade Log'!$B$5:$B$1004,A185),"")</f>
        <v/>
      </c>
      <c r="E185" s="67" t="str">
        <f aca="false">IF(A185&lt;&gt;"",SUMIF('Trade Log'!$B$5:$B$1004,A185,'Trade Log'!$L$5:$L$1004),"")</f>
        <v/>
      </c>
      <c r="F185" s="70" t="str">
        <f aca="false">IF(A185&lt;&gt;"",SUMIF('Trade Log'!$B$5:$B$1004,A185,'Trade Log'!$Q$5:$Q$1004),"")</f>
        <v/>
      </c>
      <c r="G185" s="70" t="str">
        <f aca="false">IF(A185&lt;&gt;"",SUMIF('Trade Log'!$B$5:$B$1004,A185,'Trade Log'!$R$5:$R$1004),"")</f>
        <v/>
      </c>
      <c r="H185" s="71" t="str">
        <f aca="false">IF(A185&lt;&gt;"",SUMIF('Trade Log'!$B$5:$B$1004,A185,'Trade Log'!$T$5:$T$1004),"")</f>
        <v/>
      </c>
      <c r="I185" s="72" t="str">
        <f aca="false">IF(A185&lt;&gt;"",IFERROR(SUMIF('Trade Log'!$B$5:$B$1004,A185,'Trade Log'!$R$5:$R$1004)/SUMIF('Trade Log'!$B$5:$B$1004,A185,'Trade Log'!$Q$5:$Q$1004)-1,""),"")</f>
        <v/>
      </c>
      <c r="J185" s="73" t="str">
        <f aca="false">IF(A185&lt;&gt;"",SUMIF('Trade Log'!$B$5:$B$1004,A185,'Trade Log'!$V$5:$V$1004),"")</f>
        <v/>
      </c>
      <c r="K185" s="74" t="str">
        <f aca="false">IF(A185&lt;&gt;"",IFERROR(SUMIF('Trade Log'!$B$5:$B$1004,A185,'Trade Log'!$V$5:$V$1004)/SUMIF('Trade Log'!$B$5:$B$1004,A185,'Trade Log'!$Q$5:$Q$1004),""),"")</f>
        <v/>
      </c>
      <c r="L185" s="75" t="str">
        <f aca="false">IF(A185&lt;&gt;"",IFERROR(SUMIFS('Trade Log'!$L$5:$L$1004,'Trade Log'!$B$5:$B$1004,A185,'Trade Log'!$E$5:$E$1004,""),0),"")</f>
        <v/>
      </c>
      <c r="M185" s="76" t="str">
        <f aca="false">IF(A185&lt;&gt;"",IFERROR(INDEX('Trade Log'!$AB$5:$AB$1004,MATCH(2,1/('Trade Log'!$B$5:$B$1004=A185),1)),""),"")</f>
        <v/>
      </c>
    </row>
    <row r="186" customFormat="false" ht="19.5" hidden="false" customHeight="true" outlineLevel="0" collapsed="false">
      <c r="A186" s="77"/>
      <c r="B186" s="78" t="str">
        <f aca="false">IF(A186&lt;&gt;"",IFERROR(INDEX('Trade Log'!$G$5:$G$1004,MATCH(A186,'Trade Log'!$B$5:$B$1004,0)),""),"")</f>
        <v/>
      </c>
      <c r="C186" s="79" t="str">
        <f aca="false">IF(A186&lt;&gt;"",IFERROR(INDEX('Trade Log'!$I$5:$I$1004,MATCH(A186,'Trade Log'!$B$5:$B$1004,0)),""),"")</f>
        <v/>
      </c>
      <c r="D186" s="80" t="str">
        <f aca="false">IF(A186&lt;&gt;"",COUNTIF('Trade Log'!$B$5:$B$1004,A186),"")</f>
        <v/>
      </c>
      <c r="E186" s="80" t="str">
        <f aca="false">IF(A186&lt;&gt;"",SUMIF('Trade Log'!$B$5:$B$1004,A186,'Trade Log'!$L$5:$L$1004),"")</f>
        <v/>
      </c>
      <c r="F186" s="81" t="str">
        <f aca="false">IF(A186&lt;&gt;"",SUMIF('Trade Log'!$B$5:$B$1004,A186,'Trade Log'!$Q$5:$Q$1004),"")</f>
        <v/>
      </c>
      <c r="G186" s="81" t="str">
        <f aca="false">IF(A186&lt;&gt;"",SUMIF('Trade Log'!$B$5:$B$1004,A186,'Trade Log'!$R$5:$R$1004),"")</f>
        <v/>
      </c>
      <c r="H186" s="82" t="str">
        <f aca="false">IF(A186&lt;&gt;"",SUMIF('Trade Log'!$B$5:$B$1004,A186,'Trade Log'!$T$5:$T$1004),"")</f>
        <v/>
      </c>
      <c r="I186" s="83" t="str">
        <f aca="false">IF(A186&lt;&gt;"",IFERROR(SUMIF('Trade Log'!$B$5:$B$1004,A186,'Trade Log'!$R$5:$R$1004)/SUMIF('Trade Log'!$B$5:$B$1004,A186,'Trade Log'!$Q$5:$Q$1004)-1,""),"")</f>
        <v/>
      </c>
      <c r="J186" s="84" t="str">
        <f aca="false">IF(A186&lt;&gt;"",SUMIF('Trade Log'!$B$5:$B$1004,A186,'Trade Log'!$V$5:$V$1004),"")</f>
        <v/>
      </c>
      <c r="K186" s="85" t="str">
        <f aca="false">IF(A186&lt;&gt;"",IFERROR(SUMIF('Trade Log'!$B$5:$B$1004,A186,'Trade Log'!$V$5:$V$1004)/SUMIF('Trade Log'!$B$5:$B$1004,A186,'Trade Log'!$Q$5:$Q$1004),""),"")</f>
        <v/>
      </c>
      <c r="L186" s="86" t="str">
        <f aca="false">IF(A186&lt;&gt;"",IFERROR(SUMIFS('Trade Log'!$L$5:$L$1004,'Trade Log'!$B$5:$B$1004,A186,'Trade Log'!$E$5:$E$1004,""),0),"")</f>
        <v/>
      </c>
      <c r="M186" s="87" t="str">
        <f aca="false">IF(A186&lt;&gt;"",IFERROR(INDEX('Trade Log'!$AB$5:$AB$1004,MATCH(2,1/('Trade Log'!$B$5:$B$1004=A186),1)),""),"")</f>
        <v/>
      </c>
    </row>
    <row r="187" customFormat="false" ht="19.5" hidden="false" customHeight="true" outlineLevel="0" collapsed="false">
      <c r="A187" s="88"/>
      <c r="B187" s="68" t="str">
        <f aca="false">IF(A187&lt;&gt;"",IFERROR(INDEX('Trade Log'!$G$5:$G$1004,MATCH(A187,'Trade Log'!$B$5:$B$1004,0)),""),"")</f>
        <v/>
      </c>
      <c r="C187" s="69" t="str">
        <f aca="false">IF(A187&lt;&gt;"",IFERROR(INDEX('Trade Log'!$I$5:$I$1004,MATCH(A187,'Trade Log'!$B$5:$B$1004,0)),""),"")</f>
        <v/>
      </c>
      <c r="D187" s="67" t="str">
        <f aca="false">IF(A187&lt;&gt;"",COUNTIF('Trade Log'!$B$5:$B$1004,A187),"")</f>
        <v/>
      </c>
      <c r="E187" s="67" t="str">
        <f aca="false">IF(A187&lt;&gt;"",SUMIF('Trade Log'!$B$5:$B$1004,A187,'Trade Log'!$L$5:$L$1004),"")</f>
        <v/>
      </c>
      <c r="F187" s="70" t="str">
        <f aca="false">IF(A187&lt;&gt;"",SUMIF('Trade Log'!$B$5:$B$1004,A187,'Trade Log'!$Q$5:$Q$1004),"")</f>
        <v/>
      </c>
      <c r="G187" s="70" t="str">
        <f aca="false">IF(A187&lt;&gt;"",SUMIF('Trade Log'!$B$5:$B$1004,A187,'Trade Log'!$R$5:$R$1004),"")</f>
        <v/>
      </c>
      <c r="H187" s="71" t="str">
        <f aca="false">IF(A187&lt;&gt;"",SUMIF('Trade Log'!$B$5:$B$1004,A187,'Trade Log'!$T$5:$T$1004),"")</f>
        <v/>
      </c>
      <c r="I187" s="72" t="str">
        <f aca="false">IF(A187&lt;&gt;"",IFERROR(SUMIF('Trade Log'!$B$5:$B$1004,A187,'Trade Log'!$R$5:$R$1004)/SUMIF('Trade Log'!$B$5:$B$1004,A187,'Trade Log'!$Q$5:$Q$1004)-1,""),"")</f>
        <v/>
      </c>
      <c r="J187" s="73" t="str">
        <f aca="false">IF(A187&lt;&gt;"",SUMIF('Trade Log'!$B$5:$B$1004,A187,'Trade Log'!$V$5:$V$1004),"")</f>
        <v/>
      </c>
      <c r="K187" s="74" t="str">
        <f aca="false">IF(A187&lt;&gt;"",IFERROR(SUMIF('Trade Log'!$B$5:$B$1004,A187,'Trade Log'!$V$5:$V$1004)/SUMIF('Trade Log'!$B$5:$B$1004,A187,'Trade Log'!$Q$5:$Q$1004),""),"")</f>
        <v/>
      </c>
      <c r="L187" s="75" t="str">
        <f aca="false">IF(A187&lt;&gt;"",IFERROR(SUMIFS('Trade Log'!$L$5:$L$1004,'Trade Log'!$B$5:$B$1004,A187,'Trade Log'!$E$5:$E$1004,""),0),"")</f>
        <v/>
      </c>
      <c r="M187" s="76" t="str">
        <f aca="false">IF(A187&lt;&gt;"",IFERROR(INDEX('Trade Log'!$AB$5:$AB$1004,MATCH(2,1/('Trade Log'!$B$5:$B$1004=A187),1)),""),"")</f>
        <v/>
      </c>
    </row>
    <row r="188" customFormat="false" ht="19.5" hidden="false" customHeight="true" outlineLevel="0" collapsed="false">
      <c r="A188" s="77"/>
      <c r="B188" s="78" t="str">
        <f aca="false">IF(A188&lt;&gt;"",IFERROR(INDEX('Trade Log'!$G$5:$G$1004,MATCH(A188,'Trade Log'!$B$5:$B$1004,0)),""),"")</f>
        <v/>
      </c>
      <c r="C188" s="79" t="str">
        <f aca="false">IF(A188&lt;&gt;"",IFERROR(INDEX('Trade Log'!$I$5:$I$1004,MATCH(A188,'Trade Log'!$B$5:$B$1004,0)),""),"")</f>
        <v/>
      </c>
      <c r="D188" s="80" t="str">
        <f aca="false">IF(A188&lt;&gt;"",COUNTIF('Trade Log'!$B$5:$B$1004,A188),"")</f>
        <v/>
      </c>
      <c r="E188" s="80" t="str">
        <f aca="false">IF(A188&lt;&gt;"",SUMIF('Trade Log'!$B$5:$B$1004,A188,'Trade Log'!$L$5:$L$1004),"")</f>
        <v/>
      </c>
      <c r="F188" s="81" t="str">
        <f aca="false">IF(A188&lt;&gt;"",SUMIF('Trade Log'!$B$5:$B$1004,A188,'Trade Log'!$Q$5:$Q$1004),"")</f>
        <v/>
      </c>
      <c r="G188" s="81" t="str">
        <f aca="false">IF(A188&lt;&gt;"",SUMIF('Trade Log'!$B$5:$B$1004,A188,'Trade Log'!$R$5:$R$1004),"")</f>
        <v/>
      </c>
      <c r="H188" s="82" t="str">
        <f aca="false">IF(A188&lt;&gt;"",SUMIF('Trade Log'!$B$5:$B$1004,A188,'Trade Log'!$T$5:$T$1004),"")</f>
        <v/>
      </c>
      <c r="I188" s="83" t="str">
        <f aca="false">IF(A188&lt;&gt;"",IFERROR(SUMIF('Trade Log'!$B$5:$B$1004,A188,'Trade Log'!$R$5:$R$1004)/SUMIF('Trade Log'!$B$5:$B$1004,A188,'Trade Log'!$Q$5:$Q$1004)-1,""),"")</f>
        <v/>
      </c>
      <c r="J188" s="84" t="str">
        <f aca="false">IF(A188&lt;&gt;"",SUMIF('Trade Log'!$B$5:$B$1004,A188,'Trade Log'!$V$5:$V$1004),"")</f>
        <v/>
      </c>
      <c r="K188" s="85" t="str">
        <f aca="false">IF(A188&lt;&gt;"",IFERROR(SUMIF('Trade Log'!$B$5:$B$1004,A188,'Trade Log'!$V$5:$V$1004)/SUMIF('Trade Log'!$B$5:$B$1004,A188,'Trade Log'!$Q$5:$Q$1004),""),"")</f>
        <v/>
      </c>
      <c r="L188" s="86" t="str">
        <f aca="false">IF(A188&lt;&gt;"",IFERROR(SUMIFS('Trade Log'!$L$5:$L$1004,'Trade Log'!$B$5:$B$1004,A188,'Trade Log'!$E$5:$E$1004,""),0),"")</f>
        <v/>
      </c>
      <c r="M188" s="87" t="str">
        <f aca="false">IF(A188&lt;&gt;"",IFERROR(INDEX('Trade Log'!$AB$5:$AB$1004,MATCH(2,1/('Trade Log'!$B$5:$B$1004=A188),1)),""),"")</f>
        <v/>
      </c>
    </row>
    <row r="189" customFormat="false" ht="19.5" hidden="false" customHeight="true" outlineLevel="0" collapsed="false">
      <c r="A189" s="88"/>
      <c r="B189" s="68" t="str">
        <f aca="false">IF(A189&lt;&gt;"",IFERROR(INDEX('Trade Log'!$G$5:$G$1004,MATCH(A189,'Trade Log'!$B$5:$B$1004,0)),""),"")</f>
        <v/>
      </c>
      <c r="C189" s="69" t="str">
        <f aca="false">IF(A189&lt;&gt;"",IFERROR(INDEX('Trade Log'!$I$5:$I$1004,MATCH(A189,'Trade Log'!$B$5:$B$1004,0)),""),"")</f>
        <v/>
      </c>
      <c r="D189" s="67" t="str">
        <f aca="false">IF(A189&lt;&gt;"",COUNTIF('Trade Log'!$B$5:$B$1004,A189),"")</f>
        <v/>
      </c>
      <c r="E189" s="67" t="str">
        <f aca="false">IF(A189&lt;&gt;"",SUMIF('Trade Log'!$B$5:$B$1004,A189,'Trade Log'!$L$5:$L$1004),"")</f>
        <v/>
      </c>
      <c r="F189" s="70" t="str">
        <f aca="false">IF(A189&lt;&gt;"",SUMIF('Trade Log'!$B$5:$B$1004,A189,'Trade Log'!$Q$5:$Q$1004),"")</f>
        <v/>
      </c>
      <c r="G189" s="70" t="str">
        <f aca="false">IF(A189&lt;&gt;"",SUMIF('Trade Log'!$B$5:$B$1004,A189,'Trade Log'!$R$5:$R$1004),"")</f>
        <v/>
      </c>
      <c r="H189" s="71" t="str">
        <f aca="false">IF(A189&lt;&gt;"",SUMIF('Trade Log'!$B$5:$B$1004,A189,'Trade Log'!$T$5:$T$1004),"")</f>
        <v/>
      </c>
      <c r="I189" s="72" t="str">
        <f aca="false">IF(A189&lt;&gt;"",IFERROR(SUMIF('Trade Log'!$B$5:$B$1004,A189,'Trade Log'!$R$5:$R$1004)/SUMIF('Trade Log'!$B$5:$B$1004,A189,'Trade Log'!$Q$5:$Q$1004)-1,""),"")</f>
        <v/>
      </c>
      <c r="J189" s="73" t="str">
        <f aca="false">IF(A189&lt;&gt;"",SUMIF('Trade Log'!$B$5:$B$1004,A189,'Trade Log'!$V$5:$V$1004),"")</f>
        <v/>
      </c>
      <c r="K189" s="74" t="str">
        <f aca="false">IF(A189&lt;&gt;"",IFERROR(SUMIF('Trade Log'!$B$5:$B$1004,A189,'Trade Log'!$V$5:$V$1004)/SUMIF('Trade Log'!$B$5:$B$1004,A189,'Trade Log'!$Q$5:$Q$1004),""),"")</f>
        <v/>
      </c>
      <c r="L189" s="75" t="str">
        <f aca="false">IF(A189&lt;&gt;"",IFERROR(SUMIFS('Trade Log'!$L$5:$L$1004,'Trade Log'!$B$5:$B$1004,A189,'Trade Log'!$E$5:$E$1004,""),0),"")</f>
        <v/>
      </c>
      <c r="M189" s="76" t="str">
        <f aca="false">IF(A189&lt;&gt;"",IFERROR(INDEX('Trade Log'!$AB$5:$AB$1004,MATCH(2,1/('Trade Log'!$B$5:$B$1004=A189),1)),""),"")</f>
        <v/>
      </c>
    </row>
    <row r="190" customFormat="false" ht="19.5" hidden="false" customHeight="true" outlineLevel="0" collapsed="false">
      <c r="A190" s="77"/>
      <c r="B190" s="78" t="str">
        <f aca="false">IF(A190&lt;&gt;"",IFERROR(INDEX('Trade Log'!$G$5:$G$1004,MATCH(A190,'Trade Log'!$B$5:$B$1004,0)),""),"")</f>
        <v/>
      </c>
      <c r="C190" s="79" t="str">
        <f aca="false">IF(A190&lt;&gt;"",IFERROR(INDEX('Trade Log'!$I$5:$I$1004,MATCH(A190,'Trade Log'!$B$5:$B$1004,0)),""),"")</f>
        <v/>
      </c>
      <c r="D190" s="80" t="str">
        <f aca="false">IF(A190&lt;&gt;"",COUNTIF('Trade Log'!$B$5:$B$1004,A190),"")</f>
        <v/>
      </c>
      <c r="E190" s="80" t="str">
        <f aca="false">IF(A190&lt;&gt;"",SUMIF('Trade Log'!$B$5:$B$1004,A190,'Trade Log'!$L$5:$L$1004),"")</f>
        <v/>
      </c>
      <c r="F190" s="81" t="str">
        <f aca="false">IF(A190&lt;&gt;"",SUMIF('Trade Log'!$B$5:$B$1004,A190,'Trade Log'!$Q$5:$Q$1004),"")</f>
        <v/>
      </c>
      <c r="G190" s="81" t="str">
        <f aca="false">IF(A190&lt;&gt;"",SUMIF('Trade Log'!$B$5:$B$1004,A190,'Trade Log'!$R$5:$R$1004),"")</f>
        <v/>
      </c>
      <c r="H190" s="82" t="str">
        <f aca="false">IF(A190&lt;&gt;"",SUMIF('Trade Log'!$B$5:$B$1004,A190,'Trade Log'!$T$5:$T$1004),"")</f>
        <v/>
      </c>
      <c r="I190" s="83" t="str">
        <f aca="false">IF(A190&lt;&gt;"",IFERROR(SUMIF('Trade Log'!$B$5:$B$1004,A190,'Trade Log'!$R$5:$R$1004)/SUMIF('Trade Log'!$B$5:$B$1004,A190,'Trade Log'!$Q$5:$Q$1004)-1,""),"")</f>
        <v/>
      </c>
      <c r="J190" s="84" t="str">
        <f aca="false">IF(A190&lt;&gt;"",SUMIF('Trade Log'!$B$5:$B$1004,A190,'Trade Log'!$V$5:$V$1004),"")</f>
        <v/>
      </c>
      <c r="K190" s="85" t="str">
        <f aca="false">IF(A190&lt;&gt;"",IFERROR(SUMIF('Trade Log'!$B$5:$B$1004,A190,'Trade Log'!$V$5:$V$1004)/SUMIF('Trade Log'!$B$5:$B$1004,A190,'Trade Log'!$Q$5:$Q$1004),""),"")</f>
        <v/>
      </c>
      <c r="L190" s="86" t="str">
        <f aca="false">IF(A190&lt;&gt;"",IFERROR(SUMIFS('Trade Log'!$L$5:$L$1004,'Trade Log'!$B$5:$B$1004,A190,'Trade Log'!$E$5:$E$1004,""),0),"")</f>
        <v/>
      </c>
      <c r="M190" s="87" t="str">
        <f aca="false">IF(A190&lt;&gt;"",IFERROR(INDEX('Trade Log'!$AB$5:$AB$1004,MATCH(2,1/('Trade Log'!$B$5:$B$1004=A190),1)),""),"")</f>
        <v/>
      </c>
    </row>
    <row r="191" customFormat="false" ht="19.5" hidden="false" customHeight="true" outlineLevel="0" collapsed="false">
      <c r="A191" s="88"/>
      <c r="B191" s="68" t="str">
        <f aca="false">IF(A191&lt;&gt;"",IFERROR(INDEX('Trade Log'!$G$5:$G$1004,MATCH(A191,'Trade Log'!$B$5:$B$1004,0)),""),"")</f>
        <v/>
      </c>
      <c r="C191" s="69" t="str">
        <f aca="false">IF(A191&lt;&gt;"",IFERROR(INDEX('Trade Log'!$I$5:$I$1004,MATCH(A191,'Trade Log'!$B$5:$B$1004,0)),""),"")</f>
        <v/>
      </c>
      <c r="D191" s="67" t="str">
        <f aca="false">IF(A191&lt;&gt;"",COUNTIF('Trade Log'!$B$5:$B$1004,A191),"")</f>
        <v/>
      </c>
      <c r="E191" s="67" t="str">
        <f aca="false">IF(A191&lt;&gt;"",SUMIF('Trade Log'!$B$5:$B$1004,A191,'Trade Log'!$L$5:$L$1004),"")</f>
        <v/>
      </c>
      <c r="F191" s="70" t="str">
        <f aca="false">IF(A191&lt;&gt;"",SUMIF('Trade Log'!$B$5:$B$1004,A191,'Trade Log'!$Q$5:$Q$1004),"")</f>
        <v/>
      </c>
      <c r="G191" s="70" t="str">
        <f aca="false">IF(A191&lt;&gt;"",SUMIF('Trade Log'!$B$5:$B$1004,A191,'Trade Log'!$R$5:$R$1004),"")</f>
        <v/>
      </c>
      <c r="H191" s="71" t="str">
        <f aca="false">IF(A191&lt;&gt;"",SUMIF('Trade Log'!$B$5:$B$1004,A191,'Trade Log'!$T$5:$T$1004),"")</f>
        <v/>
      </c>
      <c r="I191" s="72" t="str">
        <f aca="false">IF(A191&lt;&gt;"",IFERROR(SUMIF('Trade Log'!$B$5:$B$1004,A191,'Trade Log'!$R$5:$R$1004)/SUMIF('Trade Log'!$B$5:$B$1004,A191,'Trade Log'!$Q$5:$Q$1004)-1,""),"")</f>
        <v/>
      </c>
      <c r="J191" s="73" t="str">
        <f aca="false">IF(A191&lt;&gt;"",SUMIF('Trade Log'!$B$5:$B$1004,A191,'Trade Log'!$V$5:$V$1004),"")</f>
        <v/>
      </c>
      <c r="K191" s="74" t="str">
        <f aca="false">IF(A191&lt;&gt;"",IFERROR(SUMIF('Trade Log'!$B$5:$B$1004,A191,'Trade Log'!$V$5:$V$1004)/SUMIF('Trade Log'!$B$5:$B$1004,A191,'Trade Log'!$Q$5:$Q$1004),""),"")</f>
        <v/>
      </c>
      <c r="L191" s="75" t="str">
        <f aca="false">IF(A191&lt;&gt;"",IFERROR(SUMIFS('Trade Log'!$L$5:$L$1004,'Trade Log'!$B$5:$B$1004,A191,'Trade Log'!$E$5:$E$1004,""),0),"")</f>
        <v/>
      </c>
      <c r="M191" s="76" t="str">
        <f aca="false">IF(A191&lt;&gt;"",IFERROR(INDEX('Trade Log'!$AB$5:$AB$1004,MATCH(2,1/('Trade Log'!$B$5:$B$1004=A191),1)),""),"")</f>
        <v/>
      </c>
    </row>
    <row r="192" customFormat="false" ht="19.5" hidden="false" customHeight="true" outlineLevel="0" collapsed="false">
      <c r="A192" s="77"/>
      <c r="B192" s="78" t="str">
        <f aca="false">IF(A192&lt;&gt;"",IFERROR(INDEX('Trade Log'!$G$5:$G$1004,MATCH(A192,'Trade Log'!$B$5:$B$1004,0)),""),"")</f>
        <v/>
      </c>
      <c r="C192" s="79" t="str">
        <f aca="false">IF(A192&lt;&gt;"",IFERROR(INDEX('Trade Log'!$I$5:$I$1004,MATCH(A192,'Trade Log'!$B$5:$B$1004,0)),""),"")</f>
        <v/>
      </c>
      <c r="D192" s="80" t="str">
        <f aca="false">IF(A192&lt;&gt;"",COUNTIF('Trade Log'!$B$5:$B$1004,A192),"")</f>
        <v/>
      </c>
      <c r="E192" s="80" t="str">
        <f aca="false">IF(A192&lt;&gt;"",SUMIF('Trade Log'!$B$5:$B$1004,A192,'Trade Log'!$L$5:$L$1004),"")</f>
        <v/>
      </c>
      <c r="F192" s="81" t="str">
        <f aca="false">IF(A192&lt;&gt;"",SUMIF('Trade Log'!$B$5:$B$1004,A192,'Trade Log'!$Q$5:$Q$1004),"")</f>
        <v/>
      </c>
      <c r="G192" s="81" t="str">
        <f aca="false">IF(A192&lt;&gt;"",SUMIF('Trade Log'!$B$5:$B$1004,A192,'Trade Log'!$R$5:$R$1004),"")</f>
        <v/>
      </c>
      <c r="H192" s="82" t="str">
        <f aca="false">IF(A192&lt;&gt;"",SUMIF('Trade Log'!$B$5:$B$1004,A192,'Trade Log'!$T$5:$T$1004),"")</f>
        <v/>
      </c>
      <c r="I192" s="83" t="str">
        <f aca="false">IF(A192&lt;&gt;"",IFERROR(SUMIF('Trade Log'!$B$5:$B$1004,A192,'Trade Log'!$R$5:$R$1004)/SUMIF('Trade Log'!$B$5:$B$1004,A192,'Trade Log'!$Q$5:$Q$1004)-1,""),"")</f>
        <v/>
      </c>
      <c r="J192" s="84" t="str">
        <f aca="false">IF(A192&lt;&gt;"",SUMIF('Trade Log'!$B$5:$B$1004,A192,'Trade Log'!$V$5:$V$1004),"")</f>
        <v/>
      </c>
      <c r="K192" s="85" t="str">
        <f aca="false">IF(A192&lt;&gt;"",IFERROR(SUMIF('Trade Log'!$B$5:$B$1004,A192,'Trade Log'!$V$5:$V$1004)/SUMIF('Trade Log'!$B$5:$B$1004,A192,'Trade Log'!$Q$5:$Q$1004),""),"")</f>
        <v/>
      </c>
      <c r="L192" s="86" t="str">
        <f aca="false">IF(A192&lt;&gt;"",IFERROR(SUMIFS('Trade Log'!$L$5:$L$1004,'Trade Log'!$B$5:$B$1004,A192,'Trade Log'!$E$5:$E$1004,""),0),"")</f>
        <v/>
      </c>
      <c r="M192" s="87" t="str">
        <f aca="false">IF(A192&lt;&gt;"",IFERROR(INDEX('Trade Log'!$AB$5:$AB$1004,MATCH(2,1/('Trade Log'!$B$5:$B$1004=A192),1)),""),"")</f>
        <v/>
      </c>
    </row>
    <row r="193" customFormat="false" ht="19.5" hidden="false" customHeight="true" outlineLevel="0" collapsed="false">
      <c r="A193" s="88"/>
      <c r="B193" s="68" t="str">
        <f aca="false">IF(A193&lt;&gt;"",IFERROR(INDEX('Trade Log'!$G$5:$G$1004,MATCH(A193,'Trade Log'!$B$5:$B$1004,0)),""),"")</f>
        <v/>
      </c>
      <c r="C193" s="69" t="str">
        <f aca="false">IF(A193&lt;&gt;"",IFERROR(INDEX('Trade Log'!$I$5:$I$1004,MATCH(A193,'Trade Log'!$B$5:$B$1004,0)),""),"")</f>
        <v/>
      </c>
      <c r="D193" s="67" t="str">
        <f aca="false">IF(A193&lt;&gt;"",COUNTIF('Trade Log'!$B$5:$B$1004,A193),"")</f>
        <v/>
      </c>
      <c r="E193" s="67" t="str">
        <f aca="false">IF(A193&lt;&gt;"",SUMIF('Trade Log'!$B$5:$B$1004,A193,'Trade Log'!$L$5:$L$1004),"")</f>
        <v/>
      </c>
      <c r="F193" s="70" t="str">
        <f aca="false">IF(A193&lt;&gt;"",SUMIF('Trade Log'!$B$5:$B$1004,A193,'Trade Log'!$Q$5:$Q$1004),"")</f>
        <v/>
      </c>
      <c r="G193" s="70" t="str">
        <f aca="false">IF(A193&lt;&gt;"",SUMIF('Trade Log'!$B$5:$B$1004,A193,'Trade Log'!$R$5:$R$1004),"")</f>
        <v/>
      </c>
      <c r="H193" s="71" t="str">
        <f aca="false">IF(A193&lt;&gt;"",SUMIF('Trade Log'!$B$5:$B$1004,A193,'Trade Log'!$T$5:$T$1004),"")</f>
        <v/>
      </c>
      <c r="I193" s="72" t="str">
        <f aca="false">IF(A193&lt;&gt;"",IFERROR(SUMIF('Trade Log'!$B$5:$B$1004,A193,'Trade Log'!$R$5:$R$1004)/SUMIF('Trade Log'!$B$5:$B$1004,A193,'Trade Log'!$Q$5:$Q$1004)-1,""),"")</f>
        <v/>
      </c>
      <c r="J193" s="73" t="str">
        <f aca="false">IF(A193&lt;&gt;"",SUMIF('Trade Log'!$B$5:$B$1004,A193,'Trade Log'!$V$5:$V$1004),"")</f>
        <v/>
      </c>
      <c r="K193" s="74" t="str">
        <f aca="false">IF(A193&lt;&gt;"",IFERROR(SUMIF('Trade Log'!$B$5:$B$1004,A193,'Trade Log'!$V$5:$V$1004)/SUMIF('Trade Log'!$B$5:$B$1004,A193,'Trade Log'!$Q$5:$Q$1004),""),"")</f>
        <v/>
      </c>
      <c r="L193" s="75" t="str">
        <f aca="false">IF(A193&lt;&gt;"",IFERROR(SUMIFS('Trade Log'!$L$5:$L$1004,'Trade Log'!$B$5:$B$1004,A193,'Trade Log'!$E$5:$E$1004,""),0),"")</f>
        <v/>
      </c>
      <c r="M193" s="76" t="str">
        <f aca="false">IF(A193&lt;&gt;"",IFERROR(INDEX('Trade Log'!$AB$5:$AB$1004,MATCH(2,1/('Trade Log'!$B$5:$B$1004=A193),1)),""),"")</f>
        <v/>
      </c>
    </row>
    <row r="194" customFormat="false" ht="19.5" hidden="false" customHeight="true" outlineLevel="0" collapsed="false">
      <c r="A194" s="77"/>
      <c r="B194" s="78" t="str">
        <f aca="false">IF(A194&lt;&gt;"",IFERROR(INDEX('Trade Log'!$G$5:$G$1004,MATCH(A194,'Trade Log'!$B$5:$B$1004,0)),""),"")</f>
        <v/>
      </c>
      <c r="C194" s="79" t="str">
        <f aca="false">IF(A194&lt;&gt;"",IFERROR(INDEX('Trade Log'!$I$5:$I$1004,MATCH(A194,'Trade Log'!$B$5:$B$1004,0)),""),"")</f>
        <v/>
      </c>
      <c r="D194" s="80" t="str">
        <f aca="false">IF(A194&lt;&gt;"",COUNTIF('Trade Log'!$B$5:$B$1004,A194),"")</f>
        <v/>
      </c>
      <c r="E194" s="80" t="str">
        <f aca="false">IF(A194&lt;&gt;"",SUMIF('Trade Log'!$B$5:$B$1004,A194,'Trade Log'!$L$5:$L$1004),"")</f>
        <v/>
      </c>
      <c r="F194" s="81" t="str">
        <f aca="false">IF(A194&lt;&gt;"",SUMIF('Trade Log'!$B$5:$B$1004,A194,'Trade Log'!$Q$5:$Q$1004),"")</f>
        <v/>
      </c>
      <c r="G194" s="81" t="str">
        <f aca="false">IF(A194&lt;&gt;"",SUMIF('Trade Log'!$B$5:$B$1004,A194,'Trade Log'!$R$5:$R$1004),"")</f>
        <v/>
      </c>
      <c r="H194" s="82" t="str">
        <f aca="false">IF(A194&lt;&gt;"",SUMIF('Trade Log'!$B$5:$B$1004,A194,'Trade Log'!$T$5:$T$1004),"")</f>
        <v/>
      </c>
      <c r="I194" s="83" t="str">
        <f aca="false">IF(A194&lt;&gt;"",IFERROR(SUMIF('Trade Log'!$B$5:$B$1004,A194,'Trade Log'!$R$5:$R$1004)/SUMIF('Trade Log'!$B$5:$B$1004,A194,'Trade Log'!$Q$5:$Q$1004)-1,""),"")</f>
        <v/>
      </c>
      <c r="J194" s="84" t="str">
        <f aca="false">IF(A194&lt;&gt;"",SUMIF('Trade Log'!$B$5:$B$1004,A194,'Trade Log'!$V$5:$V$1004),"")</f>
        <v/>
      </c>
      <c r="K194" s="85" t="str">
        <f aca="false">IF(A194&lt;&gt;"",IFERROR(SUMIF('Trade Log'!$B$5:$B$1004,A194,'Trade Log'!$V$5:$V$1004)/SUMIF('Trade Log'!$B$5:$B$1004,A194,'Trade Log'!$Q$5:$Q$1004),""),"")</f>
        <v/>
      </c>
      <c r="L194" s="86" t="str">
        <f aca="false">IF(A194&lt;&gt;"",IFERROR(SUMIFS('Trade Log'!$L$5:$L$1004,'Trade Log'!$B$5:$B$1004,A194,'Trade Log'!$E$5:$E$1004,""),0),"")</f>
        <v/>
      </c>
      <c r="M194" s="87" t="str">
        <f aca="false">IF(A194&lt;&gt;"",IFERROR(INDEX('Trade Log'!$AB$5:$AB$1004,MATCH(2,1/('Trade Log'!$B$5:$B$1004=A194),1)),""),"")</f>
        <v/>
      </c>
    </row>
    <row r="195" customFormat="false" ht="19.5" hidden="false" customHeight="true" outlineLevel="0" collapsed="false">
      <c r="A195" s="88"/>
      <c r="B195" s="68" t="str">
        <f aca="false">IF(A195&lt;&gt;"",IFERROR(INDEX('Trade Log'!$G$5:$G$1004,MATCH(A195,'Trade Log'!$B$5:$B$1004,0)),""),"")</f>
        <v/>
      </c>
      <c r="C195" s="69" t="str">
        <f aca="false">IF(A195&lt;&gt;"",IFERROR(INDEX('Trade Log'!$I$5:$I$1004,MATCH(A195,'Trade Log'!$B$5:$B$1004,0)),""),"")</f>
        <v/>
      </c>
      <c r="D195" s="67" t="str">
        <f aca="false">IF(A195&lt;&gt;"",COUNTIF('Trade Log'!$B$5:$B$1004,A195),"")</f>
        <v/>
      </c>
      <c r="E195" s="67" t="str">
        <f aca="false">IF(A195&lt;&gt;"",SUMIF('Trade Log'!$B$5:$B$1004,A195,'Trade Log'!$L$5:$L$1004),"")</f>
        <v/>
      </c>
      <c r="F195" s="70" t="str">
        <f aca="false">IF(A195&lt;&gt;"",SUMIF('Trade Log'!$B$5:$B$1004,A195,'Trade Log'!$Q$5:$Q$1004),"")</f>
        <v/>
      </c>
      <c r="G195" s="70" t="str">
        <f aca="false">IF(A195&lt;&gt;"",SUMIF('Trade Log'!$B$5:$B$1004,A195,'Trade Log'!$R$5:$R$1004),"")</f>
        <v/>
      </c>
      <c r="H195" s="71" t="str">
        <f aca="false">IF(A195&lt;&gt;"",SUMIF('Trade Log'!$B$5:$B$1004,A195,'Trade Log'!$T$5:$T$1004),"")</f>
        <v/>
      </c>
      <c r="I195" s="72" t="str">
        <f aca="false">IF(A195&lt;&gt;"",IFERROR(SUMIF('Trade Log'!$B$5:$B$1004,A195,'Trade Log'!$R$5:$R$1004)/SUMIF('Trade Log'!$B$5:$B$1004,A195,'Trade Log'!$Q$5:$Q$1004)-1,""),"")</f>
        <v/>
      </c>
      <c r="J195" s="73" t="str">
        <f aca="false">IF(A195&lt;&gt;"",SUMIF('Trade Log'!$B$5:$B$1004,A195,'Trade Log'!$V$5:$V$1004),"")</f>
        <v/>
      </c>
      <c r="K195" s="74" t="str">
        <f aca="false">IF(A195&lt;&gt;"",IFERROR(SUMIF('Trade Log'!$B$5:$B$1004,A195,'Trade Log'!$V$5:$V$1004)/SUMIF('Trade Log'!$B$5:$B$1004,A195,'Trade Log'!$Q$5:$Q$1004),""),"")</f>
        <v/>
      </c>
      <c r="L195" s="75" t="str">
        <f aca="false">IF(A195&lt;&gt;"",IFERROR(SUMIFS('Trade Log'!$L$5:$L$1004,'Trade Log'!$B$5:$B$1004,A195,'Trade Log'!$E$5:$E$1004,""),0),"")</f>
        <v/>
      </c>
      <c r="M195" s="76" t="str">
        <f aca="false">IF(A195&lt;&gt;"",IFERROR(INDEX('Trade Log'!$AB$5:$AB$1004,MATCH(2,1/('Trade Log'!$B$5:$B$1004=A195),1)),""),"")</f>
        <v/>
      </c>
    </row>
    <row r="196" customFormat="false" ht="19.5" hidden="false" customHeight="true" outlineLevel="0" collapsed="false">
      <c r="A196" s="77"/>
      <c r="B196" s="78" t="str">
        <f aca="false">IF(A196&lt;&gt;"",IFERROR(INDEX('Trade Log'!$G$5:$G$1004,MATCH(A196,'Trade Log'!$B$5:$B$1004,0)),""),"")</f>
        <v/>
      </c>
      <c r="C196" s="79" t="str">
        <f aca="false">IF(A196&lt;&gt;"",IFERROR(INDEX('Trade Log'!$I$5:$I$1004,MATCH(A196,'Trade Log'!$B$5:$B$1004,0)),""),"")</f>
        <v/>
      </c>
      <c r="D196" s="80" t="str">
        <f aca="false">IF(A196&lt;&gt;"",COUNTIF('Trade Log'!$B$5:$B$1004,A196),"")</f>
        <v/>
      </c>
      <c r="E196" s="80" t="str">
        <f aca="false">IF(A196&lt;&gt;"",SUMIF('Trade Log'!$B$5:$B$1004,A196,'Trade Log'!$L$5:$L$1004),"")</f>
        <v/>
      </c>
      <c r="F196" s="81" t="str">
        <f aca="false">IF(A196&lt;&gt;"",SUMIF('Trade Log'!$B$5:$B$1004,A196,'Trade Log'!$Q$5:$Q$1004),"")</f>
        <v/>
      </c>
      <c r="G196" s="81" t="str">
        <f aca="false">IF(A196&lt;&gt;"",SUMIF('Trade Log'!$B$5:$B$1004,A196,'Trade Log'!$R$5:$R$1004),"")</f>
        <v/>
      </c>
      <c r="H196" s="82" t="str">
        <f aca="false">IF(A196&lt;&gt;"",SUMIF('Trade Log'!$B$5:$B$1004,A196,'Trade Log'!$T$5:$T$1004),"")</f>
        <v/>
      </c>
      <c r="I196" s="83" t="str">
        <f aca="false">IF(A196&lt;&gt;"",IFERROR(SUMIF('Trade Log'!$B$5:$B$1004,A196,'Trade Log'!$R$5:$R$1004)/SUMIF('Trade Log'!$B$5:$B$1004,A196,'Trade Log'!$Q$5:$Q$1004)-1,""),"")</f>
        <v/>
      </c>
      <c r="J196" s="84" t="str">
        <f aca="false">IF(A196&lt;&gt;"",SUMIF('Trade Log'!$B$5:$B$1004,A196,'Trade Log'!$V$5:$V$1004),"")</f>
        <v/>
      </c>
      <c r="K196" s="85" t="str">
        <f aca="false">IF(A196&lt;&gt;"",IFERROR(SUMIF('Trade Log'!$B$5:$B$1004,A196,'Trade Log'!$V$5:$V$1004)/SUMIF('Trade Log'!$B$5:$B$1004,A196,'Trade Log'!$Q$5:$Q$1004),""),"")</f>
        <v/>
      </c>
      <c r="L196" s="86" t="str">
        <f aca="false">IF(A196&lt;&gt;"",IFERROR(SUMIFS('Trade Log'!$L$5:$L$1004,'Trade Log'!$B$5:$B$1004,A196,'Trade Log'!$E$5:$E$1004,""),0),"")</f>
        <v/>
      </c>
      <c r="M196" s="87" t="str">
        <f aca="false">IF(A196&lt;&gt;"",IFERROR(INDEX('Trade Log'!$AB$5:$AB$1004,MATCH(2,1/('Trade Log'!$B$5:$B$1004=A196),1)),""),"")</f>
        <v/>
      </c>
    </row>
    <row r="197" customFormat="false" ht="19.5" hidden="false" customHeight="true" outlineLevel="0" collapsed="false">
      <c r="A197" s="88"/>
      <c r="B197" s="68" t="str">
        <f aca="false">IF(A197&lt;&gt;"",IFERROR(INDEX('Trade Log'!$G$5:$G$1004,MATCH(A197,'Trade Log'!$B$5:$B$1004,0)),""),"")</f>
        <v/>
      </c>
      <c r="C197" s="69" t="str">
        <f aca="false">IF(A197&lt;&gt;"",IFERROR(INDEX('Trade Log'!$I$5:$I$1004,MATCH(A197,'Trade Log'!$B$5:$B$1004,0)),""),"")</f>
        <v/>
      </c>
      <c r="D197" s="67" t="str">
        <f aca="false">IF(A197&lt;&gt;"",COUNTIF('Trade Log'!$B$5:$B$1004,A197),"")</f>
        <v/>
      </c>
      <c r="E197" s="67" t="str">
        <f aca="false">IF(A197&lt;&gt;"",SUMIF('Trade Log'!$B$5:$B$1004,A197,'Trade Log'!$L$5:$L$1004),"")</f>
        <v/>
      </c>
      <c r="F197" s="70" t="str">
        <f aca="false">IF(A197&lt;&gt;"",SUMIF('Trade Log'!$B$5:$B$1004,A197,'Trade Log'!$Q$5:$Q$1004),"")</f>
        <v/>
      </c>
      <c r="G197" s="70" t="str">
        <f aca="false">IF(A197&lt;&gt;"",SUMIF('Trade Log'!$B$5:$B$1004,A197,'Trade Log'!$R$5:$R$1004),"")</f>
        <v/>
      </c>
      <c r="H197" s="71" t="str">
        <f aca="false">IF(A197&lt;&gt;"",SUMIF('Trade Log'!$B$5:$B$1004,A197,'Trade Log'!$T$5:$T$1004),"")</f>
        <v/>
      </c>
      <c r="I197" s="72" t="str">
        <f aca="false">IF(A197&lt;&gt;"",IFERROR(SUMIF('Trade Log'!$B$5:$B$1004,A197,'Trade Log'!$R$5:$R$1004)/SUMIF('Trade Log'!$B$5:$B$1004,A197,'Trade Log'!$Q$5:$Q$1004)-1,""),"")</f>
        <v/>
      </c>
      <c r="J197" s="73" t="str">
        <f aca="false">IF(A197&lt;&gt;"",SUMIF('Trade Log'!$B$5:$B$1004,A197,'Trade Log'!$V$5:$V$1004),"")</f>
        <v/>
      </c>
      <c r="K197" s="74" t="str">
        <f aca="false">IF(A197&lt;&gt;"",IFERROR(SUMIF('Trade Log'!$B$5:$B$1004,A197,'Trade Log'!$V$5:$V$1004)/SUMIF('Trade Log'!$B$5:$B$1004,A197,'Trade Log'!$Q$5:$Q$1004),""),"")</f>
        <v/>
      </c>
      <c r="L197" s="75" t="str">
        <f aca="false">IF(A197&lt;&gt;"",IFERROR(SUMIFS('Trade Log'!$L$5:$L$1004,'Trade Log'!$B$5:$B$1004,A197,'Trade Log'!$E$5:$E$1004,""),0),"")</f>
        <v/>
      </c>
      <c r="M197" s="76" t="str">
        <f aca="false">IF(A197&lt;&gt;"",IFERROR(INDEX('Trade Log'!$AB$5:$AB$1004,MATCH(2,1/('Trade Log'!$B$5:$B$1004=A197),1)),""),"")</f>
        <v/>
      </c>
    </row>
    <row r="198" customFormat="false" ht="19.5" hidden="false" customHeight="true" outlineLevel="0" collapsed="false">
      <c r="A198" s="77"/>
      <c r="B198" s="78" t="str">
        <f aca="false">IF(A198&lt;&gt;"",IFERROR(INDEX('Trade Log'!$G$5:$G$1004,MATCH(A198,'Trade Log'!$B$5:$B$1004,0)),""),"")</f>
        <v/>
      </c>
      <c r="C198" s="79" t="str">
        <f aca="false">IF(A198&lt;&gt;"",IFERROR(INDEX('Trade Log'!$I$5:$I$1004,MATCH(A198,'Trade Log'!$B$5:$B$1004,0)),""),"")</f>
        <v/>
      </c>
      <c r="D198" s="80" t="str">
        <f aca="false">IF(A198&lt;&gt;"",COUNTIF('Trade Log'!$B$5:$B$1004,A198),"")</f>
        <v/>
      </c>
      <c r="E198" s="80" t="str">
        <f aca="false">IF(A198&lt;&gt;"",SUMIF('Trade Log'!$B$5:$B$1004,A198,'Trade Log'!$L$5:$L$1004),"")</f>
        <v/>
      </c>
      <c r="F198" s="81" t="str">
        <f aca="false">IF(A198&lt;&gt;"",SUMIF('Trade Log'!$B$5:$B$1004,A198,'Trade Log'!$Q$5:$Q$1004),"")</f>
        <v/>
      </c>
      <c r="G198" s="81" t="str">
        <f aca="false">IF(A198&lt;&gt;"",SUMIF('Trade Log'!$B$5:$B$1004,A198,'Trade Log'!$R$5:$R$1004),"")</f>
        <v/>
      </c>
      <c r="H198" s="82" t="str">
        <f aca="false">IF(A198&lt;&gt;"",SUMIF('Trade Log'!$B$5:$B$1004,A198,'Trade Log'!$T$5:$T$1004),"")</f>
        <v/>
      </c>
      <c r="I198" s="83" t="str">
        <f aca="false">IF(A198&lt;&gt;"",IFERROR(SUMIF('Trade Log'!$B$5:$B$1004,A198,'Trade Log'!$R$5:$R$1004)/SUMIF('Trade Log'!$B$5:$B$1004,A198,'Trade Log'!$Q$5:$Q$1004)-1,""),"")</f>
        <v/>
      </c>
      <c r="J198" s="84" t="str">
        <f aca="false">IF(A198&lt;&gt;"",SUMIF('Trade Log'!$B$5:$B$1004,A198,'Trade Log'!$V$5:$V$1004),"")</f>
        <v/>
      </c>
      <c r="K198" s="85" t="str">
        <f aca="false">IF(A198&lt;&gt;"",IFERROR(SUMIF('Trade Log'!$B$5:$B$1004,A198,'Trade Log'!$V$5:$V$1004)/SUMIF('Trade Log'!$B$5:$B$1004,A198,'Trade Log'!$Q$5:$Q$1004),""),"")</f>
        <v/>
      </c>
      <c r="L198" s="86" t="str">
        <f aca="false">IF(A198&lt;&gt;"",IFERROR(SUMIFS('Trade Log'!$L$5:$L$1004,'Trade Log'!$B$5:$B$1004,A198,'Trade Log'!$E$5:$E$1004,""),0),"")</f>
        <v/>
      </c>
      <c r="M198" s="87" t="str">
        <f aca="false">IF(A198&lt;&gt;"",IFERROR(INDEX('Trade Log'!$AB$5:$AB$1004,MATCH(2,1/('Trade Log'!$B$5:$B$1004=A198),1)),""),"")</f>
        <v/>
      </c>
    </row>
    <row r="199" customFormat="false" ht="19.5" hidden="false" customHeight="true" outlineLevel="0" collapsed="false">
      <c r="A199" s="88"/>
      <c r="B199" s="68" t="str">
        <f aca="false">IF(A199&lt;&gt;"",IFERROR(INDEX('Trade Log'!$G$5:$G$1004,MATCH(A199,'Trade Log'!$B$5:$B$1004,0)),""),"")</f>
        <v/>
      </c>
      <c r="C199" s="69" t="str">
        <f aca="false">IF(A199&lt;&gt;"",IFERROR(INDEX('Trade Log'!$I$5:$I$1004,MATCH(A199,'Trade Log'!$B$5:$B$1004,0)),""),"")</f>
        <v/>
      </c>
      <c r="D199" s="67" t="str">
        <f aca="false">IF(A199&lt;&gt;"",COUNTIF('Trade Log'!$B$5:$B$1004,A199),"")</f>
        <v/>
      </c>
      <c r="E199" s="67" t="str">
        <f aca="false">IF(A199&lt;&gt;"",SUMIF('Trade Log'!$B$5:$B$1004,A199,'Trade Log'!$L$5:$L$1004),"")</f>
        <v/>
      </c>
      <c r="F199" s="70" t="str">
        <f aca="false">IF(A199&lt;&gt;"",SUMIF('Trade Log'!$B$5:$B$1004,A199,'Trade Log'!$Q$5:$Q$1004),"")</f>
        <v/>
      </c>
      <c r="G199" s="70" t="str">
        <f aca="false">IF(A199&lt;&gt;"",SUMIF('Trade Log'!$B$5:$B$1004,A199,'Trade Log'!$R$5:$R$1004),"")</f>
        <v/>
      </c>
      <c r="H199" s="71" t="str">
        <f aca="false">IF(A199&lt;&gt;"",SUMIF('Trade Log'!$B$5:$B$1004,A199,'Trade Log'!$T$5:$T$1004),"")</f>
        <v/>
      </c>
      <c r="I199" s="72" t="str">
        <f aca="false">IF(A199&lt;&gt;"",IFERROR(SUMIF('Trade Log'!$B$5:$B$1004,A199,'Trade Log'!$R$5:$R$1004)/SUMIF('Trade Log'!$B$5:$B$1004,A199,'Trade Log'!$Q$5:$Q$1004)-1,""),"")</f>
        <v/>
      </c>
      <c r="J199" s="73" t="str">
        <f aca="false">IF(A199&lt;&gt;"",SUMIF('Trade Log'!$B$5:$B$1004,A199,'Trade Log'!$V$5:$V$1004),"")</f>
        <v/>
      </c>
      <c r="K199" s="74" t="str">
        <f aca="false">IF(A199&lt;&gt;"",IFERROR(SUMIF('Trade Log'!$B$5:$B$1004,A199,'Trade Log'!$V$5:$V$1004)/SUMIF('Trade Log'!$B$5:$B$1004,A199,'Trade Log'!$Q$5:$Q$1004),""),"")</f>
        <v/>
      </c>
      <c r="L199" s="75" t="str">
        <f aca="false">IF(A199&lt;&gt;"",IFERROR(SUMIFS('Trade Log'!$L$5:$L$1004,'Trade Log'!$B$5:$B$1004,A199,'Trade Log'!$E$5:$E$1004,""),0),"")</f>
        <v/>
      </c>
      <c r="M199" s="76" t="str">
        <f aca="false">IF(A199&lt;&gt;"",IFERROR(INDEX('Trade Log'!$AB$5:$AB$1004,MATCH(2,1/('Trade Log'!$B$5:$B$1004=A199),1)),""),"")</f>
        <v/>
      </c>
    </row>
    <row r="200" customFormat="false" ht="19.5" hidden="false" customHeight="true" outlineLevel="0" collapsed="false">
      <c r="A200" s="77"/>
      <c r="B200" s="78" t="str">
        <f aca="false">IF(A200&lt;&gt;"",IFERROR(INDEX('Trade Log'!$G$5:$G$1004,MATCH(A200,'Trade Log'!$B$5:$B$1004,0)),""),"")</f>
        <v/>
      </c>
      <c r="C200" s="79" t="str">
        <f aca="false">IF(A200&lt;&gt;"",IFERROR(INDEX('Trade Log'!$I$5:$I$1004,MATCH(A200,'Trade Log'!$B$5:$B$1004,0)),""),"")</f>
        <v/>
      </c>
      <c r="D200" s="80" t="str">
        <f aca="false">IF(A200&lt;&gt;"",COUNTIF('Trade Log'!$B$5:$B$1004,A200),"")</f>
        <v/>
      </c>
      <c r="E200" s="80" t="str">
        <f aca="false">IF(A200&lt;&gt;"",SUMIF('Trade Log'!$B$5:$B$1004,A200,'Trade Log'!$L$5:$L$1004),"")</f>
        <v/>
      </c>
      <c r="F200" s="81" t="str">
        <f aca="false">IF(A200&lt;&gt;"",SUMIF('Trade Log'!$B$5:$B$1004,A200,'Trade Log'!$Q$5:$Q$1004),"")</f>
        <v/>
      </c>
      <c r="G200" s="81" t="str">
        <f aca="false">IF(A200&lt;&gt;"",SUMIF('Trade Log'!$B$5:$B$1004,A200,'Trade Log'!$R$5:$R$1004),"")</f>
        <v/>
      </c>
      <c r="H200" s="82" t="str">
        <f aca="false">IF(A200&lt;&gt;"",SUMIF('Trade Log'!$B$5:$B$1004,A200,'Trade Log'!$T$5:$T$1004),"")</f>
        <v/>
      </c>
      <c r="I200" s="83" t="str">
        <f aca="false">IF(A200&lt;&gt;"",IFERROR(SUMIF('Trade Log'!$B$5:$B$1004,A200,'Trade Log'!$R$5:$R$1004)/SUMIF('Trade Log'!$B$5:$B$1004,A200,'Trade Log'!$Q$5:$Q$1004)-1,""),"")</f>
        <v/>
      </c>
      <c r="J200" s="84" t="str">
        <f aca="false">IF(A200&lt;&gt;"",SUMIF('Trade Log'!$B$5:$B$1004,A200,'Trade Log'!$V$5:$V$1004),"")</f>
        <v/>
      </c>
      <c r="K200" s="85" t="str">
        <f aca="false">IF(A200&lt;&gt;"",IFERROR(SUMIF('Trade Log'!$B$5:$B$1004,A200,'Trade Log'!$V$5:$V$1004)/SUMIF('Trade Log'!$B$5:$B$1004,A200,'Trade Log'!$Q$5:$Q$1004),""),"")</f>
        <v/>
      </c>
      <c r="L200" s="86" t="str">
        <f aca="false">IF(A200&lt;&gt;"",IFERROR(SUMIFS('Trade Log'!$L$5:$L$1004,'Trade Log'!$B$5:$B$1004,A200,'Trade Log'!$E$5:$E$1004,""),0),"")</f>
        <v/>
      </c>
      <c r="M200" s="87" t="str">
        <f aca="false">IF(A200&lt;&gt;"",IFERROR(INDEX('Trade Log'!$AB$5:$AB$1004,MATCH(2,1/('Trade Log'!$B$5:$B$1004=A200),1)),""),"")</f>
        <v/>
      </c>
    </row>
    <row r="201" customFormat="false" ht="19.5" hidden="false" customHeight="true" outlineLevel="0" collapsed="false">
      <c r="A201" s="88"/>
      <c r="B201" s="68" t="str">
        <f aca="false">IF(A201&lt;&gt;"",IFERROR(INDEX('Trade Log'!$G$5:$G$1004,MATCH(A201,'Trade Log'!$B$5:$B$1004,0)),""),"")</f>
        <v/>
      </c>
      <c r="C201" s="69" t="str">
        <f aca="false">IF(A201&lt;&gt;"",IFERROR(INDEX('Trade Log'!$I$5:$I$1004,MATCH(A201,'Trade Log'!$B$5:$B$1004,0)),""),"")</f>
        <v/>
      </c>
      <c r="D201" s="67" t="str">
        <f aca="false">IF(A201&lt;&gt;"",COUNTIF('Trade Log'!$B$5:$B$1004,A201),"")</f>
        <v/>
      </c>
      <c r="E201" s="67" t="str">
        <f aca="false">IF(A201&lt;&gt;"",SUMIF('Trade Log'!$B$5:$B$1004,A201,'Trade Log'!$L$5:$L$1004),"")</f>
        <v/>
      </c>
      <c r="F201" s="70" t="str">
        <f aca="false">IF(A201&lt;&gt;"",SUMIF('Trade Log'!$B$5:$B$1004,A201,'Trade Log'!$Q$5:$Q$1004),"")</f>
        <v/>
      </c>
      <c r="G201" s="70" t="str">
        <f aca="false">IF(A201&lt;&gt;"",SUMIF('Trade Log'!$B$5:$B$1004,A201,'Trade Log'!$R$5:$R$1004),"")</f>
        <v/>
      </c>
      <c r="H201" s="71" t="str">
        <f aca="false">IF(A201&lt;&gt;"",SUMIF('Trade Log'!$B$5:$B$1004,A201,'Trade Log'!$T$5:$T$1004),"")</f>
        <v/>
      </c>
      <c r="I201" s="72" t="str">
        <f aca="false">IF(A201&lt;&gt;"",IFERROR(SUMIF('Trade Log'!$B$5:$B$1004,A201,'Trade Log'!$R$5:$R$1004)/SUMIF('Trade Log'!$B$5:$B$1004,A201,'Trade Log'!$Q$5:$Q$1004)-1,""),"")</f>
        <v/>
      </c>
      <c r="J201" s="73" t="str">
        <f aca="false">IF(A201&lt;&gt;"",SUMIF('Trade Log'!$B$5:$B$1004,A201,'Trade Log'!$V$5:$V$1004),"")</f>
        <v/>
      </c>
      <c r="K201" s="74" t="str">
        <f aca="false">IF(A201&lt;&gt;"",IFERROR(SUMIF('Trade Log'!$B$5:$B$1004,A201,'Trade Log'!$V$5:$V$1004)/SUMIF('Trade Log'!$B$5:$B$1004,A201,'Trade Log'!$Q$5:$Q$1004),""),"")</f>
        <v/>
      </c>
      <c r="L201" s="75" t="str">
        <f aca="false">IF(A201&lt;&gt;"",IFERROR(SUMIFS('Trade Log'!$L$5:$L$1004,'Trade Log'!$B$5:$B$1004,A201,'Trade Log'!$E$5:$E$1004,""),0),"")</f>
        <v/>
      </c>
      <c r="M201" s="76" t="str">
        <f aca="false">IF(A201&lt;&gt;"",IFERROR(INDEX('Trade Log'!$AB$5:$AB$1004,MATCH(2,1/('Trade Log'!$B$5:$B$1004=A201),1)),""),"")</f>
        <v/>
      </c>
    </row>
    <row r="202" customFormat="false" ht="19.5" hidden="false" customHeight="true" outlineLevel="0" collapsed="false">
      <c r="A202" s="77"/>
      <c r="B202" s="78" t="str">
        <f aca="false">IF(A202&lt;&gt;"",IFERROR(INDEX('Trade Log'!$G$5:$G$1004,MATCH(A202,'Trade Log'!$B$5:$B$1004,0)),""),"")</f>
        <v/>
      </c>
      <c r="C202" s="79" t="str">
        <f aca="false">IF(A202&lt;&gt;"",IFERROR(INDEX('Trade Log'!$I$5:$I$1004,MATCH(A202,'Trade Log'!$B$5:$B$1004,0)),""),"")</f>
        <v/>
      </c>
      <c r="D202" s="80" t="str">
        <f aca="false">IF(A202&lt;&gt;"",COUNTIF('Trade Log'!$B$5:$B$1004,A202),"")</f>
        <v/>
      </c>
      <c r="E202" s="80" t="str">
        <f aca="false">IF(A202&lt;&gt;"",SUMIF('Trade Log'!$B$5:$B$1004,A202,'Trade Log'!$L$5:$L$1004),"")</f>
        <v/>
      </c>
      <c r="F202" s="81" t="str">
        <f aca="false">IF(A202&lt;&gt;"",SUMIF('Trade Log'!$B$5:$B$1004,A202,'Trade Log'!$Q$5:$Q$1004),"")</f>
        <v/>
      </c>
      <c r="G202" s="81" t="str">
        <f aca="false">IF(A202&lt;&gt;"",SUMIF('Trade Log'!$B$5:$B$1004,A202,'Trade Log'!$R$5:$R$1004),"")</f>
        <v/>
      </c>
      <c r="H202" s="82" t="str">
        <f aca="false">IF(A202&lt;&gt;"",SUMIF('Trade Log'!$B$5:$B$1004,A202,'Trade Log'!$T$5:$T$1004),"")</f>
        <v/>
      </c>
      <c r="I202" s="83" t="str">
        <f aca="false">IF(A202&lt;&gt;"",IFERROR(SUMIF('Trade Log'!$B$5:$B$1004,A202,'Trade Log'!$R$5:$R$1004)/SUMIF('Trade Log'!$B$5:$B$1004,A202,'Trade Log'!$Q$5:$Q$1004)-1,""),"")</f>
        <v/>
      </c>
      <c r="J202" s="84" t="str">
        <f aca="false">IF(A202&lt;&gt;"",SUMIF('Trade Log'!$B$5:$B$1004,A202,'Trade Log'!$V$5:$V$1004),"")</f>
        <v/>
      </c>
      <c r="K202" s="85" t="str">
        <f aca="false">IF(A202&lt;&gt;"",IFERROR(SUMIF('Trade Log'!$B$5:$B$1004,A202,'Trade Log'!$V$5:$V$1004)/SUMIF('Trade Log'!$B$5:$B$1004,A202,'Trade Log'!$Q$5:$Q$1004),""),"")</f>
        <v/>
      </c>
      <c r="L202" s="86" t="str">
        <f aca="false">IF(A202&lt;&gt;"",IFERROR(SUMIFS('Trade Log'!$L$5:$L$1004,'Trade Log'!$B$5:$B$1004,A202,'Trade Log'!$E$5:$E$1004,""),0),"")</f>
        <v/>
      </c>
      <c r="M202" s="87" t="str">
        <f aca="false">IF(A202&lt;&gt;"",IFERROR(INDEX('Trade Log'!$AB$5:$AB$1004,MATCH(2,1/('Trade Log'!$B$5:$B$1004=A202),1)),""),"")</f>
        <v/>
      </c>
    </row>
    <row r="203" customFormat="false" ht="19.5" hidden="false" customHeight="true" outlineLevel="0" collapsed="false">
      <c r="A203" s="88"/>
      <c r="B203" s="68" t="str">
        <f aca="false">IF(A203&lt;&gt;"",IFERROR(INDEX('Trade Log'!$G$5:$G$1004,MATCH(A203,'Trade Log'!$B$5:$B$1004,0)),""),"")</f>
        <v/>
      </c>
      <c r="C203" s="69" t="str">
        <f aca="false">IF(A203&lt;&gt;"",IFERROR(INDEX('Trade Log'!$I$5:$I$1004,MATCH(A203,'Trade Log'!$B$5:$B$1004,0)),""),"")</f>
        <v/>
      </c>
      <c r="D203" s="67" t="str">
        <f aca="false">IF(A203&lt;&gt;"",COUNTIF('Trade Log'!$B$5:$B$1004,A203),"")</f>
        <v/>
      </c>
      <c r="E203" s="67" t="str">
        <f aca="false">IF(A203&lt;&gt;"",SUMIF('Trade Log'!$B$5:$B$1004,A203,'Trade Log'!$L$5:$L$1004),"")</f>
        <v/>
      </c>
      <c r="F203" s="70" t="str">
        <f aca="false">IF(A203&lt;&gt;"",SUMIF('Trade Log'!$B$5:$B$1004,A203,'Trade Log'!$Q$5:$Q$1004),"")</f>
        <v/>
      </c>
      <c r="G203" s="70" t="str">
        <f aca="false">IF(A203&lt;&gt;"",SUMIF('Trade Log'!$B$5:$B$1004,A203,'Trade Log'!$R$5:$R$1004),"")</f>
        <v/>
      </c>
      <c r="H203" s="71" t="str">
        <f aca="false">IF(A203&lt;&gt;"",SUMIF('Trade Log'!$B$5:$B$1004,A203,'Trade Log'!$T$5:$T$1004),"")</f>
        <v/>
      </c>
      <c r="I203" s="72" t="str">
        <f aca="false">IF(A203&lt;&gt;"",IFERROR(SUMIF('Trade Log'!$B$5:$B$1004,A203,'Trade Log'!$R$5:$R$1004)/SUMIF('Trade Log'!$B$5:$B$1004,A203,'Trade Log'!$Q$5:$Q$1004)-1,""),"")</f>
        <v/>
      </c>
      <c r="J203" s="73" t="str">
        <f aca="false">IF(A203&lt;&gt;"",SUMIF('Trade Log'!$B$5:$B$1004,A203,'Trade Log'!$V$5:$V$1004),"")</f>
        <v/>
      </c>
      <c r="K203" s="74" t="str">
        <f aca="false">IF(A203&lt;&gt;"",IFERROR(SUMIF('Trade Log'!$B$5:$B$1004,A203,'Trade Log'!$V$5:$V$1004)/SUMIF('Trade Log'!$B$5:$B$1004,A203,'Trade Log'!$Q$5:$Q$1004),""),"")</f>
        <v/>
      </c>
      <c r="L203" s="75" t="str">
        <f aca="false">IF(A203&lt;&gt;"",IFERROR(SUMIFS('Trade Log'!$L$5:$L$1004,'Trade Log'!$B$5:$B$1004,A203,'Trade Log'!$E$5:$E$1004,""),0),"")</f>
        <v/>
      </c>
      <c r="M203" s="76" t="str">
        <f aca="false">IF(A203&lt;&gt;"",IFERROR(INDEX('Trade Log'!$AB$5:$AB$1004,MATCH(2,1/('Trade Log'!$B$5:$B$1004=A203),1)),""),"")</f>
        <v/>
      </c>
    </row>
    <row r="204" customFormat="false" ht="19.5" hidden="false" customHeight="true" outlineLevel="0" collapsed="false">
      <c r="A204" s="77"/>
      <c r="B204" s="78" t="str">
        <f aca="false">IF(A204&lt;&gt;"",IFERROR(INDEX('Trade Log'!$G$5:$G$1004,MATCH(A204,'Trade Log'!$B$5:$B$1004,0)),""),"")</f>
        <v/>
      </c>
      <c r="C204" s="79" t="str">
        <f aca="false">IF(A204&lt;&gt;"",IFERROR(INDEX('Trade Log'!$I$5:$I$1004,MATCH(A204,'Trade Log'!$B$5:$B$1004,0)),""),"")</f>
        <v/>
      </c>
      <c r="D204" s="80" t="str">
        <f aca="false">IF(A204&lt;&gt;"",COUNTIF('Trade Log'!$B$5:$B$1004,A204),"")</f>
        <v/>
      </c>
      <c r="E204" s="80" t="str">
        <f aca="false">IF(A204&lt;&gt;"",SUMIF('Trade Log'!$B$5:$B$1004,A204,'Trade Log'!$L$5:$L$1004),"")</f>
        <v/>
      </c>
      <c r="F204" s="81" t="str">
        <f aca="false">IF(A204&lt;&gt;"",SUMIF('Trade Log'!$B$5:$B$1004,A204,'Trade Log'!$Q$5:$Q$1004),"")</f>
        <v/>
      </c>
      <c r="G204" s="81" t="str">
        <f aca="false">IF(A204&lt;&gt;"",SUMIF('Trade Log'!$B$5:$B$1004,A204,'Trade Log'!$R$5:$R$1004),"")</f>
        <v/>
      </c>
      <c r="H204" s="82" t="str">
        <f aca="false">IF(A204&lt;&gt;"",SUMIF('Trade Log'!$B$5:$B$1004,A204,'Trade Log'!$T$5:$T$1004),"")</f>
        <v/>
      </c>
      <c r="I204" s="83" t="str">
        <f aca="false">IF(A204&lt;&gt;"",IFERROR(SUMIF('Trade Log'!$B$5:$B$1004,A204,'Trade Log'!$R$5:$R$1004)/SUMIF('Trade Log'!$B$5:$B$1004,A204,'Trade Log'!$Q$5:$Q$1004)-1,""),"")</f>
        <v/>
      </c>
      <c r="J204" s="84" t="str">
        <f aca="false">IF(A204&lt;&gt;"",SUMIF('Trade Log'!$B$5:$B$1004,A204,'Trade Log'!$V$5:$V$1004),"")</f>
        <v/>
      </c>
      <c r="K204" s="85" t="str">
        <f aca="false">IF(A204&lt;&gt;"",IFERROR(SUMIF('Trade Log'!$B$5:$B$1004,A204,'Trade Log'!$V$5:$V$1004)/SUMIF('Trade Log'!$B$5:$B$1004,A204,'Trade Log'!$Q$5:$Q$1004),""),"")</f>
        <v/>
      </c>
      <c r="L204" s="86" t="str">
        <f aca="false">IF(A204&lt;&gt;"",IFERROR(SUMIFS('Trade Log'!$L$5:$L$1004,'Trade Log'!$B$5:$B$1004,A204,'Trade Log'!$E$5:$E$1004,""),0),"")</f>
        <v/>
      </c>
      <c r="M204" s="87" t="str">
        <f aca="false">IF(A204&lt;&gt;"",IFERROR(INDEX('Trade Log'!$AB$5:$AB$1004,MATCH(2,1/('Trade Log'!$B$5:$B$1004=A204),1)),""),"")</f>
        <v/>
      </c>
    </row>
  </sheetData>
  <mergeCells count="3">
    <mergeCell ref="A1:L1"/>
    <mergeCell ref="A2:L2"/>
    <mergeCell ref="A3:L3"/>
  </mergeCells>
  <conditionalFormatting sqref="H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I5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J5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H6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I6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J6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H7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I7">
    <cfRule type="cellIs" priority="16" operator="greaterThan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J7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H8">
    <cfRule type="cellIs" priority="20" operator="greaterThan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I8">
    <cfRule type="cellIs" priority="22" operator="greaterThan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J8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H9">
    <cfRule type="cellIs" priority="26" operator="greaterThan" aboveAverage="0" equalAverage="0" bottom="0" percent="0" rank="0" text="" dxfId="0">
      <formula>0</formula>
    </cfRule>
    <cfRule type="cellIs" priority="27" operator="lessThan" aboveAverage="0" equalAverage="0" bottom="0" percent="0" rank="0" text="" dxfId="1">
      <formula>0</formula>
    </cfRule>
  </conditionalFormatting>
  <conditionalFormatting sqref="I9">
    <cfRule type="cellIs" priority="28" operator="greaterThan" aboveAverage="0" equalAverage="0" bottom="0" percent="0" rank="0" text="" dxfId="0">
      <formula>0</formula>
    </cfRule>
    <cfRule type="cellIs" priority="29" operator="lessThan" aboveAverage="0" equalAverage="0" bottom="0" percent="0" rank="0" text="" dxfId="1">
      <formula>0</formula>
    </cfRule>
  </conditionalFormatting>
  <conditionalFormatting sqref="J9">
    <cfRule type="cellIs" priority="30" operator="greaterThan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conditionalFormatting sqref="H10">
    <cfRule type="cellIs" priority="32" operator="greaterThan" aboveAverage="0" equalAverage="0" bottom="0" percent="0" rank="0" text="" dxfId="0">
      <formula>0</formula>
    </cfRule>
    <cfRule type="cellIs" priority="33" operator="lessThan" aboveAverage="0" equalAverage="0" bottom="0" percent="0" rank="0" text="" dxfId="1">
      <formula>0</formula>
    </cfRule>
  </conditionalFormatting>
  <conditionalFormatting sqref="I10">
    <cfRule type="cellIs" priority="34" operator="greaterThan" aboveAverage="0" equalAverage="0" bottom="0" percent="0" rank="0" text="" dxfId="0">
      <formula>0</formula>
    </cfRule>
    <cfRule type="cellIs" priority="35" operator="lessThan" aboveAverage="0" equalAverage="0" bottom="0" percent="0" rank="0" text="" dxfId="1">
      <formula>0</formula>
    </cfRule>
  </conditionalFormatting>
  <conditionalFormatting sqref="J10">
    <cfRule type="cellIs" priority="36" operator="greaterThan" aboveAverage="0" equalAverage="0" bottom="0" percent="0" rank="0" text="" dxfId="0">
      <formula>0</formula>
    </cfRule>
    <cfRule type="cellIs" priority="37" operator="lessThan" aboveAverage="0" equalAverage="0" bottom="0" percent="0" rank="0" text="" dxfId="1">
      <formula>0</formula>
    </cfRule>
  </conditionalFormatting>
  <conditionalFormatting sqref="H11">
    <cfRule type="cellIs" priority="38" operator="greaterThan" aboveAverage="0" equalAverage="0" bottom="0" percent="0" rank="0" text="" dxfId="0">
      <formula>0</formula>
    </cfRule>
    <cfRule type="cellIs" priority="39" operator="lessThan" aboveAverage="0" equalAverage="0" bottom="0" percent="0" rank="0" text="" dxfId="1">
      <formula>0</formula>
    </cfRule>
  </conditionalFormatting>
  <conditionalFormatting sqref="I11">
    <cfRule type="cellIs" priority="40" operator="greaterThan" aboveAverage="0" equalAverage="0" bottom="0" percent="0" rank="0" text="" dxfId="0">
      <formula>0</formula>
    </cfRule>
    <cfRule type="cellIs" priority="41" operator="lessThan" aboveAverage="0" equalAverage="0" bottom="0" percent="0" rank="0" text="" dxfId="1">
      <formula>0</formula>
    </cfRule>
  </conditionalFormatting>
  <conditionalFormatting sqref="J11">
    <cfRule type="cellIs" priority="42" operator="greaterThan" aboveAverage="0" equalAverage="0" bottom="0" percent="0" rank="0" text="" dxfId="0">
      <formula>0</formula>
    </cfRule>
    <cfRule type="cellIs" priority="43" operator="lessThan" aboveAverage="0" equalAverage="0" bottom="0" percent="0" rank="0" text="" dxfId="1">
      <formula>0</formula>
    </cfRule>
  </conditionalFormatting>
  <conditionalFormatting sqref="H12">
    <cfRule type="cellIs" priority="44" operator="greaterThan" aboveAverage="0" equalAverage="0" bottom="0" percent="0" rank="0" text="" dxfId="0">
      <formula>0</formula>
    </cfRule>
    <cfRule type="cellIs" priority="45" operator="lessThan" aboveAverage="0" equalAverage="0" bottom="0" percent="0" rank="0" text="" dxfId="1">
      <formula>0</formula>
    </cfRule>
  </conditionalFormatting>
  <conditionalFormatting sqref="I12">
    <cfRule type="cellIs" priority="46" operator="greaterThan" aboveAverage="0" equalAverage="0" bottom="0" percent="0" rank="0" text="" dxfId="0">
      <formula>0</formula>
    </cfRule>
    <cfRule type="cellIs" priority="47" operator="lessThan" aboveAverage="0" equalAverage="0" bottom="0" percent="0" rank="0" text="" dxfId="1">
      <formula>0</formula>
    </cfRule>
  </conditionalFormatting>
  <conditionalFormatting sqref="J12">
    <cfRule type="cellIs" priority="48" operator="greaterThan" aboveAverage="0" equalAverage="0" bottom="0" percent="0" rank="0" text="" dxfId="0">
      <formula>0</formula>
    </cfRule>
    <cfRule type="cellIs" priority="49" operator="lessThan" aboveAverage="0" equalAverage="0" bottom="0" percent="0" rank="0" text="" dxfId="1">
      <formula>0</formula>
    </cfRule>
  </conditionalFormatting>
  <conditionalFormatting sqref="H13">
    <cfRule type="cellIs" priority="50" operator="greaterThan" aboveAverage="0" equalAverage="0" bottom="0" percent="0" rank="0" text="" dxfId="0">
      <formula>0</formula>
    </cfRule>
    <cfRule type="cellIs" priority="51" operator="lessThan" aboveAverage="0" equalAverage="0" bottom="0" percent="0" rank="0" text="" dxfId="1">
      <formula>0</formula>
    </cfRule>
  </conditionalFormatting>
  <conditionalFormatting sqref="I13">
    <cfRule type="cellIs" priority="52" operator="greaterThan" aboveAverage="0" equalAverage="0" bottom="0" percent="0" rank="0" text="" dxfId="0">
      <formula>0</formula>
    </cfRule>
    <cfRule type="cellIs" priority="53" operator="lessThan" aboveAverage="0" equalAverage="0" bottom="0" percent="0" rank="0" text="" dxfId="1">
      <formula>0</formula>
    </cfRule>
  </conditionalFormatting>
  <conditionalFormatting sqref="J13">
    <cfRule type="cellIs" priority="54" operator="greaterThan" aboveAverage="0" equalAverage="0" bottom="0" percent="0" rank="0" text="" dxfId="0">
      <formula>0</formula>
    </cfRule>
    <cfRule type="cellIs" priority="55" operator="lessThan" aboveAverage="0" equalAverage="0" bottom="0" percent="0" rank="0" text="" dxfId="1">
      <formula>0</formula>
    </cfRule>
  </conditionalFormatting>
  <conditionalFormatting sqref="H14">
    <cfRule type="cellIs" priority="56" operator="greaterThan" aboveAverage="0" equalAverage="0" bottom="0" percent="0" rank="0" text="" dxfId="0">
      <formula>0</formula>
    </cfRule>
    <cfRule type="cellIs" priority="57" operator="lessThan" aboveAverage="0" equalAverage="0" bottom="0" percent="0" rank="0" text="" dxfId="1">
      <formula>0</formula>
    </cfRule>
  </conditionalFormatting>
  <conditionalFormatting sqref="I14">
    <cfRule type="cellIs" priority="58" operator="greaterThan" aboveAverage="0" equalAverage="0" bottom="0" percent="0" rank="0" text="" dxfId="0">
      <formula>0</formula>
    </cfRule>
    <cfRule type="cellIs" priority="59" operator="lessThan" aboveAverage="0" equalAverage="0" bottom="0" percent="0" rank="0" text="" dxfId="1">
      <formula>0</formula>
    </cfRule>
  </conditionalFormatting>
  <conditionalFormatting sqref="J14">
    <cfRule type="cellIs" priority="60" operator="greaterThan" aboveAverage="0" equalAverage="0" bottom="0" percent="0" rank="0" text="" dxfId="0">
      <formula>0</formula>
    </cfRule>
    <cfRule type="cellIs" priority="61" operator="lessThan" aboveAverage="0" equalAverage="0" bottom="0" percent="0" rank="0" text="" dxfId="1">
      <formula>0</formula>
    </cfRule>
  </conditionalFormatting>
  <conditionalFormatting sqref="H15">
    <cfRule type="cellIs" priority="62" operator="greaterThan" aboveAverage="0" equalAverage="0" bottom="0" percent="0" rank="0" text="" dxfId="0">
      <formula>0</formula>
    </cfRule>
    <cfRule type="cellIs" priority="63" operator="lessThan" aboveAverage="0" equalAverage="0" bottom="0" percent="0" rank="0" text="" dxfId="1">
      <formula>0</formula>
    </cfRule>
  </conditionalFormatting>
  <conditionalFormatting sqref="I15">
    <cfRule type="cellIs" priority="64" operator="greaterThan" aboveAverage="0" equalAverage="0" bottom="0" percent="0" rank="0" text="" dxfId="0">
      <formula>0</formula>
    </cfRule>
    <cfRule type="cellIs" priority="65" operator="lessThan" aboveAverage="0" equalAverage="0" bottom="0" percent="0" rank="0" text="" dxfId="1">
      <formula>0</formula>
    </cfRule>
  </conditionalFormatting>
  <conditionalFormatting sqref="J15">
    <cfRule type="cellIs" priority="66" operator="greaterThan" aboveAverage="0" equalAverage="0" bottom="0" percent="0" rank="0" text="" dxfId="0">
      <formula>0</formula>
    </cfRule>
    <cfRule type="cellIs" priority="67" operator="lessThan" aboveAverage="0" equalAverage="0" bottom="0" percent="0" rank="0" text="" dxfId="1">
      <formula>0</formula>
    </cfRule>
  </conditionalFormatting>
  <conditionalFormatting sqref="H16">
    <cfRule type="cellIs" priority="68" operator="greaterThan" aboveAverage="0" equalAverage="0" bottom="0" percent="0" rank="0" text="" dxfId="0">
      <formula>0</formula>
    </cfRule>
    <cfRule type="cellIs" priority="69" operator="lessThan" aboveAverage="0" equalAverage="0" bottom="0" percent="0" rank="0" text="" dxfId="1">
      <formula>0</formula>
    </cfRule>
  </conditionalFormatting>
  <conditionalFormatting sqref="I16">
    <cfRule type="cellIs" priority="70" operator="greaterThan" aboveAverage="0" equalAverage="0" bottom="0" percent="0" rank="0" text="" dxfId="0">
      <formula>0</formula>
    </cfRule>
    <cfRule type="cellIs" priority="71" operator="lessThan" aboveAverage="0" equalAverage="0" bottom="0" percent="0" rank="0" text="" dxfId="1">
      <formula>0</formula>
    </cfRule>
  </conditionalFormatting>
  <conditionalFormatting sqref="J16">
    <cfRule type="cellIs" priority="72" operator="greaterThan" aboveAverage="0" equalAverage="0" bottom="0" percent="0" rank="0" text="" dxfId="0">
      <formula>0</formula>
    </cfRule>
    <cfRule type="cellIs" priority="73" operator="lessThan" aboveAverage="0" equalAverage="0" bottom="0" percent="0" rank="0" text="" dxfId="1">
      <formula>0</formula>
    </cfRule>
  </conditionalFormatting>
  <conditionalFormatting sqref="H17">
    <cfRule type="cellIs" priority="74" operator="greaterThan" aboveAverage="0" equalAverage="0" bottom="0" percent="0" rank="0" text="" dxfId="0">
      <formula>0</formula>
    </cfRule>
    <cfRule type="cellIs" priority="75" operator="lessThan" aboveAverage="0" equalAverage="0" bottom="0" percent="0" rank="0" text="" dxfId="1">
      <formula>0</formula>
    </cfRule>
  </conditionalFormatting>
  <conditionalFormatting sqref="I17">
    <cfRule type="cellIs" priority="76" operator="greaterThan" aboveAverage="0" equalAverage="0" bottom="0" percent="0" rank="0" text="" dxfId="0">
      <formula>0</formula>
    </cfRule>
    <cfRule type="cellIs" priority="77" operator="lessThan" aboveAverage="0" equalAverage="0" bottom="0" percent="0" rank="0" text="" dxfId="1">
      <formula>0</formula>
    </cfRule>
  </conditionalFormatting>
  <conditionalFormatting sqref="J17">
    <cfRule type="cellIs" priority="78" operator="greaterThan" aboveAverage="0" equalAverage="0" bottom="0" percent="0" rank="0" text="" dxfId="0">
      <formula>0</formula>
    </cfRule>
    <cfRule type="cellIs" priority="79" operator="lessThan" aboveAverage="0" equalAverage="0" bottom="0" percent="0" rank="0" text="" dxfId="1">
      <formula>0</formula>
    </cfRule>
  </conditionalFormatting>
  <conditionalFormatting sqref="H18">
    <cfRule type="cellIs" priority="80" operator="greaterThan" aboveAverage="0" equalAverage="0" bottom="0" percent="0" rank="0" text="" dxfId="0">
      <formula>0</formula>
    </cfRule>
    <cfRule type="cellIs" priority="81" operator="lessThan" aboveAverage="0" equalAverage="0" bottom="0" percent="0" rank="0" text="" dxfId="1">
      <formula>0</formula>
    </cfRule>
  </conditionalFormatting>
  <conditionalFormatting sqref="I18">
    <cfRule type="cellIs" priority="82" operator="greaterThan" aboveAverage="0" equalAverage="0" bottom="0" percent="0" rank="0" text="" dxfId="0">
      <formula>0</formula>
    </cfRule>
    <cfRule type="cellIs" priority="83" operator="lessThan" aboveAverage="0" equalAverage="0" bottom="0" percent="0" rank="0" text="" dxfId="1">
      <formula>0</formula>
    </cfRule>
  </conditionalFormatting>
  <conditionalFormatting sqref="J18">
    <cfRule type="cellIs" priority="84" operator="greaterThan" aboveAverage="0" equalAverage="0" bottom="0" percent="0" rank="0" text="" dxfId="0">
      <formula>0</formula>
    </cfRule>
    <cfRule type="cellIs" priority="85" operator="lessThan" aboveAverage="0" equalAverage="0" bottom="0" percent="0" rank="0" text="" dxfId="1">
      <formula>0</formula>
    </cfRule>
  </conditionalFormatting>
  <conditionalFormatting sqref="H19">
    <cfRule type="cellIs" priority="86" operator="greaterThan" aboveAverage="0" equalAverage="0" bottom="0" percent="0" rank="0" text="" dxfId="0">
      <formula>0</formula>
    </cfRule>
    <cfRule type="cellIs" priority="87" operator="lessThan" aboveAverage="0" equalAverage="0" bottom="0" percent="0" rank="0" text="" dxfId="1">
      <formula>0</formula>
    </cfRule>
  </conditionalFormatting>
  <conditionalFormatting sqref="I19">
    <cfRule type="cellIs" priority="88" operator="greaterThan" aboveAverage="0" equalAverage="0" bottom="0" percent="0" rank="0" text="" dxfId="0">
      <formula>0</formula>
    </cfRule>
    <cfRule type="cellIs" priority="89" operator="lessThan" aboveAverage="0" equalAverage="0" bottom="0" percent="0" rank="0" text="" dxfId="1">
      <formula>0</formula>
    </cfRule>
  </conditionalFormatting>
  <conditionalFormatting sqref="J19">
    <cfRule type="cellIs" priority="90" operator="greaterThan" aboveAverage="0" equalAverage="0" bottom="0" percent="0" rank="0" text="" dxfId="0">
      <formula>0</formula>
    </cfRule>
    <cfRule type="cellIs" priority="91" operator="lessThan" aboveAverage="0" equalAverage="0" bottom="0" percent="0" rank="0" text="" dxfId="1">
      <formula>0</formula>
    </cfRule>
  </conditionalFormatting>
  <conditionalFormatting sqref="H20">
    <cfRule type="cellIs" priority="92" operator="greaterThan" aboveAverage="0" equalAverage="0" bottom="0" percent="0" rank="0" text="" dxfId="0">
      <formula>0</formula>
    </cfRule>
    <cfRule type="cellIs" priority="93" operator="lessThan" aboveAverage="0" equalAverage="0" bottom="0" percent="0" rank="0" text="" dxfId="1">
      <formula>0</formula>
    </cfRule>
  </conditionalFormatting>
  <conditionalFormatting sqref="I20">
    <cfRule type="cellIs" priority="94" operator="greaterThan" aboveAverage="0" equalAverage="0" bottom="0" percent="0" rank="0" text="" dxfId="0">
      <formula>0</formula>
    </cfRule>
    <cfRule type="cellIs" priority="95" operator="lessThan" aboveAverage="0" equalAverage="0" bottom="0" percent="0" rank="0" text="" dxfId="1">
      <formula>0</formula>
    </cfRule>
  </conditionalFormatting>
  <conditionalFormatting sqref="J20">
    <cfRule type="cellIs" priority="96" operator="greaterThan" aboveAverage="0" equalAverage="0" bottom="0" percent="0" rank="0" text="" dxfId="0">
      <formula>0</formula>
    </cfRule>
    <cfRule type="cellIs" priority="97" operator="lessThan" aboveAverage="0" equalAverage="0" bottom="0" percent="0" rank="0" text="" dxfId="1">
      <formula>0</formula>
    </cfRule>
  </conditionalFormatting>
  <conditionalFormatting sqref="H21">
    <cfRule type="cellIs" priority="98" operator="greaterThan" aboveAverage="0" equalAverage="0" bottom="0" percent="0" rank="0" text="" dxfId="0">
      <formula>0</formula>
    </cfRule>
    <cfRule type="cellIs" priority="99" operator="lessThan" aboveAverage="0" equalAverage="0" bottom="0" percent="0" rank="0" text="" dxfId="1">
      <formula>0</formula>
    </cfRule>
  </conditionalFormatting>
  <conditionalFormatting sqref="I21">
    <cfRule type="cellIs" priority="100" operator="greaterThan" aboveAverage="0" equalAverage="0" bottom="0" percent="0" rank="0" text="" dxfId="0">
      <formula>0</formula>
    </cfRule>
    <cfRule type="cellIs" priority="101" operator="lessThan" aboveAverage="0" equalAverage="0" bottom="0" percent="0" rank="0" text="" dxfId="1">
      <formula>0</formula>
    </cfRule>
  </conditionalFormatting>
  <conditionalFormatting sqref="J21">
    <cfRule type="cellIs" priority="102" operator="greaterThan" aboveAverage="0" equalAverage="0" bottom="0" percent="0" rank="0" text="" dxfId="0">
      <formula>0</formula>
    </cfRule>
    <cfRule type="cellIs" priority="103" operator="lessThan" aboveAverage="0" equalAverage="0" bottom="0" percent="0" rank="0" text="" dxfId="1">
      <formula>0</formula>
    </cfRule>
  </conditionalFormatting>
  <conditionalFormatting sqref="H22">
    <cfRule type="cellIs" priority="104" operator="greaterThan" aboveAverage="0" equalAverage="0" bottom="0" percent="0" rank="0" text="" dxfId="0">
      <formula>0</formula>
    </cfRule>
    <cfRule type="cellIs" priority="105" operator="lessThan" aboveAverage="0" equalAverage="0" bottom="0" percent="0" rank="0" text="" dxfId="1">
      <formula>0</formula>
    </cfRule>
  </conditionalFormatting>
  <conditionalFormatting sqref="I22">
    <cfRule type="cellIs" priority="106" operator="greaterThan" aboveAverage="0" equalAverage="0" bottom="0" percent="0" rank="0" text="" dxfId="0">
      <formula>0</formula>
    </cfRule>
    <cfRule type="cellIs" priority="107" operator="lessThan" aboveAverage="0" equalAverage="0" bottom="0" percent="0" rank="0" text="" dxfId="1">
      <formula>0</formula>
    </cfRule>
  </conditionalFormatting>
  <conditionalFormatting sqref="J22">
    <cfRule type="cellIs" priority="108" operator="greaterThan" aboveAverage="0" equalAverage="0" bottom="0" percent="0" rank="0" text="" dxfId="0">
      <formula>0</formula>
    </cfRule>
    <cfRule type="cellIs" priority="109" operator="lessThan" aboveAverage="0" equalAverage="0" bottom="0" percent="0" rank="0" text="" dxfId="1">
      <formula>0</formula>
    </cfRule>
  </conditionalFormatting>
  <conditionalFormatting sqref="H23">
    <cfRule type="cellIs" priority="110" operator="greaterThan" aboveAverage="0" equalAverage="0" bottom="0" percent="0" rank="0" text="" dxfId="0">
      <formula>0</formula>
    </cfRule>
    <cfRule type="cellIs" priority="111" operator="lessThan" aboveAverage="0" equalAverage="0" bottom="0" percent="0" rank="0" text="" dxfId="1">
      <formula>0</formula>
    </cfRule>
  </conditionalFormatting>
  <conditionalFormatting sqref="I23">
    <cfRule type="cellIs" priority="112" operator="greaterThan" aboveAverage="0" equalAverage="0" bottom="0" percent="0" rank="0" text="" dxfId="0">
      <formula>0</formula>
    </cfRule>
    <cfRule type="cellIs" priority="113" operator="lessThan" aboveAverage="0" equalAverage="0" bottom="0" percent="0" rank="0" text="" dxfId="1">
      <formula>0</formula>
    </cfRule>
  </conditionalFormatting>
  <conditionalFormatting sqref="J23">
    <cfRule type="cellIs" priority="114" operator="greaterThan" aboveAverage="0" equalAverage="0" bottom="0" percent="0" rank="0" text="" dxfId="0">
      <formula>0</formula>
    </cfRule>
    <cfRule type="cellIs" priority="115" operator="lessThan" aboveAverage="0" equalAverage="0" bottom="0" percent="0" rank="0" text="" dxfId="1">
      <formula>0</formula>
    </cfRule>
  </conditionalFormatting>
  <conditionalFormatting sqref="H24">
    <cfRule type="cellIs" priority="116" operator="greaterThan" aboveAverage="0" equalAverage="0" bottom="0" percent="0" rank="0" text="" dxfId="0">
      <formula>0</formula>
    </cfRule>
    <cfRule type="cellIs" priority="117" operator="lessThan" aboveAverage="0" equalAverage="0" bottom="0" percent="0" rank="0" text="" dxfId="1">
      <formula>0</formula>
    </cfRule>
  </conditionalFormatting>
  <conditionalFormatting sqref="I24">
    <cfRule type="cellIs" priority="118" operator="greaterThan" aboveAverage="0" equalAverage="0" bottom="0" percent="0" rank="0" text="" dxfId="0">
      <formula>0</formula>
    </cfRule>
    <cfRule type="cellIs" priority="119" operator="lessThan" aboveAverage="0" equalAverage="0" bottom="0" percent="0" rank="0" text="" dxfId="1">
      <formula>0</formula>
    </cfRule>
  </conditionalFormatting>
  <conditionalFormatting sqref="J24">
    <cfRule type="cellIs" priority="120" operator="greaterThan" aboveAverage="0" equalAverage="0" bottom="0" percent="0" rank="0" text="" dxfId="0">
      <formula>0</formula>
    </cfRule>
    <cfRule type="cellIs" priority="121" operator="lessThan" aboveAverage="0" equalAverage="0" bottom="0" percent="0" rank="0" text="" dxfId="1">
      <formula>0</formula>
    </cfRule>
  </conditionalFormatting>
  <conditionalFormatting sqref="H25">
    <cfRule type="cellIs" priority="122" operator="greaterThan" aboveAverage="0" equalAverage="0" bottom="0" percent="0" rank="0" text="" dxfId="0">
      <formula>0</formula>
    </cfRule>
    <cfRule type="cellIs" priority="123" operator="lessThan" aboveAverage="0" equalAverage="0" bottom="0" percent="0" rank="0" text="" dxfId="1">
      <formula>0</formula>
    </cfRule>
  </conditionalFormatting>
  <conditionalFormatting sqref="I25">
    <cfRule type="cellIs" priority="124" operator="greaterThan" aboveAverage="0" equalAverage="0" bottom="0" percent="0" rank="0" text="" dxfId="0">
      <formula>0</formula>
    </cfRule>
    <cfRule type="cellIs" priority="125" operator="lessThan" aboveAverage="0" equalAverage="0" bottom="0" percent="0" rank="0" text="" dxfId="1">
      <formula>0</formula>
    </cfRule>
  </conditionalFormatting>
  <conditionalFormatting sqref="J25">
    <cfRule type="cellIs" priority="126" operator="greaterThan" aboveAverage="0" equalAverage="0" bottom="0" percent="0" rank="0" text="" dxfId="0">
      <formula>0</formula>
    </cfRule>
    <cfRule type="cellIs" priority="127" operator="lessThan" aboveAverage="0" equalAverage="0" bottom="0" percent="0" rank="0" text="" dxfId="1">
      <formula>0</formula>
    </cfRule>
  </conditionalFormatting>
  <conditionalFormatting sqref="H26">
    <cfRule type="cellIs" priority="128" operator="greaterThan" aboveAverage="0" equalAverage="0" bottom="0" percent="0" rank="0" text="" dxfId="0">
      <formula>0</formula>
    </cfRule>
    <cfRule type="cellIs" priority="129" operator="lessThan" aboveAverage="0" equalAverage="0" bottom="0" percent="0" rank="0" text="" dxfId="1">
      <formula>0</formula>
    </cfRule>
  </conditionalFormatting>
  <conditionalFormatting sqref="I26">
    <cfRule type="cellIs" priority="130" operator="greaterThan" aboveAverage="0" equalAverage="0" bottom="0" percent="0" rank="0" text="" dxfId="0">
      <formula>0</formula>
    </cfRule>
    <cfRule type="cellIs" priority="131" operator="lessThan" aboveAverage="0" equalAverage="0" bottom="0" percent="0" rank="0" text="" dxfId="1">
      <formula>0</formula>
    </cfRule>
  </conditionalFormatting>
  <conditionalFormatting sqref="J26">
    <cfRule type="cellIs" priority="132" operator="greaterThan" aboveAverage="0" equalAverage="0" bottom="0" percent="0" rank="0" text="" dxfId="0">
      <formula>0</formula>
    </cfRule>
    <cfRule type="cellIs" priority="133" operator="lessThan" aboveAverage="0" equalAverage="0" bottom="0" percent="0" rank="0" text="" dxfId="1">
      <formula>0</formula>
    </cfRule>
  </conditionalFormatting>
  <conditionalFormatting sqref="H27">
    <cfRule type="cellIs" priority="134" operator="greaterThan" aboveAverage="0" equalAverage="0" bottom="0" percent="0" rank="0" text="" dxfId="0">
      <formula>0</formula>
    </cfRule>
    <cfRule type="cellIs" priority="135" operator="lessThan" aboveAverage="0" equalAverage="0" bottom="0" percent="0" rank="0" text="" dxfId="1">
      <formula>0</formula>
    </cfRule>
  </conditionalFormatting>
  <conditionalFormatting sqref="I27">
    <cfRule type="cellIs" priority="136" operator="greaterThan" aboveAverage="0" equalAverage="0" bottom="0" percent="0" rank="0" text="" dxfId="0">
      <formula>0</formula>
    </cfRule>
    <cfRule type="cellIs" priority="137" operator="lessThan" aboveAverage="0" equalAverage="0" bottom="0" percent="0" rank="0" text="" dxfId="1">
      <formula>0</formula>
    </cfRule>
  </conditionalFormatting>
  <conditionalFormatting sqref="J27">
    <cfRule type="cellIs" priority="138" operator="greaterThan" aboveAverage="0" equalAverage="0" bottom="0" percent="0" rank="0" text="" dxfId="0">
      <formula>0</formula>
    </cfRule>
    <cfRule type="cellIs" priority="139" operator="lessThan" aboveAverage="0" equalAverage="0" bottom="0" percent="0" rank="0" text="" dxfId="1">
      <formula>0</formula>
    </cfRule>
  </conditionalFormatting>
  <conditionalFormatting sqref="H28">
    <cfRule type="cellIs" priority="140" operator="greaterThan" aboveAverage="0" equalAverage="0" bottom="0" percent="0" rank="0" text="" dxfId="0">
      <formula>0</formula>
    </cfRule>
    <cfRule type="cellIs" priority="141" operator="lessThan" aboveAverage="0" equalAverage="0" bottom="0" percent="0" rank="0" text="" dxfId="1">
      <formula>0</formula>
    </cfRule>
  </conditionalFormatting>
  <conditionalFormatting sqref="I28">
    <cfRule type="cellIs" priority="142" operator="greaterThan" aboveAverage="0" equalAverage="0" bottom="0" percent="0" rank="0" text="" dxfId="0">
      <formula>0</formula>
    </cfRule>
    <cfRule type="cellIs" priority="143" operator="lessThan" aboveAverage="0" equalAverage="0" bottom="0" percent="0" rank="0" text="" dxfId="1">
      <formula>0</formula>
    </cfRule>
  </conditionalFormatting>
  <conditionalFormatting sqref="J28">
    <cfRule type="cellIs" priority="144" operator="greaterThan" aboveAverage="0" equalAverage="0" bottom="0" percent="0" rank="0" text="" dxfId="0">
      <formula>0</formula>
    </cfRule>
    <cfRule type="cellIs" priority="145" operator="lessThan" aboveAverage="0" equalAverage="0" bottom="0" percent="0" rank="0" text="" dxfId="1">
      <formula>0</formula>
    </cfRule>
  </conditionalFormatting>
  <conditionalFormatting sqref="H29">
    <cfRule type="cellIs" priority="146" operator="greaterThan" aboveAverage="0" equalAverage="0" bottom="0" percent="0" rank="0" text="" dxfId="0">
      <formula>0</formula>
    </cfRule>
    <cfRule type="cellIs" priority="147" operator="lessThan" aboveAverage="0" equalAverage="0" bottom="0" percent="0" rank="0" text="" dxfId="1">
      <formula>0</formula>
    </cfRule>
  </conditionalFormatting>
  <conditionalFormatting sqref="I29">
    <cfRule type="cellIs" priority="148" operator="greaterThan" aboveAverage="0" equalAverage="0" bottom="0" percent="0" rank="0" text="" dxfId="0">
      <formula>0</formula>
    </cfRule>
    <cfRule type="cellIs" priority="149" operator="lessThan" aboveAverage="0" equalAverage="0" bottom="0" percent="0" rank="0" text="" dxfId="1">
      <formula>0</formula>
    </cfRule>
  </conditionalFormatting>
  <conditionalFormatting sqref="J29">
    <cfRule type="cellIs" priority="150" operator="greaterThan" aboveAverage="0" equalAverage="0" bottom="0" percent="0" rank="0" text="" dxfId="0">
      <formula>0</formula>
    </cfRule>
    <cfRule type="cellIs" priority="151" operator="lessThan" aboveAverage="0" equalAverage="0" bottom="0" percent="0" rank="0" text="" dxfId="1">
      <formula>0</formula>
    </cfRule>
  </conditionalFormatting>
  <conditionalFormatting sqref="H30">
    <cfRule type="cellIs" priority="152" operator="greaterThan" aboveAverage="0" equalAverage="0" bottom="0" percent="0" rank="0" text="" dxfId="0">
      <formula>0</formula>
    </cfRule>
    <cfRule type="cellIs" priority="153" operator="lessThan" aboveAverage="0" equalAverage="0" bottom="0" percent="0" rank="0" text="" dxfId="1">
      <formula>0</formula>
    </cfRule>
  </conditionalFormatting>
  <conditionalFormatting sqref="I30">
    <cfRule type="cellIs" priority="154" operator="greaterThan" aboveAverage="0" equalAverage="0" bottom="0" percent="0" rank="0" text="" dxfId="0">
      <formula>0</formula>
    </cfRule>
    <cfRule type="cellIs" priority="155" operator="lessThan" aboveAverage="0" equalAverage="0" bottom="0" percent="0" rank="0" text="" dxfId="1">
      <formula>0</formula>
    </cfRule>
  </conditionalFormatting>
  <conditionalFormatting sqref="J30">
    <cfRule type="cellIs" priority="156" operator="greaterThan" aboveAverage="0" equalAverage="0" bottom="0" percent="0" rank="0" text="" dxfId="0">
      <formula>0</formula>
    </cfRule>
    <cfRule type="cellIs" priority="157" operator="lessThan" aboveAverage="0" equalAverage="0" bottom="0" percent="0" rank="0" text="" dxfId="1">
      <formula>0</formula>
    </cfRule>
  </conditionalFormatting>
  <conditionalFormatting sqref="H31">
    <cfRule type="cellIs" priority="158" operator="greaterThan" aboveAverage="0" equalAverage="0" bottom="0" percent="0" rank="0" text="" dxfId="0">
      <formula>0</formula>
    </cfRule>
    <cfRule type="cellIs" priority="159" operator="lessThan" aboveAverage="0" equalAverage="0" bottom="0" percent="0" rank="0" text="" dxfId="1">
      <formula>0</formula>
    </cfRule>
  </conditionalFormatting>
  <conditionalFormatting sqref="I31">
    <cfRule type="cellIs" priority="160" operator="greaterThan" aboveAverage="0" equalAverage="0" bottom="0" percent="0" rank="0" text="" dxfId="0">
      <formula>0</formula>
    </cfRule>
    <cfRule type="cellIs" priority="161" operator="lessThan" aboveAverage="0" equalAverage="0" bottom="0" percent="0" rank="0" text="" dxfId="1">
      <formula>0</formula>
    </cfRule>
  </conditionalFormatting>
  <conditionalFormatting sqref="J31">
    <cfRule type="cellIs" priority="162" operator="greaterThan" aboveAverage="0" equalAverage="0" bottom="0" percent="0" rank="0" text="" dxfId="0">
      <formula>0</formula>
    </cfRule>
    <cfRule type="cellIs" priority="163" operator="lessThan" aboveAverage="0" equalAverage="0" bottom="0" percent="0" rank="0" text="" dxfId="1">
      <formula>0</formula>
    </cfRule>
  </conditionalFormatting>
  <conditionalFormatting sqref="H32">
    <cfRule type="cellIs" priority="164" operator="greaterThan" aboveAverage="0" equalAverage="0" bottom="0" percent="0" rank="0" text="" dxfId="0">
      <formula>0</formula>
    </cfRule>
    <cfRule type="cellIs" priority="165" operator="lessThan" aboveAverage="0" equalAverage="0" bottom="0" percent="0" rank="0" text="" dxfId="1">
      <formula>0</formula>
    </cfRule>
  </conditionalFormatting>
  <conditionalFormatting sqref="I32">
    <cfRule type="cellIs" priority="166" operator="greaterThan" aboveAverage="0" equalAverage="0" bottom="0" percent="0" rank="0" text="" dxfId="0">
      <formula>0</formula>
    </cfRule>
    <cfRule type="cellIs" priority="167" operator="lessThan" aboveAverage="0" equalAverage="0" bottom="0" percent="0" rank="0" text="" dxfId="1">
      <formula>0</formula>
    </cfRule>
  </conditionalFormatting>
  <conditionalFormatting sqref="J32">
    <cfRule type="cellIs" priority="168" operator="greaterThan" aboveAverage="0" equalAverage="0" bottom="0" percent="0" rank="0" text="" dxfId="0">
      <formula>0</formula>
    </cfRule>
    <cfRule type="cellIs" priority="169" operator="lessThan" aboveAverage="0" equalAverage="0" bottom="0" percent="0" rank="0" text="" dxfId="1">
      <formula>0</formula>
    </cfRule>
  </conditionalFormatting>
  <conditionalFormatting sqref="H33">
    <cfRule type="cellIs" priority="170" operator="greaterThan" aboveAverage="0" equalAverage="0" bottom="0" percent="0" rank="0" text="" dxfId="0">
      <formula>0</formula>
    </cfRule>
    <cfRule type="cellIs" priority="171" operator="lessThan" aboveAverage="0" equalAverage="0" bottom="0" percent="0" rank="0" text="" dxfId="1">
      <formula>0</formula>
    </cfRule>
  </conditionalFormatting>
  <conditionalFormatting sqref="I33">
    <cfRule type="cellIs" priority="172" operator="greaterThan" aboveAverage="0" equalAverage="0" bottom="0" percent="0" rank="0" text="" dxfId="0">
      <formula>0</formula>
    </cfRule>
    <cfRule type="cellIs" priority="173" operator="lessThan" aboveAverage="0" equalAverage="0" bottom="0" percent="0" rank="0" text="" dxfId="1">
      <formula>0</formula>
    </cfRule>
  </conditionalFormatting>
  <conditionalFormatting sqref="J33">
    <cfRule type="cellIs" priority="174" operator="greaterThan" aboveAverage="0" equalAverage="0" bottom="0" percent="0" rank="0" text="" dxfId="0">
      <formula>0</formula>
    </cfRule>
    <cfRule type="cellIs" priority="175" operator="lessThan" aboveAverage="0" equalAverage="0" bottom="0" percent="0" rank="0" text="" dxfId="1">
      <formula>0</formula>
    </cfRule>
  </conditionalFormatting>
  <conditionalFormatting sqref="H34">
    <cfRule type="cellIs" priority="176" operator="greaterThan" aboveAverage="0" equalAverage="0" bottom="0" percent="0" rank="0" text="" dxfId="0">
      <formula>0</formula>
    </cfRule>
    <cfRule type="cellIs" priority="177" operator="lessThan" aboveAverage="0" equalAverage="0" bottom="0" percent="0" rank="0" text="" dxfId="1">
      <formula>0</formula>
    </cfRule>
  </conditionalFormatting>
  <conditionalFormatting sqref="I34">
    <cfRule type="cellIs" priority="178" operator="greaterThan" aboveAverage="0" equalAverage="0" bottom="0" percent="0" rank="0" text="" dxfId="0">
      <formula>0</formula>
    </cfRule>
    <cfRule type="cellIs" priority="179" operator="lessThan" aboveAverage="0" equalAverage="0" bottom="0" percent="0" rank="0" text="" dxfId="1">
      <formula>0</formula>
    </cfRule>
  </conditionalFormatting>
  <conditionalFormatting sqref="J34">
    <cfRule type="cellIs" priority="180" operator="greaterThan" aboveAverage="0" equalAverage="0" bottom="0" percent="0" rank="0" text="" dxfId="0">
      <formula>0</formula>
    </cfRule>
    <cfRule type="cellIs" priority="181" operator="lessThan" aboveAverage="0" equalAverage="0" bottom="0" percent="0" rank="0" text="" dxfId="1">
      <formula>0</formula>
    </cfRule>
  </conditionalFormatting>
  <conditionalFormatting sqref="H35">
    <cfRule type="cellIs" priority="182" operator="greaterThan" aboveAverage="0" equalAverage="0" bottom="0" percent="0" rank="0" text="" dxfId="0">
      <formula>0</formula>
    </cfRule>
    <cfRule type="cellIs" priority="183" operator="lessThan" aboveAverage="0" equalAverage="0" bottom="0" percent="0" rank="0" text="" dxfId="1">
      <formula>0</formula>
    </cfRule>
  </conditionalFormatting>
  <conditionalFormatting sqref="I35">
    <cfRule type="cellIs" priority="184" operator="greaterThan" aboveAverage="0" equalAverage="0" bottom="0" percent="0" rank="0" text="" dxfId="0">
      <formula>0</formula>
    </cfRule>
    <cfRule type="cellIs" priority="185" operator="lessThan" aboveAverage="0" equalAverage="0" bottom="0" percent="0" rank="0" text="" dxfId="1">
      <formula>0</formula>
    </cfRule>
  </conditionalFormatting>
  <conditionalFormatting sqref="J35">
    <cfRule type="cellIs" priority="186" operator="greaterThan" aboveAverage="0" equalAverage="0" bottom="0" percent="0" rank="0" text="" dxfId="0">
      <formula>0</formula>
    </cfRule>
    <cfRule type="cellIs" priority="187" operator="lessThan" aboveAverage="0" equalAverage="0" bottom="0" percent="0" rank="0" text="" dxfId="1">
      <formula>0</formula>
    </cfRule>
  </conditionalFormatting>
  <conditionalFormatting sqref="H36">
    <cfRule type="cellIs" priority="188" operator="greaterThan" aboveAverage="0" equalAverage="0" bottom="0" percent="0" rank="0" text="" dxfId="0">
      <formula>0</formula>
    </cfRule>
    <cfRule type="cellIs" priority="189" operator="lessThan" aboveAverage="0" equalAverage="0" bottom="0" percent="0" rank="0" text="" dxfId="1">
      <formula>0</formula>
    </cfRule>
  </conditionalFormatting>
  <conditionalFormatting sqref="I36">
    <cfRule type="cellIs" priority="190" operator="greaterThan" aboveAverage="0" equalAverage="0" bottom="0" percent="0" rank="0" text="" dxfId="0">
      <formula>0</formula>
    </cfRule>
    <cfRule type="cellIs" priority="191" operator="lessThan" aboveAverage="0" equalAverage="0" bottom="0" percent="0" rank="0" text="" dxfId="1">
      <formula>0</formula>
    </cfRule>
  </conditionalFormatting>
  <conditionalFormatting sqref="J36">
    <cfRule type="cellIs" priority="192" operator="greaterThan" aboveAverage="0" equalAverage="0" bottom="0" percent="0" rank="0" text="" dxfId="0">
      <formula>0</formula>
    </cfRule>
    <cfRule type="cellIs" priority="193" operator="lessThan" aboveAverage="0" equalAverage="0" bottom="0" percent="0" rank="0" text="" dxfId="1">
      <formula>0</formula>
    </cfRule>
  </conditionalFormatting>
  <conditionalFormatting sqref="H37">
    <cfRule type="cellIs" priority="194" operator="greaterThan" aboveAverage="0" equalAverage="0" bottom="0" percent="0" rank="0" text="" dxfId="0">
      <formula>0</formula>
    </cfRule>
    <cfRule type="cellIs" priority="195" operator="lessThan" aboveAverage="0" equalAverage="0" bottom="0" percent="0" rank="0" text="" dxfId="1">
      <formula>0</formula>
    </cfRule>
  </conditionalFormatting>
  <conditionalFormatting sqref="I37">
    <cfRule type="cellIs" priority="196" operator="greaterThan" aboveAverage="0" equalAverage="0" bottom="0" percent="0" rank="0" text="" dxfId="0">
      <formula>0</formula>
    </cfRule>
    <cfRule type="cellIs" priority="197" operator="lessThan" aboveAverage="0" equalAverage="0" bottom="0" percent="0" rank="0" text="" dxfId="1">
      <formula>0</formula>
    </cfRule>
  </conditionalFormatting>
  <conditionalFormatting sqref="J37">
    <cfRule type="cellIs" priority="198" operator="greaterThan" aboveAverage="0" equalAverage="0" bottom="0" percent="0" rank="0" text="" dxfId="0">
      <formula>0</formula>
    </cfRule>
    <cfRule type="cellIs" priority="199" operator="lessThan" aboveAverage="0" equalAverage="0" bottom="0" percent="0" rank="0" text="" dxfId="1">
      <formula>0</formula>
    </cfRule>
  </conditionalFormatting>
  <conditionalFormatting sqref="H38">
    <cfRule type="cellIs" priority="200" operator="greaterThan" aboveAverage="0" equalAverage="0" bottom="0" percent="0" rank="0" text="" dxfId="0">
      <formula>0</formula>
    </cfRule>
    <cfRule type="cellIs" priority="201" operator="lessThan" aboveAverage="0" equalAverage="0" bottom="0" percent="0" rank="0" text="" dxfId="1">
      <formula>0</formula>
    </cfRule>
  </conditionalFormatting>
  <conditionalFormatting sqref="I38">
    <cfRule type="cellIs" priority="202" operator="greaterThan" aboveAverage="0" equalAverage="0" bottom="0" percent="0" rank="0" text="" dxfId="0">
      <formula>0</formula>
    </cfRule>
    <cfRule type="cellIs" priority="203" operator="lessThan" aboveAverage="0" equalAverage="0" bottom="0" percent="0" rank="0" text="" dxfId="1">
      <formula>0</formula>
    </cfRule>
  </conditionalFormatting>
  <conditionalFormatting sqref="J38">
    <cfRule type="cellIs" priority="204" operator="greaterThan" aboveAverage="0" equalAverage="0" bottom="0" percent="0" rank="0" text="" dxfId="0">
      <formula>0</formula>
    </cfRule>
    <cfRule type="cellIs" priority="205" operator="lessThan" aboveAverage="0" equalAverage="0" bottom="0" percent="0" rank="0" text="" dxfId="1">
      <formula>0</formula>
    </cfRule>
  </conditionalFormatting>
  <conditionalFormatting sqref="H39">
    <cfRule type="cellIs" priority="206" operator="greaterThan" aboveAverage="0" equalAverage="0" bottom="0" percent="0" rank="0" text="" dxfId="0">
      <formula>0</formula>
    </cfRule>
    <cfRule type="cellIs" priority="207" operator="lessThan" aboveAverage="0" equalAverage="0" bottom="0" percent="0" rank="0" text="" dxfId="1">
      <formula>0</formula>
    </cfRule>
  </conditionalFormatting>
  <conditionalFormatting sqref="I39">
    <cfRule type="cellIs" priority="208" operator="greaterThan" aboveAverage="0" equalAverage="0" bottom="0" percent="0" rank="0" text="" dxfId="0">
      <formula>0</formula>
    </cfRule>
    <cfRule type="cellIs" priority="209" operator="lessThan" aboveAverage="0" equalAverage="0" bottom="0" percent="0" rank="0" text="" dxfId="1">
      <formula>0</formula>
    </cfRule>
  </conditionalFormatting>
  <conditionalFormatting sqref="J39">
    <cfRule type="cellIs" priority="210" operator="greaterThan" aboveAverage="0" equalAverage="0" bottom="0" percent="0" rank="0" text="" dxfId="0">
      <formula>0</formula>
    </cfRule>
    <cfRule type="cellIs" priority="211" operator="lessThan" aboveAverage="0" equalAverage="0" bottom="0" percent="0" rank="0" text="" dxfId="1">
      <formula>0</formula>
    </cfRule>
  </conditionalFormatting>
  <conditionalFormatting sqref="H40">
    <cfRule type="cellIs" priority="212" operator="greaterThan" aboveAverage="0" equalAverage="0" bottom="0" percent="0" rank="0" text="" dxfId="0">
      <formula>0</formula>
    </cfRule>
    <cfRule type="cellIs" priority="213" operator="lessThan" aboveAverage="0" equalAverage="0" bottom="0" percent="0" rank="0" text="" dxfId="1">
      <formula>0</formula>
    </cfRule>
  </conditionalFormatting>
  <conditionalFormatting sqref="I40">
    <cfRule type="cellIs" priority="214" operator="greaterThan" aboveAverage="0" equalAverage="0" bottom="0" percent="0" rank="0" text="" dxfId="0">
      <formula>0</formula>
    </cfRule>
    <cfRule type="cellIs" priority="215" operator="lessThan" aboveAverage="0" equalAverage="0" bottom="0" percent="0" rank="0" text="" dxfId="1">
      <formula>0</formula>
    </cfRule>
  </conditionalFormatting>
  <conditionalFormatting sqref="J40">
    <cfRule type="cellIs" priority="216" operator="greaterThan" aboveAverage="0" equalAverage="0" bottom="0" percent="0" rank="0" text="" dxfId="0">
      <formula>0</formula>
    </cfRule>
    <cfRule type="cellIs" priority="217" operator="lessThan" aboveAverage="0" equalAverage="0" bottom="0" percent="0" rank="0" text="" dxfId="1">
      <formula>0</formula>
    </cfRule>
  </conditionalFormatting>
  <conditionalFormatting sqref="H41">
    <cfRule type="cellIs" priority="218" operator="greaterThan" aboveAverage="0" equalAverage="0" bottom="0" percent="0" rank="0" text="" dxfId="0">
      <formula>0</formula>
    </cfRule>
    <cfRule type="cellIs" priority="219" operator="lessThan" aboveAverage="0" equalAverage="0" bottom="0" percent="0" rank="0" text="" dxfId="1">
      <formula>0</formula>
    </cfRule>
  </conditionalFormatting>
  <conditionalFormatting sqref="I41">
    <cfRule type="cellIs" priority="220" operator="greaterThan" aboveAverage="0" equalAverage="0" bottom="0" percent="0" rank="0" text="" dxfId="0">
      <formula>0</formula>
    </cfRule>
    <cfRule type="cellIs" priority="221" operator="lessThan" aboveAverage="0" equalAverage="0" bottom="0" percent="0" rank="0" text="" dxfId="1">
      <formula>0</formula>
    </cfRule>
  </conditionalFormatting>
  <conditionalFormatting sqref="J41">
    <cfRule type="cellIs" priority="222" operator="greaterThan" aboveAverage="0" equalAverage="0" bottom="0" percent="0" rank="0" text="" dxfId="0">
      <formula>0</formula>
    </cfRule>
    <cfRule type="cellIs" priority="223" operator="lessThan" aboveAverage="0" equalAverage="0" bottom="0" percent="0" rank="0" text="" dxfId="1">
      <formula>0</formula>
    </cfRule>
  </conditionalFormatting>
  <conditionalFormatting sqref="H42">
    <cfRule type="cellIs" priority="224" operator="greaterThan" aboveAverage="0" equalAverage="0" bottom="0" percent="0" rank="0" text="" dxfId="0">
      <formula>0</formula>
    </cfRule>
    <cfRule type="cellIs" priority="225" operator="lessThan" aboveAverage="0" equalAverage="0" bottom="0" percent="0" rank="0" text="" dxfId="1">
      <formula>0</formula>
    </cfRule>
  </conditionalFormatting>
  <conditionalFormatting sqref="I42">
    <cfRule type="cellIs" priority="226" operator="greaterThan" aboveAverage="0" equalAverage="0" bottom="0" percent="0" rank="0" text="" dxfId="0">
      <formula>0</formula>
    </cfRule>
    <cfRule type="cellIs" priority="227" operator="lessThan" aboveAverage="0" equalAverage="0" bottom="0" percent="0" rank="0" text="" dxfId="1">
      <formula>0</formula>
    </cfRule>
  </conditionalFormatting>
  <conditionalFormatting sqref="J42">
    <cfRule type="cellIs" priority="228" operator="greaterThan" aboveAverage="0" equalAverage="0" bottom="0" percent="0" rank="0" text="" dxfId="0">
      <formula>0</formula>
    </cfRule>
    <cfRule type="cellIs" priority="229" operator="lessThan" aboveAverage="0" equalAverage="0" bottom="0" percent="0" rank="0" text="" dxfId="1">
      <formula>0</formula>
    </cfRule>
  </conditionalFormatting>
  <conditionalFormatting sqref="H43">
    <cfRule type="cellIs" priority="230" operator="greaterThan" aboveAverage="0" equalAverage="0" bottom="0" percent="0" rank="0" text="" dxfId="0">
      <formula>0</formula>
    </cfRule>
    <cfRule type="cellIs" priority="231" operator="lessThan" aboveAverage="0" equalAverage="0" bottom="0" percent="0" rank="0" text="" dxfId="1">
      <formula>0</formula>
    </cfRule>
  </conditionalFormatting>
  <conditionalFormatting sqref="I43">
    <cfRule type="cellIs" priority="232" operator="greaterThan" aboveAverage="0" equalAverage="0" bottom="0" percent="0" rank="0" text="" dxfId="0">
      <formula>0</formula>
    </cfRule>
    <cfRule type="cellIs" priority="233" operator="lessThan" aboveAverage="0" equalAverage="0" bottom="0" percent="0" rank="0" text="" dxfId="1">
      <formula>0</formula>
    </cfRule>
  </conditionalFormatting>
  <conditionalFormatting sqref="J43">
    <cfRule type="cellIs" priority="234" operator="greaterThan" aboveAverage="0" equalAverage="0" bottom="0" percent="0" rank="0" text="" dxfId="0">
      <formula>0</formula>
    </cfRule>
    <cfRule type="cellIs" priority="235" operator="lessThan" aboveAverage="0" equalAverage="0" bottom="0" percent="0" rank="0" text="" dxfId="1">
      <formula>0</formula>
    </cfRule>
  </conditionalFormatting>
  <conditionalFormatting sqref="H44">
    <cfRule type="cellIs" priority="236" operator="greaterThan" aboveAverage="0" equalAverage="0" bottom="0" percent="0" rank="0" text="" dxfId="0">
      <formula>0</formula>
    </cfRule>
    <cfRule type="cellIs" priority="237" operator="lessThan" aboveAverage="0" equalAverage="0" bottom="0" percent="0" rank="0" text="" dxfId="1">
      <formula>0</formula>
    </cfRule>
  </conditionalFormatting>
  <conditionalFormatting sqref="I44">
    <cfRule type="cellIs" priority="238" operator="greaterThan" aboveAverage="0" equalAverage="0" bottom="0" percent="0" rank="0" text="" dxfId="0">
      <formula>0</formula>
    </cfRule>
    <cfRule type="cellIs" priority="239" operator="lessThan" aboveAverage="0" equalAverage="0" bottom="0" percent="0" rank="0" text="" dxfId="1">
      <formula>0</formula>
    </cfRule>
  </conditionalFormatting>
  <conditionalFormatting sqref="J44">
    <cfRule type="cellIs" priority="240" operator="greaterThan" aboveAverage="0" equalAverage="0" bottom="0" percent="0" rank="0" text="" dxfId="0">
      <formula>0</formula>
    </cfRule>
    <cfRule type="cellIs" priority="241" operator="lessThan" aboveAverage="0" equalAverage="0" bottom="0" percent="0" rank="0" text="" dxfId="1">
      <formula>0</formula>
    </cfRule>
  </conditionalFormatting>
  <conditionalFormatting sqref="H45">
    <cfRule type="cellIs" priority="242" operator="greaterThan" aboveAverage="0" equalAverage="0" bottom="0" percent="0" rank="0" text="" dxfId="0">
      <formula>0</formula>
    </cfRule>
    <cfRule type="cellIs" priority="243" operator="lessThan" aboveAverage="0" equalAverage="0" bottom="0" percent="0" rank="0" text="" dxfId="1">
      <formula>0</formula>
    </cfRule>
  </conditionalFormatting>
  <conditionalFormatting sqref="I45">
    <cfRule type="cellIs" priority="244" operator="greaterThan" aboveAverage="0" equalAverage="0" bottom="0" percent="0" rank="0" text="" dxfId="0">
      <formula>0</formula>
    </cfRule>
    <cfRule type="cellIs" priority="245" operator="lessThan" aboveAverage="0" equalAverage="0" bottom="0" percent="0" rank="0" text="" dxfId="1">
      <formula>0</formula>
    </cfRule>
  </conditionalFormatting>
  <conditionalFormatting sqref="J45">
    <cfRule type="cellIs" priority="246" operator="greaterThan" aboveAverage="0" equalAverage="0" bottom="0" percent="0" rank="0" text="" dxfId="0">
      <formula>0</formula>
    </cfRule>
    <cfRule type="cellIs" priority="247" operator="lessThan" aboveAverage="0" equalAverage="0" bottom="0" percent="0" rank="0" text="" dxfId="1">
      <formula>0</formula>
    </cfRule>
  </conditionalFormatting>
  <conditionalFormatting sqref="H46">
    <cfRule type="cellIs" priority="248" operator="greaterThan" aboveAverage="0" equalAverage="0" bottom="0" percent="0" rank="0" text="" dxfId="0">
      <formula>0</formula>
    </cfRule>
    <cfRule type="cellIs" priority="249" operator="lessThan" aboveAverage="0" equalAverage="0" bottom="0" percent="0" rank="0" text="" dxfId="1">
      <formula>0</formula>
    </cfRule>
  </conditionalFormatting>
  <conditionalFormatting sqref="I46">
    <cfRule type="cellIs" priority="250" operator="greaterThan" aboveAverage="0" equalAverage="0" bottom="0" percent="0" rank="0" text="" dxfId="0">
      <formula>0</formula>
    </cfRule>
    <cfRule type="cellIs" priority="251" operator="lessThan" aboveAverage="0" equalAverage="0" bottom="0" percent="0" rank="0" text="" dxfId="1">
      <formula>0</formula>
    </cfRule>
  </conditionalFormatting>
  <conditionalFormatting sqref="J46">
    <cfRule type="cellIs" priority="252" operator="greaterThan" aboveAverage="0" equalAverage="0" bottom="0" percent="0" rank="0" text="" dxfId="0">
      <formula>0</formula>
    </cfRule>
    <cfRule type="cellIs" priority="253" operator="lessThan" aboveAverage="0" equalAverage="0" bottom="0" percent="0" rank="0" text="" dxfId="1">
      <formula>0</formula>
    </cfRule>
  </conditionalFormatting>
  <conditionalFormatting sqref="H47">
    <cfRule type="cellIs" priority="254" operator="greaterThan" aboveAverage="0" equalAverage="0" bottom="0" percent="0" rank="0" text="" dxfId="0">
      <formula>0</formula>
    </cfRule>
    <cfRule type="cellIs" priority="255" operator="lessThan" aboveAverage="0" equalAverage="0" bottom="0" percent="0" rank="0" text="" dxfId="1">
      <formula>0</formula>
    </cfRule>
  </conditionalFormatting>
  <conditionalFormatting sqref="I47">
    <cfRule type="cellIs" priority="256" operator="greaterThan" aboveAverage="0" equalAverage="0" bottom="0" percent="0" rank="0" text="" dxfId="0">
      <formula>0</formula>
    </cfRule>
    <cfRule type="cellIs" priority="257" operator="lessThan" aboveAverage="0" equalAverage="0" bottom="0" percent="0" rank="0" text="" dxfId="1">
      <formula>0</formula>
    </cfRule>
  </conditionalFormatting>
  <conditionalFormatting sqref="J47">
    <cfRule type="cellIs" priority="258" operator="greaterThan" aboveAverage="0" equalAverage="0" bottom="0" percent="0" rank="0" text="" dxfId="0">
      <formula>0</formula>
    </cfRule>
    <cfRule type="cellIs" priority="259" operator="lessThan" aboveAverage="0" equalAverage="0" bottom="0" percent="0" rank="0" text="" dxfId="1">
      <formula>0</formula>
    </cfRule>
  </conditionalFormatting>
  <conditionalFormatting sqref="H48">
    <cfRule type="cellIs" priority="260" operator="greaterThan" aboveAverage="0" equalAverage="0" bottom="0" percent="0" rank="0" text="" dxfId="0">
      <formula>0</formula>
    </cfRule>
    <cfRule type="cellIs" priority="261" operator="lessThan" aboveAverage="0" equalAverage="0" bottom="0" percent="0" rank="0" text="" dxfId="1">
      <formula>0</formula>
    </cfRule>
  </conditionalFormatting>
  <conditionalFormatting sqref="I48">
    <cfRule type="cellIs" priority="262" operator="greaterThan" aboveAverage="0" equalAverage="0" bottom="0" percent="0" rank="0" text="" dxfId="0">
      <formula>0</formula>
    </cfRule>
    <cfRule type="cellIs" priority="263" operator="lessThan" aboveAverage="0" equalAverage="0" bottom="0" percent="0" rank="0" text="" dxfId="1">
      <formula>0</formula>
    </cfRule>
  </conditionalFormatting>
  <conditionalFormatting sqref="J48">
    <cfRule type="cellIs" priority="264" operator="greaterThan" aboveAverage="0" equalAverage="0" bottom="0" percent="0" rank="0" text="" dxfId="0">
      <formula>0</formula>
    </cfRule>
    <cfRule type="cellIs" priority="265" operator="lessThan" aboveAverage="0" equalAverage="0" bottom="0" percent="0" rank="0" text="" dxfId="1">
      <formula>0</formula>
    </cfRule>
  </conditionalFormatting>
  <conditionalFormatting sqref="H49">
    <cfRule type="cellIs" priority="266" operator="greaterThan" aboveAverage="0" equalAverage="0" bottom="0" percent="0" rank="0" text="" dxfId="0">
      <formula>0</formula>
    </cfRule>
    <cfRule type="cellIs" priority="267" operator="lessThan" aboveAverage="0" equalAverage="0" bottom="0" percent="0" rank="0" text="" dxfId="1">
      <formula>0</formula>
    </cfRule>
  </conditionalFormatting>
  <conditionalFormatting sqref="I49">
    <cfRule type="cellIs" priority="268" operator="greaterThan" aboveAverage="0" equalAverage="0" bottom="0" percent="0" rank="0" text="" dxfId="0">
      <formula>0</formula>
    </cfRule>
    <cfRule type="cellIs" priority="269" operator="lessThan" aboveAverage="0" equalAverage="0" bottom="0" percent="0" rank="0" text="" dxfId="1">
      <formula>0</formula>
    </cfRule>
  </conditionalFormatting>
  <conditionalFormatting sqref="J49">
    <cfRule type="cellIs" priority="270" operator="greaterThan" aboveAverage="0" equalAverage="0" bottom="0" percent="0" rank="0" text="" dxfId="0">
      <formula>0</formula>
    </cfRule>
    <cfRule type="cellIs" priority="271" operator="lessThan" aboveAverage="0" equalAverage="0" bottom="0" percent="0" rank="0" text="" dxfId="1">
      <formula>0</formula>
    </cfRule>
  </conditionalFormatting>
  <conditionalFormatting sqref="H50">
    <cfRule type="cellIs" priority="272" operator="greaterThan" aboveAverage="0" equalAverage="0" bottom="0" percent="0" rank="0" text="" dxfId="0">
      <formula>0</formula>
    </cfRule>
    <cfRule type="cellIs" priority="273" operator="lessThan" aboveAverage="0" equalAverage="0" bottom="0" percent="0" rank="0" text="" dxfId="1">
      <formula>0</formula>
    </cfRule>
  </conditionalFormatting>
  <conditionalFormatting sqref="I50">
    <cfRule type="cellIs" priority="274" operator="greaterThan" aboveAverage="0" equalAverage="0" bottom="0" percent="0" rank="0" text="" dxfId="0">
      <formula>0</formula>
    </cfRule>
    <cfRule type="cellIs" priority="275" operator="lessThan" aboveAverage="0" equalAverage="0" bottom="0" percent="0" rank="0" text="" dxfId="1">
      <formula>0</formula>
    </cfRule>
  </conditionalFormatting>
  <conditionalFormatting sqref="J50">
    <cfRule type="cellIs" priority="276" operator="greaterThan" aboveAverage="0" equalAverage="0" bottom="0" percent="0" rank="0" text="" dxfId="0">
      <formula>0</formula>
    </cfRule>
    <cfRule type="cellIs" priority="277" operator="lessThan" aboveAverage="0" equalAverage="0" bottom="0" percent="0" rank="0" text="" dxfId="1">
      <formula>0</formula>
    </cfRule>
  </conditionalFormatting>
  <conditionalFormatting sqref="H51">
    <cfRule type="cellIs" priority="278" operator="greaterThan" aboveAverage="0" equalAverage="0" bottom="0" percent="0" rank="0" text="" dxfId="0">
      <formula>0</formula>
    </cfRule>
    <cfRule type="cellIs" priority="279" operator="lessThan" aboveAverage="0" equalAverage="0" bottom="0" percent="0" rank="0" text="" dxfId="1">
      <formula>0</formula>
    </cfRule>
  </conditionalFormatting>
  <conditionalFormatting sqref="I51">
    <cfRule type="cellIs" priority="280" operator="greaterThan" aboveAverage="0" equalAverage="0" bottom="0" percent="0" rank="0" text="" dxfId="0">
      <formula>0</formula>
    </cfRule>
    <cfRule type="cellIs" priority="281" operator="lessThan" aboveAverage="0" equalAverage="0" bottom="0" percent="0" rank="0" text="" dxfId="1">
      <formula>0</formula>
    </cfRule>
  </conditionalFormatting>
  <conditionalFormatting sqref="J51">
    <cfRule type="cellIs" priority="282" operator="greaterThan" aboveAverage="0" equalAverage="0" bottom="0" percent="0" rank="0" text="" dxfId="0">
      <formula>0</formula>
    </cfRule>
    <cfRule type="cellIs" priority="283" operator="lessThan" aboveAverage="0" equalAverage="0" bottom="0" percent="0" rank="0" text="" dxfId="1">
      <formula>0</formula>
    </cfRule>
  </conditionalFormatting>
  <conditionalFormatting sqref="H52">
    <cfRule type="cellIs" priority="284" operator="greaterThan" aboveAverage="0" equalAverage="0" bottom="0" percent="0" rank="0" text="" dxfId="0">
      <formula>0</formula>
    </cfRule>
    <cfRule type="cellIs" priority="285" operator="lessThan" aboveAverage="0" equalAverage="0" bottom="0" percent="0" rank="0" text="" dxfId="1">
      <formula>0</formula>
    </cfRule>
  </conditionalFormatting>
  <conditionalFormatting sqref="I52">
    <cfRule type="cellIs" priority="286" operator="greaterThan" aboveAverage="0" equalAverage="0" bottom="0" percent="0" rank="0" text="" dxfId="0">
      <formula>0</formula>
    </cfRule>
    <cfRule type="cellIs" priority="287" operator="lessThan" aboveAverage="0" equalAverage="0" bottom="0" percent="0" rank="0" text="" dxfId="1">
      <formula>0</formula>
    </cfRule>
  </conditionalFormatting>
  <conditionalFormatting sqref="J52">
    <cfRule type="cellIs" priority="288" operator="greaterThan" aboveAverage="0" equalAverage="0" bottom="0" percent="0" rank="0" text="" dxfId="0">
      <formula>0</formula>
    </cfRule>
    <cfRule type="cellIs" priority="289" operator="lessThan" aboveAverage="0" equalAverage="0" bottom="0" percent="0" rank="0" text="" dxfId="1">
      <formula>0</formula>
    </cfRule>
  </conditionalFormatting>
  <conditionalFormatting sqref="H53">
    <cfRule type="cellIs" priority="290" operator="greaterThan" aboveAverage="0" equalAverage="0" bottom="0" percent="0" rank="0" text="" dxfId="0">
      <formula>0</formula>
    </cfRule>
    <cfRule type="cellIs" priority="291" operator="lessThan" aboveAverage="0" equalAverage="0" bottom="0" percent="0" rank="0" text="" dxfId="1">
      <formula>0</formula>
    </cfRule>
  </conditionalFormatting>
  <conditionalFormatting sqref="I53">
    <cfRule type="cellIs" priority="292" operator="greaterThan" aboveAverage="0" equalAverage="0" bottom="0" percent="0" rank="0" text="" dxfId="0">
      <formula>0</formula>
    </cfRule>
    <cfRule type="cellIs" priority="293" operator="lessThan" aboveAverage="0" equalAverage="0" bottom="0" percent="0" rank="0" text="" dxfId="1">
      <formula>0</formula>
    </cfRule>
  </conditionalFormatting>
  <conditionalFormatting sqref="J53">
    <cfRule type="cellIs" priority="294" operator="greaterThan" aboveAverage="0" equalAverage="0" bottom="0" percent="0" rank="0" text="" dxfId="0">
      <formula>0</formula>
    </cfRule>
    <cfRule type="cellIs" priority="295" operator="lessThan" aboveAverage="0" equalAverage="0" bottom="0" percent="0" rank="0" text="" dxfId="1">
      <formula>0</formula>
    </cfRule>
  </conditionalFormatting>
  <conditionalFormatting sqref="H54">
    <cfRule type="cellIs" priority="296" operator="greaterThan" aboveAverage="0" equalAverage="0" bottom="0" percent="0" rank="0" text="" dxfId="0">
      <formula>0</formula>
    </cfRule>
    <cfRule type="cellIs" priority="297" operator="lessThan" aboveAverage="0" equalAverage="0" bottom="0" percent="0" rank="0" text="" dxfId="1">
      <formula>0</formula>
    </cfRule>
  </conditionalFormatting>
  <conditionalFormatting sqref="I54">
    <cfRule type="cellIs" priority="298" operator="greaterThan" aboveAverage="0" equalAverage="0" bottom="0" percent="0" rank="0" text="" dxfId="0">
      <formula>0</formula>
    </cfRule>
    <cfRule type="cellIs" priority="299" operator="lessThan" aboveAverage="0" equalAverage="0" bottom="0" percent="0" rank="0" text="" dxfId="1">
      <formula>0</formula>
    </cfRule>
  </conditionalFormatting>
  <conditionalFormatting sqref="J54">
    <cfRule type="cellIs" priority="300" operator="greaterThan" aboveAverage="0" equalAverage="0" bottom="0" percent="0" rank="0" text="" dxfId="0">
      <formula>0</formula>
    </cfRule>
    <cfRule type="cellIs" priority="301" operator="lessThan" aboveAverage="0" equalAverage="0" bottom="0" percent="0" rank="0" text="" dxfId="1">
      <formula>0</formula>
    </cfRule>
  </conditionalFormatting>
  <conditionalFormatting sqref="H55">
    <cfRule type="cellIs" priority="302" operator="greaterThan" aboveAverage="0" equalAverage="0" bottom="0" percent="0" rank="0" text="" dxfId="0">
      <formula>0</formula>
    </cfRule>
    <cfRule type="cellIs" priority="303" operator="lessThan" aboveAverage="0" equalAverage="0" bottom="0" percent="0" rank="0" text="" dxfId="1">
      <formula>0</formula>
    </cfRule>
  </conditionalFormatting>
  <conditionalFormatting sqref="I55">
    <cfRule type="cellIs" priority="304" operator="greaterThan" aboveAverage="0" equalAverage="0" bottom="0" percent="0" rank="0" text="" dxfId="0">
      <formula>0</formula>
    </cfRule>
    <cfRule type="cellIs" priority="305" operator="lessThan" aboveAverage="0" equalAverage="0" bottom="0" percent="0" rank="0" text="" dxfId="1">
      <formula>0</formula>
    </cfRule>
  </conditionalFormatting>
  <conditionalFormatting sqref="J55">
    <cfRule type="cellIs" priority="306" operator="greaterThan" aboveAverage="0" equalAverage="0" bottom="0" percent="0" rank="0" text="" dxfId="0">
      <formula>0</formula>
    </cfRule>
    <cfRule type="cellIs" priority="307" operator="lessThan" aboveAverage="0" equalAverage="0" bottom="0" percent="0" rank="0" text="" dxfId="1">
      <formula>0</formula>
    </cfRule>
  </conditionalFormatting>
  <conditionalFormatting sqref="H56">
    <cfRule type="cellIs" priority="308" operator="greaterThan" aboveAverage="0" equalAverage="0" bottom="0" percent="0" rank="0" text="" dxfId="0">
      <formula>0</formula>
    </cfRule>
    <cfRule type="cellIs" priority="309" operator="lessThan" aboveAverage="0" equalAverage="0" bottom="0" percent="0" rank="0" text="" dxfId="1">
      <formula>0</formula>
    </cfRule>
  </conditionalFormatting>
  <conditionalFormatting sqref="I56">
    <cfRule type="cellIs" priority="310" operator="greaterThan" aboveAverage="0" equalAverage="0" bottom="0" percent="0" rank="0" text="" dxfId="0">
      <formula>0</formula>
    </cfRule>
    <cfRule type="cellIs" priority="311" operator="lessThan" aboveAverage="0" equalAverage="0" bottom="0" percent="0" rank="0" text="" dxfId="1">
      <formula>0</formula>
    </cfRule>
  </conditionalFormatting>
  <conditionalFormatting sqref="J56">
    <cfRule type="cellIs" priority="312" operator="greaterThan" aboveAverage="0" equalAverage="0" bottom="0" percent="0" rank="0" text="" dxfId="0">
      <formula>0</formula>
    </cfRule>
    <cfRule type="cellIs" priority="313" operator="lessThan" aboveAverage="0" equalAverage="0" bottom="0" percent="0" rank="0" text="" dxfId="1">
      <formula>0</formula>
    </cfRule>
  </conditionalFormatting>
  <conditionalFormatting sqref="H57">
    <cfRule type="cellIs" priority="314" operator="greaterThan" aboveAverage="0" equalAverage="0" bottom="0" percent="0" rank="0" text="" dxfId="0">
      <formula>0</formula>
    </cfRule>
    <cfRule type="cellIs" priority="315" operator="lessThan" aboveAverage="0" equalAverage="0" bottom="0" percent="0" rank="0" text="" dxfId="1">
      <formula>0</formula>
    </cfRule>
  </conditionalFormatting>
  <conditionalFormatting sqref="I57">
    <cfRule type="cellIs" priority="316" operator="greaterThan" aboveAverage="0" equalAverage="0" bottom="0" percent="0" rank="0" text="" dxfId="0">
      <formula>0</formula>
    </cfRule>
    <cfRule type="cellIs" priority="317" operator="lessThan" aboveAverage="0" equalAverage="0" bottom="0" percent="0" rank="0" text="" dxfId="1">
      <formula>0</formula>
    </cfRule>
  </conditionalFormatting>
  <conditionalFormatting sqref="J57">
    <cfRule type="cellIs" priority="318" operator="greaterThan" aboveAverage="0" equalAverage="0" bottom="0" percent="0" rank="0" text="" dxfId="0">
      <formula>0</formula>
    </cfRule>
    <cfRule type="cellIs" priority="319" operator="lessThan" aboveAverage="0" equalAverage="0" bottom="0" percent="0" rank="0" text="" dxfId="1">
      <formula>0</formula>
    </cfRule>
  </conditionalFormatting>
  <conditionalFormatting sqref="H58">
    <cfRule type="cellIs" priority="320" operator="greaterThan" aboveAverage="0" equalAverage="0" bottom="0" percent="0" rank="0" text="" dxfId="0">
      <formula>0</formula>
    </cfRule>
    <cfRule type="cellIs" priority="321" operator="lessThan" aboveAverage="0" equalAverage="0" bottom="0" percent="0" rank="0" text="" dxfId="1">
      <formula>0</formula>
    </cfRule>
  </conditionalFormatting>
  <conditionalFormatting sqref="I58">
    <cfRule type="cellIs" priority="322" operator="greaterThan" aboveAverage="0" equalAverage="0" bottom="0" percent="0" rank="0" text="" dxfId="0">
      <formula>0</formula>
    </cfRule>
    <cfRule type="cellIs" priority="323" operator="lessThan" aboveAverage="0" equalAverage="0" bottom="0" percent="0" rank="0" text="" dxfId="1">
      <formula>0</formula>
    </cfRule>
  </conditionalFormatting>
  <conditionalFormatting sqref="J58">
    <cfRule type="cellIs" priority="324" operator="greaterThan" aboveAverage="0" equalAverage="0" bottom="0" percent="0" rank="0" text="" dxfId="0">
      <formula>0</formula>
    </cfRule>
    <cfRule type="cellIs" priority="325" operator="lessThan" aboveAverage="0" equalAverage="0" bottom="0" percent="0" rank="0" text="" dxfId="1">
      <formula>0</formula>
    </cfRule>
  </conditionalFormatting>
  <conditionalFormatting sqref="H59">
    <cfRule type="cellIs" priority="326" operator="greaterThan" aboveAverage="0" equalAverage="0" bottom="0" percent="0" rank="0" text="" dxfId="0">
      <formula>0</formula>
    </cfRule>
    <cfRule type="cellIs" priority="327" operator="lessThan" aboveAverage="0" equalAverage="0" bottom="0" percent="0" rank="0" text="" dxfId="1">
      <formula>0</formula>
    </cfRule>
  </conditionalFormatting>
  <conditionalFormatting sqref="I59">
    <cfRule type="cellIs" priority="328" operator="greaterThan" aboveAverage="0" equalAverage="0" bottom="0" percent="0" rank="0" text="" dxfId="0">
      <formula>0</formula>
    </cfRule>
    <cfRule type="cellIs" priority="329" operator="lessThan" aboveAverage="0" equalAverage="0" bottom="0" percent="0" rank="0" text="" dxfId="1">
      <formula>0</formula>
    </cfRule>
  </conditionalFormatting>
  <conditionalFormatting sqref="J59">
    <cfRule type="cellIs" priority="330" operator="greaterThan" aboveAverage="0" equalAverage="0" bottom="0" percent="0" rank="0" text="" dxfId="0">
      <formula>0</formula>
    </cfRule>
    <cfRule type="cellIs" priority="331" operator="lessThan" aboveAverage="0" equalAverage="0" bottom="0" percent="0" rank="0" text="" dxfId="1">
      <formula>0</formula>
    </cfRule>
  </conditionalFormatting>
  <conditionalFormatting sqref="H60">
    <cfRule type="cellIs" priority="332" operator="greaterThan" aboveAverage="0" equalAverage="0" bottom="0" percent="0" rank="0" text="" dxfId="0">
      <formula>0</formula>
    </cfRule>
    <cfRule type="cellIs" priority="333" operator="lessThan" aboveAverage="0" equalAverage="0" bottom="0" percent="0" rank="0" text="" dxfId="1">
      <formula>0</formula>
    </cfRule>
  </conditionalFormatting>
  <conditionalFormatting sqref="I60">
    <cfRule type="cellIs" priority="334" operator="greaterThan" aboveAverage="0" equalAverage="0" bottom="0" percent="0" rank="0" text="" dxfId="0">
      <formula>0</formula>
    </cfRule>
    <cfRule type="cellIs" priority="335" operator="lessThan" aboveAverage="0" equalAverage="0" bottom="0" percent="0" rank="0" text="" dxfId="1">
      <formula>0</formula>
    </cfRule>
  </conditionalFormatting>
  <conditionalFormatting sqref="J60">
    <cfRule type="cellIs" priority="336" operator="greaterThan" aboveAverage="0" equalAverage="0" bottom="0" percent="0" rank="0" text="" dxfId="0">
      <formula>0</formula>
    </cfRule>
    <cfRule type="cellIs" priority="337" operator="lessThan" aboveAverage="0" equalAverage="0" bottom="0" percent="0" rank="0" text="" dxfId="1">
      <formula>0</formula>
    </cfRule>
  </conditionalFormatting>
  <conditionalFormatting sqref="H61">
    <cfRule type="cellIs" priority="338" operator="greaterThan" aboveAverage="0" equalAverage="0" bottom="0" percent="0" rank="0" text="" dxfId="0">
      <formula>0</formula>
    </cfRule>
    <cfRule type="cellIs" priority="339" operator="lessThan" aboveAverage="0" equalAverage="0" bottom="0" percent="0" rank="0" text="" dxfId="1">
      <formula>0</formula>
    </cfRule>
  </conditionalFormatting>
  <conditionalFormatting sqref="I61">
    <cfRule type="cellIs" priority="340" operator="greaterThan" aboveAverage="0" equalAverage="0" bottom="0" percent="0" rank="0" text="" dxfId="0">
      <formula>0</formula>
    </cfRule>
    <cfRule type="cellIs" priority="341" operator="lessThan" aboveAverage="0" equalAverage="0" bottom="0" percent="0" rank="0" text="" dxfId="1">
      <formula>0</formula>
    </cfRule>
  </conditionalFormatting>
  <conditionalFormatting sqref="J61">
    <cfRule type="cellIs" priority="342" operator="greaterThan" aboveAverage="0" equalAverage="0" bottom="0" percent="0" rank="0" text="" dxfId="0">
      <formula>0</formula>
    </cfRule>
    <cfRule type="cellIs" priority="343" operator="lessThan" aboveAverage="0" equalAverage="0" bottom="0" percent="0" rank="0" text="" dxfId="1">
      <formula>0</formula>
    </cfRule>
  </conditionalFormatting>
  <conditionalFormatting sqref="H62">
    <cfRule type="cellIs" priority="344" operator="greaterThan" aboveAverage="0" equalAverage="0" bottom="0" percent="0" rank="0" text="" dxfId="0">
      <formula>0</formula>
    </cfRule>
    <cfRule type="cellIs" priority="345" operator="lessThan" aboveAverage="0" equalAverage="0" bottom="0" percent="0" rank="0" text="" dxfId="1">
      <formula>0</formula>
    </cfRule>
  </conditionalFormatting>
  <conditionalFormatting sqref="I62">
    <cfRule type="cellIs" priority="346" operator="greaterThan" aboveAverage="0" equalAverage="0" bottom="0" percent="0" rank="0" text="" dxfId="0">
      <formula>0</formula>
    </cfRule>
    <cfRule type="cellIs" priority="347" operator="lessThan" aboveAverage="0" equalAverage="0" bottom="0" percent="0" rank="0" text="" dxfId="1">
      <formula>0</formula>
    </cfRule>
  </conditionalFormatting>
  <conditionalFormatting sqref="J62">
    <cfRule type="cellIs" priority="348" operator="greaterThan" aboveAverage="0" equalAverage="0" bottom="0" percent="0" rank="0" text="" dxfId="0">
      <formula>0</formula>
    </cfRule>
    <cfRule type="cellIs" priority="349" operator="lessThan" aboveAverage="0" equalAverage="0" bottom="0" percent="0" rank="0" text="" dxfId="1">
      <formula>0</formula>
    </cfRule>
  </conditionalFormatting>
  <conditionalFormatting sqref="H63">
    <cfRule type="cellIs" priority="350" operator="greaterThan" aboveAverage="0" equalAverage="0" bottom="0" percent="0" rank="0" text="" dxfId="0">
      <formula>0</formula>
    </cfRule>
    <cfRule type="cellIs" priority="351" operator="lessThan" aboveAverage="0" equalAverage="0" bottom="0" percent="0" rank="0" text="" dxfId="1">
      <formula>0</formula>
    </cfRule>
  </conditionalFormatting>
  <conditionalFormatting sqref="I63">
    <cfRule type="cellIs" priority="352" operator="greaterThan" aboveAverage="0" equalAverage="0" bottom="0" percent="0" rank="0" text="" dxfId="0">
      <formula>0</formula>
    </cfRule>
    <cfRule type="cellIs" priority="353" operator="lessThan" aboveAverage="0" equalAverage="0" bottom="0" percent="0" rank="0" text="" dxfId="1">
      <formula>0</formula>
    </cfRule>
  </conditionalFormatting>
  <conditionalFormatting sqref="J63">
    <cfRule type="cellIs" priority="354" operator="greaterThan" aboveAverage="0" equalAverage="0" bottom="0" percent="0" rank="0" text="" dxfId="0">
      <formula>0</formula>
    </cfRule>
    <cfRule type="cellIs" priority="355" operator="lessThan" aboveAverage="0" equalAverage="0" bottom="0" percent="0" rank="0" text="" dxfId="1">
      <formula>0</formula>
    </cfRule>
  </conditionalFormatting>
  <conditionalFormatting sqref="H64">
    <cfRule type="cellIs" priority="356" operator="greaterThan" aboveAverage="0" equalAverage="0" bottom="0" percent="0" rank="0" text="" dxfId="0">
      <formula>0</formula>
    </cfRule>
    <cfRule type="cellIs" priority="357" operator="lessThan" aboveAverage="0" equalAverage="0" bottom="0" percent="0" rank="0" text="" dxfId="1">
      <formula>0</formula>
    </cfRule>
  </conditionalFormatting>
  <conditionalFormatting sqref="I64">
    <cfRule type="cellIs" priority="358" operator="greaterThan" aboveAverage="0" equalAverage="0" bottom="0" percent="0" rank="0" text="" dxfId="0">
      <formula>0</formula>
    </cfRule>
    <cfRule type="cellIs" priority="359" operator="lessThan" aboveAverage="0" equalAverage="0" bottom="0" percent="0" rank="0" text="" dxfId="1">
      <formula>0</formula>
    </cfRule>
  </conditionalFormatting>
  <conditionalFormatting sqref="J64">
    <cfRule type="cellIs" priority="360" operator="greaterThan" aboveAverage="0" equalAverage="0" bottom="0" percent="0" rank="0" text="" dxfId="0">
      <formula>0</formula>
    </cfRule>
    <cfRule type="cellIs" priority="361" operator="lessThan" aboveAverage="0" equalAverage="0" bottom="0" percent="0" rank="0" text="" dxfId="1">
      <formula>0</formula>
    </cfRule>
  </conditionalFormatting>
  <conditionalFormatting sqref="H65">
    <cfRule type="cellIs" priority="362" operator="greaterThan" aboveAverage="0" equalAverage="0" bottom="0" percent="0" rank="0" text="" dxfId="0">
      <formula>0</formula>
    </cfRule>
    <cfRule type="cellIs" priority="363" operator="lessThan" aboveAverage="0" equalAverage="0" bottom="0" percent="0" rank="0" text="" dxfId="1">
      <formula>0</formula>
    </cfRule>
  </conditionalFormatting>
  <conditionalFormatting sqref="I65">
    <cfRule type="cellIs" priority="364" operator="greaterThan" aboveAverage="0" equalAverage="0" bottom="0" percent="0" rank="0" text="" dxfId="0">
      <formula>0</formula>
    </cfRule>
    <cfRule type="cellIs" priority="365" operator="lessThan" aboveAverage="0" equalAverage="0" bottom="0" percent="0" rank="0" text="" dxfId="1">
      <formula>0</formula>
    </cfRule>
  </conditionalFormatting>
  <conditionalFormatting sqref="J65">
    <cfRule type="cellIs" priority="366" operator="greaterThan" aboveAverage="0" equalAverage="0" bottom="0" percent="0" rank="0" text="" dxfId="0">
      <formula>0</formula>
    </cfRule>
    <cfRule type="cellIs" priority="367" operator="lessThan" aboveAverage="0" equalAverage="0" bottom="0" percent="0" rank="0" text="" dxfId="1">
      <formula>0</formula>
    </cfRule>
  </conditionalFormatting>
  <conditionalFormatting sqref="H66">
    <cfRule type="cellIs" priority="368" operator="greaterThan" aboveAverage="0" equalAverage="0" bottom="0" percent="0" rank="0" text="" dxfId="0">
      <formula>0</formula>
    </cfRule>
    <cfRule type="cellIs" priority="369" operator="lessThan" aboveAverage="0" equalAverage="0" bottom="0" percent="0" rank="0" text="" dxfId="1">
      <formula>0</formula>
    </cfRule>
  </conditionalFormatting>
  <conditionalFormatting sqref="I66">
    <cfRule type="cellIs" priority="370" operator="greaterThan" aboveAverage="0" equalAverage="0" bottom="0" percent="0" rank="0" text="" dxfId="0">
      <formula>0</formula>
    </cfRule>
    <cfRule type="cellIs" priority="371" operator="lessThan" aboveAverage="0" equalAverage="0" bottom="0" percent="0" rank="0" text="" dxfId="1">
      <formula>0</formula>
    </cfRule>
  </conditionalFormatting>
  <conditionalFormatting sqref="J66">
    <cfRule type="cellIs" priority="372" operator="greaterThan" aboveAverage="0" equalAverage="0" bottom="0" percent="0" rank="0" text="" dxfId="0">
      <formula>0</formula>
    </cfRule>
    <cfRule type="cellIs" priority="373" operator="lessThan" aboveAverage="0" equalAverage="0" bottom="0" percent="0" rank="0" text="" dxfId="1">
      <formula>0</formula>
    </cfRule>
  </conditionalFormatting>
  <conditionalFormatting sqref="H67">
    <cfRule type="cellIs" priority="374" operator="greaterThan" aboveAverage="0" equalAverage="0" bottom="0" percent="0" rank="0" text="" dxfId="0">
      <formula>0</formula>
    </cfRule>
    <cfRule type="cellIs" priority="375" operator="lessThan" aboveAverage="0" equalAverage="0" bottom="0" percent="0" rank="0" text="" dxfId="1">
      <formula>0</formula>
    </cfRule>
  </conditionalFormatting>
  <conditionalFormatting sqref="I67">
    <cfRule type="cellIs" priority="376" operator="greaterThan" aboveAverage="0" equalAverage="0" bottom="0" percent="0" rank="0" text="" dxfId="0">
      <formula>0</formula>
    </cfRule>
    <cfRule type="cellIs" priority="377" operator="lessThan" aboveAverage="0" equalAverage="0" bottom="0" percent="0" rank="0" text="" dxfId="1">
      <formula>0</formula>
    </cfRule>
  </conditionalFormatting>
  <conditionalFormatting sqref="J67">
    <cfRule type="cellIs" priority="378" operator="greaterThan" aboveAverage="0" equalAverage="0" bottom="0" percent="0" rank="0" text="" dxfId="0">
      <formula>0</formula>
    </cfRule>
    <cfRule type="cellIs" priority="379" operator="lessThan" aboveAverage="0" equalAverage="0" bottom="0" percent="0" rank="0" text="" dxfId="1">
      <formula>0</formula>
    </cfRule>
  </conditionalFormatting>
  <conditionalFormatting sqref="H68">
    <cfRule type="cellIs" priority="380" operator="greaterThan" aboveAverage="0" equalAverage="0" bottom="0" percent="0" rank="0" text="" dxfId="0">
      <formula>0</formula>
    </cfRule>
    <cfRule type="cellIs" priority="381" operator="lessThan" aboveAverage="0" equalAverage="0" bottom="0" percent="0" rank="0" text="" dxfId="1">
      <formula>0</formula>
    </cfRule>
  </conditionalFormatting>
  <conditionalFormatting sqref="I68">
    <cfRule type="cellIs" priority="382" operator="greaterThan" aboveAverage="0" equalAverage="0" bottom="0" percent="0" rank="0" text="" dxfId="0">
      <formula>0</formula>
    </cfRule>
    <cfRule type="cellIs" priority="383" operator="lessThan" aboveAverage="0" equalAverage="0" bottom="0" percent="0" rank="0" text="" dxfId="1">
      <formula>0</formula>
    </cfRule>
  </conditionalFormatting>
  <conditionalFormatting sqref="J68">
    <cfRule type="cellIs" priority="384" operator="greaterThan" aboveAverage="0" equalAverage="0" bottom="0" percent="0" rank="0" text="" dxfId="0">
      <formula>0</formula>
    </cfRule>
    <cfRule type="cellIs" priority="385" operator="lessThan" aboveAverage="0" equalAverage="0" bottom="0" percent="0" rank="0" text="" dxfId="1">
      <formula>0</formula>
    </cfRule>
  </conditionalFormatting>
  <conditionalFormatting sqref="H69">
    <cfRule type="cellIs" priority="386" operator="greaterThan" aboveAverage="0" equalAverage="0" bottom="0" percent="0" rank="0" text="" dxfId="0">
      <formula>0</formula>
    </cfRule>
    <cfRule type="cellIs" priority="387" operator="lessThan" aboveAverage="0" equalAverage="0" bottom="0" percent="0" rank="0" text="" dxfId="1">
      <formula>0</formula>
    </cfRule>
  </conditionalFormatting>
  <conditionalFormatting sqref="I69">
    <cfRule type="cellIs" priority="388" operator="greaterThan" aboveAverage="0" equalAverage="0" bottom="0" percent="0" rank="0" text="" dxfId="0">
      <formula>0</formula>
    </cfRule>
    <cfRule type="cellIs" priority="389" operator="lessThan" aboveAverage="0" equalAverage="0" bottom="0" percent="0" rank="0" text="" dxfId="1">
      <formula>0</formula>
    </cfRule>
  </conditionalFormatting>
  <conditionalFormatting sqref="J69">
    <cfRule type="cellIs" priority="390" operator="greaterThan" aboveAverage="0" equalAverage="0" bottom="0" percent="0" rank="0" text="" dxfId="0">
      <formula>0</formula>
    </cfRule>
    <cfRule type="cellIs" priority="391" operator="lessThan" aboveAverage="0" equalAverage="0" bottom="0" percent="0" rank="0" text="" dxfId="1">
      <formula>0</formula>
    </cfRule>
  </conditionalFormatting>
  <conditionalFormatting sqref="H70">
    <cfRule type="cellIs" priority="392" operator="greaterThan" aboveAverage="0" equalAverage="0" bottom="0" percent="0" rank="0" text="" dxfId="0">
      <formula>0</formula>
    </cfRule>
    <cfRule type="cellIs" priority="393" operator="lessThan" aboveAverage="0" equalAverage="0" bottom="0" percent="0" rank="0" text="" dxfId="1">
      <formula>0</formula>
    </cfRule>
  </conditionalFormatting>
  <conditionalFormatting sqref="I70">
    <cfRule type="cellIs" priority="394" operator="greaterThan" aboveAverage="0" equalAverage="0" bottom="0" percent="0" rank="0" text="" dxfId="0">
      <formula>0</formula>
    </cfRule>
    <cfRule type="cellIs" priority="395" operator="lessThan" aboveAverage="0" equalAverage="0" bottom="0" percent="0" rank="0" text="" dxfId="1">
      <formula>0</formula>
    </cfRule>
  </conditionalFormatting>
  <conditionalFormatting sqref="J70">
    <cfRule type="cellIs" priority="396" operator="greaterThan" aboveAverage="0" equalAverage="0" bottom="0" percent="0" rank="0" text="" dxfId="0">
      <formula>0</formula>
    </cfRule>
    <cfRule type="cellIs" priority="397" operator="lessThan" aboveAverage="0" equalAverage="0" bottom="0" percent="0" rank="0" text="" dxfId="1">
      <formula>0</formula>
    </cfRule>
  </conditionalFormatting>
  <conditionalFormatting sqref="H71">
    <cfRule type="cellIs" priority="398" operator="greaterThan" aboveAverage="0" equalAverage="0" bottom="0" percent="0" rank="0" text="" dxfId="0">
      <formula>0</formula>
    </cfRule>
    <cfRule type="cellIs" priority="399" operator="lessThan" aboveAverage="0" equalAverage="0" bottom="0" percent="0" rank="0" text="" dxfId="1">
      <formula>0</formula>
    </cfRule>
  </conditionalFormatting>
  <conditionalFormatting sqref="I71">
    <cfRule type="cellIs" priority="400" operator="greaterThan" aboveAverage="0" equalAverage="0" bottom="0" percent="0" rank="0" text="" dxfId="0">
      <formula>0</formula>
    </cfRule>
    <cfRule type="cellIs" priority="401" operator="lessThan" aboveAverage="0" equalAverage="0" bottom="0" percent="0" rank="0" text="" dxfId="1">
      <formula>0</formula>
    </cfRule>
  </conditionalFormatting>
  <conditionalFormatting sqref="J71">
    <cfRule type="cellIs" priority="402" operator="greaterThan" aboveAverage="0" equalAverage="0" bottom="0" percent="0" rank="0" text="" dxfId="0">
      <formula>0</formula>
    </cfRule>
    <cfRule type="cellIs" priority="403" operator="lessThan" aboveAverage="0" equalAverage="0" bottom="0" percent="0" rank="0" text="" dxfId="1">
      <formula>0</formula>
    </cfRule>
  </conditionalFormatting>
  <conditionalFormatting sqref="H72">
    <cfRule type="cellIs" priority="404" operator="greaterThan" aboveAverage="0" equalAverage="0" bottom="0" percent="0" rank="0" text="" dxfId="0">
      <formula>0</formula>
    </cfRule>
    <cfRule type="cellIs" priority="405" operator="lessThan" aboveAverage="0" equalAverage="0" bottom="0" percent="0" rank="0" text="" dxfId="1">
      <formula>0</formula>
    </cfRule>
  </conditionalFormatting>
  <conditionalFormatting sqref="I72">
    <cfRule type="cellIs" priority="406" operator="greaterThan" aboveAverage="0" equalAverage="0" bottom="0" percent="0" rank="0" text="" dxfId="0">
      <formula>0</formula>
    </cfRule>
    <cfRule type="cellIs" priority="407" operator="lessThan" aboveAverage="0" equalAverage="0" bottom="0" percent="0" rank="0" text="" dxfId="1">
      <formula>0</formula>
    </cfRule>
  </conditionalFormatting>
  <conditionalFormatting sqref="J72">
    <cfRule type="cellIs" priority="408" operator="greaterThan" aboveAverage="0" equalAverage="0" bottom="0" percent="0" rank="0" text="" dxfId="0">
      <formula>0</formula>
    </cfRule>
    <cfRule type="cellIs" priority="409" operator="lessThan" aboveAverage="0" equalAverage="0" bottom="0" percent="0" rank="0" text="" dxfId="1">
      <formula>0</formula>
    </cfRule>
  </conditionalFormatting>
  <conditionalFormatting sqref="H73">
    <cfRule type="cellIs" priority="410" operator="greaterThan" aboveAverage="0" equalAverage="0" bottom="0" percent="0" rank="0" text="" dxfId="0">
      <formula>0</formula>
    </cfRule>
    <cfRule type="cellIs" priority="411" operator="lessThan" aboveAverage="0" equalAverage="0" bottom="0" percent="0" rank="0" text="" dxfId="1">
      <formula>0</formula>
    </cfRule>
  </conditionalFormatting>
  <conditionalFormatting sqref="I73">
    <cfRule type="cellIs" priority="412" operator="greaterThan" aboveAverage="0" equalAverage="0" bottom="0" percent="0" rank="0" text="" dxfId="0">
      <formula>0</formula>
    </cfRule>
    <cfRule type="cellIs" priority="413" operator="lessThan" aboveAverage="0" equalAverage="0" bottom="0" percent="0" rank="0" text="" dxfId="1">
      <formula>0</formula>
    </cfRule>
  </conditionalFormatting>
  <conditionalFormatting sqref="J73">
    <cfRule type="cellIs" priority="414" operator="greaterThan" aboveAverage="0" equalAverage="0" bottom="0" percent="0" rank="0" text="" dxfId="0">
      <formula>0</formula>
    </cfRule>
    <cfRule type="cellIs" priority="415" operator="lessThan" aboveAverage="0" equalAverage="0" bottom="0" percent="0" rank="0" text="" dxfId="1">
      <formula>0</formula>
    </cfRule>
  </conditionalFormatting>
  <conditionalFormatting sqref="H74">
    <cfRule type="cellIs" priority="416" operator="greaterThan" aboveAverage="0" equalAverage="0" bottom="0" percent="0" rank="0" text="" dxfId="0">
      <formula>0</formula>
    </cfRule>
    <cfRule type="cellIs" priority="417" operator="lessThan" aboveAverage="0" equalAverage="0" bottom="0" percent="0" rank="0" text="" dxfId="1">
      <formula>0</formula>
    </cfRule>
  </conditionalFormatting>
  <conditionalFormatting sqref="I74">
    <cfRule type="cellIs" priority="418" operator="greaterThan" aboveAverage="0" equalAverage="0" bottom="0" percent="0" rank="0" text="" dxfId="0">
      <formula>0</formula>
    </cfRule>
    <cfRule type="cellIs" priority="419" operator="lessThan" aboveAverage="0" equalAverage="0" bottom="0" percent="0" rank="0" text="" dxfId="1">
      <formula>0</formula>
    </cfRule>
  </conditionalFormatting>
  <conditionalFormatting sqref="J74">
    <cfRule type="cellIs" priority="420" operator="greaterThan" aboveAverage="0" equalAverage="0" bottom="0" percent="0" rank="0" text="" dxfId="0">
      <formula>0</formula>
    </cfRule>
    <cfRule type="cellIs" priority="421" operator="lessThan" aboveAverage="0" equalAverage="0" bottom="0" percent="0" rank="0" text="" dxfId="1">
      <formula>0</formula>
    </cfRule>
  </conditionalFormatting>
  <conditionalFormatting sqref="H75">
    <cfRule type="cellIs" priority="422" operator="greaterThan" aboveAverage="0" equalAverage="0" bottom="0" percent="0" rank="0" text="" dxfId="0">
      <formula>0</formula>
    </cfRule>
    <cfRule type="cellIs" priority="423" operator="lessThan" aboveAverage="0" equalAverage="0" bottom="0" percent="0" rank="0" text="" dxfId="1">
      <formula>0</formula>
    </cfRule>
  </conditionalFormatting>
  <conditionalFormatting sqref="I75">
    <cfRule type="cellIs" priority="424" operator="greaterThan" aboveAverage="0" equalAverage="0" bottom="0" percent="0" rank="0" text="" dxfId="0">
      <formula>0</formula>
    </cfRule>
    <cfRule type="cellIs" priority="425" operator="lessThan" aboveAverage="0" equalAverage="0" bottom="0" percent="0" rank="0" text="" dxfId="1">
      <formula>0</formula>
    </cfRule>
  </conditionalFormatting>
  <conditionalFormatting sqref="J75">
    <cfRule type="cellIs" priority="426" operator="greaterThan" aboveAverage="0" equalAverage="0" bottom="0" percent="0" rank="0" text="" dxfId="0">
      <formula>0</formula>
    </cfRule>
    <cfRule type="cellIs" priority="427" operator="lessThan" aboveAverage="0" equalAverage="0" bottom="0" percent="0" rank="0" text="" dxfId="1">
      <formula>0</formula>
    </cfRule>
  </conditionalFormatting>
  <conditionalFormatting sqref="H76">
    <cfRule type="cellIs" priority="428" operator="greaterThan" aboveAverage="0" equalAverage="0" bottom="0" percent="0" rank="0" text="" dxfId="0">
      <formula>0</formula>
    </cfRule>
    <cfRule type="cellIs" priority="429" operator="lessThan" aboveAverage="0" equalAverage="0" bottom="0" percent="0" rank="0" text="" dxfId="1">
      <formula>0</formula>
    </cfRule>
  </conditionalFormatting>
  <conditionalFormatting sqref="I76">
    <cfRule type="cellIs" priority="430" operator="greaterThan" aboveAverage="0" equalAverage="0" bottom="0" percent="0" rank="0" text="" dxfId="0">
      <formula>0</formula>
    </cfRule>
    <cfRule type="cellIs" priority="431" operator="lessThan" aboveAverage="0" equalAverage="0" bottom="0" percent="0" rank="0" text="" dxfId="1">
      <formula>0</formula>
    </cfRule>
  </conditionalFormatting>
  <conditionalFormatting sqref="J76">
    <cfRule type="cellIs" priority="432" operator="greaterThan" aboveAverage="0" equalAverage="0" bottom="0" percent="0" rank="0" text="" dxfId="0">
      <formula>0</formula>
    </cfRule>
    <cfRule type="cellIs" priority="433" operator="lessThan" aboveAverage="0" equalAverage="0" bottom="0" percent="0" rank="0" text="" dxfId="1">
      <formula>0</formula>
    </cfRule>
  </conditionalFormatting>
  <conditionalFormatting sqref="H77">
    <cfRule type="cellIs" priority="434" operator="greaterThan" aboveAverage="0" equalAverage="0" bottom="0" percent="0" rank="0" text="" dxfId="0">
      <formula>0</formula>
    </cfRule>
    <cfRule type="cellIs" priority="435" operator="lessThan" aboveAverage="0" equalAverage="0" bottom="0" percent="0" rank="0" text="" dxfId="1">
      <formula>0</formula>
    </cfRule>
  </conditionalFormatting>
  <conditionalFormatting sqref="I77">
    <cfRule type="cellIs" priority="436" operator="greaterThan" aboveAverage="0" equalAverage="0" bottom="0" percent="0" rank="0" text="" dxfId="0">
      <formula>0</formula>
    </cfRule>
    <cfRule type="cellIs" priority="437" operator="lessThan" aboveAverage="0" equalAverage="0" bottom="0" percent="0" rank="0" text="" dxfId="1">
      <formula>0</formula>
    </cfRule>
  </conditionalFormatting>
  <conditionalFormatting sqref="J77">
    <cfRule type="cellIs" priority="438" operator="greaterThan" aboveAverage="0" equalAverage="0" bottom="0" percent="0" rank="0" text="" dxfId="0">
      <formula>0</formula>
    </cfRule>
    <cfRule type="cellIs" priority="439" operator="lessThan" aboveAverage="0" equalAverage="0" bottom="0" percent="0" rank="0" text="" dxfId="1">
      <formula>0</formula>
    </cfRule>
  </conditionalFormatting>
  <conditionalFormatting sqref="H78">
    <cfRule type="cellIs" priority="440" operator="greaterThan" aboveAverage="0" equalAverage="0" bottom="0" percent="0" rank="0" text="" dxfId="0">
      <formula>0</formula>
    </cfRule>
    <cfRule type="cellIs" priority="441" operator="lessThan" aboveAverage="0" equalAverage="0" bottom="0" percent="0" rank="0" text="" dxfId="1">
      <formula>0</formula>
    </cfRule>
  </conditionalFormatting>
  <conditionalFormatting sqref="I78">
    <cfRule type="cellIs" priority="442" operator="greaterThan" aboveAverage="0" equalAverage="0" bottom="0" percent="0" rank="0" text="" dxfId="0">
      <formula>0</formula>
    </cfRule>
    <cfRule type="cellIs" priority="443" operator="lessThan" aboveAverage="0" equalAverage="0" bottom="0" percent="0" rank="0" text="" dxfId="1">
      <formula>0</formula>
    </cfRule>
  </conditionalFormatting>
  <conditionalFormatting sqref="J78">
    <cfRule type="cellIs" priority="444" operator="greaterThan" aboveAverage="0" equalAverage="0" bottom="0" percent="0" rank="0" text="" dxfId="0">
      <formula>0</formula>
    </cfRule>
    <cfRule type="cellIs" priority="445" operator="lessThan" aboveAverage="0" equalAverage="0" bottom="0" percent="0" rank="0" text="" dxfId="1">
      <formula>0</formula>
    </cfRule>
  </conditionalFormatting>
  <conditionalFormatting sqref="H79">
    <cfRule type="cellIs" priority="446" operator="greaterThan" aboveAverage="0" equalAverage="0" bottom="0" percent="0" rank="0" text="" dxfId="0">
      <formula>0</formula>
    </cfRule>
    <cfRule type="cellIs" priority="447" operator="lessThan" aboveAverage="0" equalAverage="0" bottom="0" percent="0" rank="0" text="" dxfId="1">
      <formula>0</formula>
    </cfRule>
  </conditionalFormatting>
  <conditionalFormatting sqref="I79">
    <cfRule type="cellIs" priority="448" operator="greaterThan" aboveAverage="0" equalAverage="0" bottom="0" percent="0" rank="0" text="" dxfId="0">
      <formula>0</formula>
    </cfRule>
    <cfRule type="cellIs" priority="449" operator="lessThan" aboveAverage="0" equalAverage="0" bottom="0" percent="0" rank="0" text="" dxfId="1">
      <formula>0</formula>
    </cfRule>
  </conditionalFormatting>
  <conditionalFormatting sqref="J79">
    <cfRule type="cellIs" priority="450" operator="greaterThan" aboveAverage="0" equalAverage="0" bottom="0" percent="0" rank="0" text="" dxfId="0">
      <formula>0</formula>
    </cfRule>
    <cfRule type="cellIs" priority="451" operator="lessThan" aboveAverage="0" equalAverage="0" bottom="0" percent="0" rank="0" text="" dxfId="1">
      <formula>0</formula>
    </cfRule>
  </conditionalFormatting>
  <conditionalFormatting sqref="H80">
    <cfRule type="cellIs" priority="452" operator="greaterThan" aboveAverage="0" equalAverage="0" bottom="0" percent="0" rank="0" text="" dxfId="0">
      <formula>0</formula>
    </cfRule>
    <cfRule type="cellIs" priority="453" operator="lessThan" aboveAverage="0" equalAverage="0" bottom="0" percent="0" rank="0" text="" dxfId="1">
      <formula>0</formula>
    </cfRule>
  </conditionalFormatting>
  <conditionalFormatting sqref="I80">
    <cfRule type="cellIs" priority="454" operator="greaterThan" aboveAverage="0" equalAverage="0" bottom="0" percent="0" rank="0" text="" dxfId="0">
      <formula>0</formula>
    </cfRule>
    <cfRule type="cellIs" priority="455" operator="lessThan" aboveAverage="0" equalAverage="0" bottom="0" percent="0" rank="0" text="" dxfId="1">
      <formula>0</formula>
    </cfRule>
  </conditionalFormatting>
  <conditionalFormatting sqref="J80">
    <cfRule type="cellIs" priority="456" operator="greaterThan" aboveAverage="0" equalAverage="0" bottom="0" percent="0" rank="0" text="" dxfId="0">
      <formula>0</formula>
    </cfRule>
    <cfRule type="cellIs" priority="457" operator="lessThan" aboveAverage="0" equalAverage="0" bottom="0" percent="0" rank="0" text="" dxfId="1">
      <formula>0</formula>
    </cfRule>
  </conditionalFormatting>
  <conditionalFormatting sqref="H81">
    <cfRule type="cellIs" priority="458" operator="greaterThan" aboveAverage="0" equalAverage="0" bottom="0" percent="0" rank="0" text="" dxfId="0">
      <formula>0</formula>
    </cfRule>
    <cfRule type="cellIs" priority="459" operator="lessThan" aboveAverage="0" equalAverage="0" bottom="0" percent="0" rank="0" text="" dxfId="1">
      <formula>0</formula>
    </cfRule>
  </conditionalFormatting>
  <conditionalFormatting sqref="I81">
    <cfRule type="cellIs" priority="460" operator="greaterThan" aboveAverage="0" equalAverage="0" bottom="0" percent="0" rank="0" text="" dxfId="0">
      <formula>0</formula>
    </cfRule>
    <cfRule type="cellIs" priority="461" operator="lessThan" aboveAverage="0" equalAverage="0" bottom="0" percent="0" rank="0" text="" dxfId="1">
      <formula>0</formula>
    </cfRule>
  </conditionalFormatting>
  <conditionalFormatting sqref="J81">
    <cfRule type="cellIs" priority="462" operator="greaterThan" aboveAverage="0" equalAverage="0" bottom="0" percent="0" rank="0" text="" dxfId="0">
      <formula>0</formula>
    </cfRule>
    <cfRule type="cellIs" priority="463" operator="lessThan" aboveAverage="0" equalAverage="0" bottom="0" percent="0" rank="0" text="" dxfId="1">
      <formula>0</formula>
    </cfRule>
  </conditionalFormatting>
  <conditionalFormatting sqref="H82">
    <cfRule type="cellIs" priority="464" operator="greaterThan" aboveAverage="0" equalAverage="0" bottom="0" percent="0" rank="0" text="" dxfId="0">
      <formula>0</formula>
    </cfRule>
    <cfRule type="cellIs" priority="465" operator="lessThan" aboveAverage="0" equalAverage="0" bottom="0" percent="0" rank="0" text="" dxfId="1">
      <formula>0</formula>
    </cfRule>
  </conditionalFormatting>
  <conditionalFormatting sqref="I82">
    <cfRule type="cellIs" priority="466" operator="greaterThan" aboveAverage="0" equalAverage="0" bottom="0" percent="0" rank="0" text="" dxfId="0">
      <formula>0</formula>
    </cfRule>
    <cfRule type="cellIs" priority="467" operator="lessThan" aboveAverage="0" equalAverage="0" bottom="0" percent="0" rank="0" text="" dxfId="1">
      <formula>0</formula>
    </cfRule>
  </conditionalFormatting>
  <conditionalFormatting sqref="J82">
    <cfRule type="cellIs" priority="468" operator="greaterThan" aboveAverage="0" equalAverage="0" bottom="0" percent="0" rank="0" text="" dxfId="0">
      <formula>0</formula>
    </cfRule>
    <cfRule type="cellIs" priority="469" operator="lessThan" aboveAverage="0" equalAverage="0" bottom="0" percent="0" rank="0" text="" dxfId="1">
      <formula>0</formula>
    </cfRule>
  </conditionalFormatting>
  <conditionalFormatting sqref="H83">
    <cfRule type="cellIs" priority="470" operator="greaterThan" aboveAverage="0" equalAverage="0" bottom="0" percent="0" rank="0" text="" dxfId="0">
      <formula>0</formula>
    </cfRule>
    <cfRule type="cellIs" priority="471" operator="lessThan" aboveAverage="0" equalAverage="0" bottom="0" percent="0" rank="0" text="" dxfId="1">
      <formula>0</formula>
    </cfRule>
  </conditionalFormatting>
  <conditionalFormatting sqref="I83">
    <cfRule type="cellIs" priority="472" operator="greaterThan" aboveAverage="0" equalAverage="0" bottom="0" percent="0" rank="0" text="" dxfId="0">
      <formula>0</formula>
    </cfRule>
    <cfRule type="cellIs" priority="473" operator="lessThan" aboveAverage="0" equalAverage="0" bottom="0" percent="0" rank="0" text="" dxfId="1">
      <formula>0</formula>
    </cfRule>
  </conditionalFormatting>
  <conditionalFormatting sqref="J83">
    <cfRule type="cellIs" priority="474" operator="greaterThan" aboveAverage="0" equalAverage="0" bottom="0" percent="0" rank="0" text="" dxfId="0">
      <formula>0</formula>
    </cfRule>
    <cfRule type="cellIs" priority="475" operator="lessThan" aboveAverage="0" equalAverage="0" bottom="0" percent="0" rank="0" text="" dxfId="1">
      <formula>0</formula>
    </cfRule>
  </conditionalFormatting>
  <conditionalFormatting sqref="H84">
    <cfRule type="cellIs" priority="476" operator="greaterThan" aboveAverage="0" equalAverage="0" bottom="0" percent="0" rank="0" text="" dxfId="0">
      <formula>0</formula>
    </cfRule>
    <cfRule type="cellIs" priority="477" operator="lessThan" aboveAverage="0" equalAverage="0" bottom="0" percent="0" rank="0" text="" dxfId="1">
      <formula>0</formula>
    </cfRule>
  </conditionalFormatting>
  <conditionalFormatting sqref="I84">
    <cfRule type="cellIs" priority="478" operator="greaterThan" aboveAverage="0" equalAverage="0" bottom="0" percent="0" rank="0" text="" dxfId="0">
      <formula>0</formula>
    </cfRule>
    <cfRule type="cellIs" priority="479" operator="lessThan" aboveAverage="0" equalAverage="0" bottom="0" percent="0" rank="0" text="" dxfId="1">
      <formula>0</formula>
    </cfRule>
  </conditionalFormatting>
  <conditionalFormatting sqref="J84">
    <cfRule type="cellIs" priority="480" operator="greaterThan" aboveAverage="0" equalAverage="0" bottom="0" percent="0" rank="0" text="" dxfId="0">
      <formula>0</formula>
    </cfRule>
    <cfRule type="cellIs" priority="481" operator="lessThan" aboveAverage="0" equalAverage="0" bottom="0" percent="0" rank="0" text="" dxfId="1">
      <formula>0</formula>
    </cfRule>
  </conditionalFormatting>
  <conditionalFormatting sqref="H85">
    <cfRule type="cellIs" priority="482" operator="greaterThan" aboveAverage="0" equalAverage="0" bottom="0" percent="0" rank="0" text="" dxfId="0">
      <formula>0</formula>
    </cfRule>
    <cfRule type="cellIs" priority="483" operator="lessThan" aboveAverage="0" equalAverage="0" bottom="0" percent="0" rank="0" text="" dxfId="1">
      <formula>0</formula>
    </cfRule>
  </conditionalFormatting>
  <conditionalFormatting sqref="I85">
    <cfRule type="cellIs" priority="484" operator="greaterThan" aboveAverage="0" equalAverage="0" bottom="0" percent="0" rank="0" text="" dxfId="0">
      <formula>0</formula>
    </cfRule>
    <cfRule type="cellIs" priority="485" operator="lessThan" aboveAverage="0" equalAverage="0" bottom="0" percent="0" rank="0" text="" dxfId="1">
      <formula>0</formula>
    </cfRule>
  </conditionalFormatting>
  <conditionalFormatting sqref="J85">
    <cfRule type="cellIs" priority="486" operator="greaterThan" aboveAverage="0" equalAverage="0" bottom="0" percent="0" rank="0" text="" dxfId="0">
      <formula>0</formula>
    </cfRule>
    <cfRule type="cellIs" priority="487" operator="lessThan" aboveAverage="0" equalAverage="0" bottom="0" percent="0" rank="0" text="" dxfId="1">
      <formula>0</formula>
    </cfRule>
  </conditionalFormatting>
  <conditionalFormatting sqref="H86">
    <cfRule type="cellIs" priority="488" operator="greaterThan" aboveAverage="0" equalAverage="0" bottom="0" percent="0" rank="0" text="" dxfId="0">
      <formula>0</formula>
    </cfRule>
    <cfRule type="cellIs" priority="489" operator="lessThan" aboveAverage="0" equalAverage="0" bottom="0" percent="0" rank="0" text="" dxfId="1">
      <formula>0</formula>
    </cfRule>
  </conditionalFormatting>
  <conditionalFormatting sqref="I86">
    <cfRule type="cellIs" priority="490" operator="greaterThan" aboveAverage="0" equalAverage="0" bottom="0" percent="0" rank="0" text="" dxfId="0">
      <formula>0</formula>
    </cfRule>
    <cfRule type="cellIs" priority="491" operator="lessThan" aboveAverage="0" equalAverage="0" bottom="0" percent="0" rank="0" text="" dxfId="1">
      <formula>0</formula>
    </cfRule>
  </conditionalFormatting>
  <conditionalFormatting sqref="J86">
    <cfRule type="cellIs" priority="492" operator="greaterThan" aboveAverage="0" equalAverage="0" bottom="0" percent="0" rank="0" text="" dxfId="0">
      <formula>0</formula>
    </cfRule>
    <cfRule type="cellIs" priority="493" operator="lessThan" aboveAverage="0" equalAverage="0" bottom="0" percent="0" rank="0" text="" dxfId="1">
      <formula>0</formula>
    </cfRule>
  </conditionalFormatting>
  <conditionalFormatting sqref="H87">
    <cfRule type="cellIs" priority="494" operator="greaterThan" aboveAverage="0" equalAverage="0" bottom="0" percent="0" rank="0" text="" dxfId="0">
      <formula>0</formula>
    </cfRule>
    <cfRule type="cellIs" priority="495" operator="lessThan" aboveAverage="0" equalAverage="0" bottom="0" percent="0" rank="0" text="" dxfId="1">
      <formula>0</formula>
    </cfRule>
  </conditionalFormatting>
  <conditionalFormatting sqref="I87">
    <cfRule type="cellIs" priority="496" operator="greaterThan" aboveAverage="0" equalAverage="0" bottom="0" percent="0" rank="0" text="" dxfId="0">
      <formula>0</formula>
    </cfRule>
    <cfRule type="cellIs" priority="497" operator="lessThan" aboveAverage="0" equalAverage="0" bottom="0" percent="0" rank="0" text="" dxfId="1">
      <formula>0</formula>
    </cfRule>
  </conditionalFormatting>
  <conditionalFormatting sqref="J87">
    <cfRule type="cellIs" priority="498" operator="greaterThan" aboveAverage="0" equalAverage="0" bottom="0" percent="0" rank="0" text="" dxfId="0">
      <formula>0</formula>
    </cfRule>
    <cfRule type="cellIs" priority="499" operator="lessThan" aboveAverage="0" equalAverage="0" bottom="0" percent="0" rank="0" text="" dxfId="1">
      <formula>0</formula>
    </cfRule>
  </conditionalFormatting>
  <conditionalFormatting sqref="H88">
    <cfRule type="cellIs" priority="500" operator="greaterThan" aboveAverage="0" equalAverage="0" bottom="0" percent="0" rank="0" text="" dxfId="0">
      <formula>0</formula>
    </cfRule>
    <cfRule type="cellIs" priority="501" operator="lessThan" aboveAverage="0" equalAverage="0" bottom="0" percent="0" rank="0" text="" dxfId="1">
      <formula>0</formula>
    </cfRule>
  </conditionalFormatting>
  <conditionalFormatting sqref="I88">
    <cfRule type="cellIs" priority="502" operator="greaterThan" aboveAverage="0" equalAverage="0" bottom="0" percent="0" rank="0" text="" dxfId="0">
      <formula>0</formula>
    </cfRule>
    <cfRule type="cellIs" priority="503" operator="lessThan" aboveAverage="0" equalAverage="0" bottom="0" percent="0" rank="0" text="" dxfId="1">
      <formula>0</formula>
    </cfRule>
  </conditionalFormatting>
  <conditionalFormatting sqref="J88">
    <cfRule type="cellIs" priority="504" operator="greaterThan" aboveAverage="0" equalAverage="0" bottom="0" percent="0" rank="0" text="" dxfId="0">
      <formula>0</formula>
    </cfRule>
    <cfRule type="cellIs" priority="505" operator="lessThan" aboveAverage="0" equalAverage="0" bottom="0" percent="0" rank="0" text="" dxfId="1">
      <formula>0</formula>
    </cfRule>
  </conditionalFormatting>
  <conditionalFormatting sqref="H89">
    <cfRule type="cellIs" priority="506" operator="greaterThan" aboveAverage="0" equalAverage="0" bottom="0" percent="0" rank="0" text="" dxfId="0">
      <formula>0</formula>
    </cfRule>
    <cfRule type="cellIs" priority="507" operator="lessThan" aboveAverage="0" equalAverage="0" bottom="0" percent="0" rank="0" text="" dxfId="1">
      <formula>0</formula>
    </cfRule>
  </conditionalFormatting>
  <conditionalFormatting sqref="I89">
    <cfRule type="cellIs" priority="508" operator="greaterThan" aboveAverage="0" equalAverage="0" bottom="0" percent="0" rank="0" text="" dxfId="0">
      <formula>0</formula>
    </cfRule>
    <cfRule type="cellIs" priority="509" operator="lessThan" aboveAverage="0" equalAverage="0" bottom="0" percent="0" rank="0" text="" dxfId="1">
      <formula>0</formula>
    </cfRule>
  </conditionalFormatting>
  <conditionalFormatting sqref="J89">
    <cfRule type="cellIs" priority="510" operator="greaterThan" aboveAverage="0" equalAverage="0" bottom="0" percent="0" rank="0" text="" dxfId="0">
      <formula>0</formula>
    </cfRule>
    <cfRule type="cellIs" priority="511" operator="lessThan" aboveAverage="0" equalAverage="0" bottom="0" percent="0" rank="0" text="" dxfId="1">
      <formula>0</formula>
    </cfRule>
  </conditionalFormatting>
  <conditionalFormatting sqref="H90">
    <cfRule type="cellIs" priority="512" operator="greaterThan" aboveAverage="0" equalAverage="0" bottom="0" percent="0" rank="0" text="" dxfId="0">
      <formula>0</formula>
    </cfRule>
    <cfRule type="cellIs" priority="513" operator="lessThan" aboveAverage="0" equalAverage="0" bottom="0" percent="0" rank="0" text="" dxfId="1">
      <formula>0</formula>
    </cfRule>
  </conditionalFormatting>
  <conditionalFormatting sqref="I90">
    <cfRule type="cellIs" priority="514" operator="greaterThan" aboveAverage="0" equalAverage="0" bottom="0" percent="0" rank="0" text="" dxfId="0">
      <formula>0</formula>
    </cfRule>
    <cfRule type="cellIs" priority="515" operator="lessThan" aboveAverage="0" equalAverage="0" bottom="0" percent="0" rank="0" text="" dxfId="1">
      <formula>0</formula>
    </cfRule>
  </conditionalFormatting>
  <conditionalFormatting sqref="J90">
    <cfRule type="cellIs" priority="516" operator="greaterThan" aboveAverage="0" equalAverage="0" bottom="0" percent="0" rank="0" text="" dxfId="0">
      <formula>0</formula>
    </cfRule>
    <cfRule type="cellIs" priority="517" operator="lessThan" aboveAverage="0" equalAverage="0" bottom="0" percent="0" rank="0" text="" dxfId="1">
      <formula>0</formula>
    </cfRule>
  </conditionalFormatting>
  <conditionalFormatting sqref="H91">
    <cfRule type="cellIs" priority="518" operator="greaterThan" aboveAverage="0" equalAverage="0" bottom="0" percent="0" rank="0" text="" dxfId="0">
      <formula>0</formula>
    </cfRule>
    <cfRule type="cellIs" priority="519" operator="lessThan" aboveAverage="0" equalAverage="0" bottom="0" percent="0" rank="0" text="" dxfId="1">
      <formula>0</formula>
    </cfRule>
  </conditionalFormatting>
  <conditionalFormatting sqref="I91">
    <cfRule type="cellIs" priority="520" operator="greaterThan" aboveAverage="0" equalAverage="0" bottom="0" percent="0" rank="0" text="" dxfId="0">
      <formula>0</formula>
    </cfRule>
    <cfRule type="cellIs" priority="521" operator="lessThan" aboveAverage="0" equalAverage="0" bottom="0" percent="0" rank="0" text="" dxfId="1">
      <formula>0</formula>
    </cfRule>
  </conditionalFormatting>
  <conditionalFormatting sqref="J91">
    <cfRule type="cellIs" priority="522" operator="greaterThan" aboveAverage="0" equalAverage="0" bottom="0" percent="0" rank="0" text="" dxfId="0">
      <formula>0</formula>
    </cfRule>
    <cfRule type="cellIs" priority="523" operator="lessThan" aboveAverage="0" equalAverage="0" bottom="0" percent="0" rank="0" text="" dxfId="1">
      <formula>0</formula>
    </cfRule>
  </conditionalFormatting>
  <conditionalFormatting sqref="H92">
    <cfRule type="cellIs" priority="524" operator="greaterThan" aboveAverage="0" equalAverage="0" bottom="0" percent="0" rank="0" text="" dxfId="0">
      <formula>0</formula>
    </cfRule>
    <cfRule type="cellIs" priority="525" operator="lessThan" aboveAverage="0" equalAverage="0" bottom="0" percent="0" rank="0" text="" dxfId="1">
      <formula>0</formula>
    </cfRule>
  </conditionalFormatting>
  <conditionalFormatting sqref="I92">
    <cfRule type="cellIs" priority="526" operator="greaterThan" aboveAverage="0" equalAverage="0" bottom="0" percent="0" rank="0" text="" dxfId="0">
      <formula>0</formula>
    </cfRule>
    <cfRule type="cellIs" priority="527" operator="lessThan" aboveAverage="0" equalAverage="0" bottom="0" percent="0" rank="0" text="" dxfId="1">
      <formula>0</formula>
    </cfRule>
  </conditionalFormatting>
  <conditionalFormatting sqref="J92">
    <cfRule type="cellIs" priority="528" operator="greaterThan" aboveAverage="0" equalAverage="0" bottom="0" percent="0" rank="0" text="" dxfId="0">
      <formula>0</formula>
    </cfRule>
    <cfRule type="cellIs" priority="529" operator="lessThan" aboveAverage="0" equalAverage="0" bottom="0" percent="0" rank="0" text="" dxfId="1">
      <formula>0</formula>
    </cfRule>
  </conditionalFormatting>
  <conditionalFormatting sqref="H93">
    <cfRule type="cellIs" priority="530" operator="greaterThan" aboveAverage="0" equalAverage="0" bottom="0" percent="0" rank="0" text="" dxfId="0">
      <formula>0</formula>
    </cfRule>
    <cfRule type="cellIs" priority="531" operator="lessThan" aboveAverage="0" equalAverage="0" bottom="0" percent="0" rank="0" text="" dxfId="1">
      <formula>0</formula>
    </cfRule>
  </conditionalFormatting>
  <conditionalFormatting sqref="I93">
    <cfRule type="cellIs" priority="532" operator="greaterThan" aboveAverage="0" equalAverage="0" bottom="0" percent="0" rank="0" text="" dxfId="0">
      <formula>0</formula>
    </cfRule>
    <cfRule type="cellIs" priority="533" operator="lessThan" aboveAverage="0" equalAverage="0" bottom="0" percent="0" rank="0" text="" dxfId="1">
      <formula>0</formula>
    </cfRule>
  </conditionalFormatting>
  <conditionalFormatting sqref="J93">
    <cfRule type="cellIs" priority="534" operator="greaterThan" aboveAverage="0" equalAverage="0" bottom="0" percent="0" rank="0" text="" dxfId="0">
      <formula>0</formula>
    </cfRule>
    <cfRule type="cellIs" priority="535" operator="lessThan" aboveAverage="0" equalAverage="0" bottom="0" percent="0" rank="0" text="" dxfId="1">
      <formula>0</formula>
    </cfRule>
  </conditionalFormatting>
  <conditionalFormatting sqref="H94">
    <cfRule type="cellIs" priority="536" operator="greaterThan" aboveAverage="0" equalAverage="0" bottom="0" percent="0" rank="0" text="" dxfId="0">
      <formula>0</formula>
    </cfRule>
    <cfRule type="cellIs" priority="537" operator="lessThan" aboveAverage="0" equalAverage="0" bottom="0" percent="0" rank="0" text="" dxfId="1">
      <formula>0</formula>
    </cfRule>
  </conditionalFormatting>
  <conditionalFormatting sqref="I94">
    <cfRule type="cellIs" priority="538" operator="greaterThan" aboveAverage="0" equalAverage="0" bottom="0" percent="0" rank="0" text="" dxfId="0">
      <formula>0</formula>
    </cfRule>
    <cfRule type="cellIs" priority="539" operator="lessThan" aboveAverage="0" equalAverage="0" bottom="0" percent="0" rank="0" text="" dxfId="1">
      <formula>0</formula>
    </cfRule>
  </conditionalFormatting>
  <conditionalFormatting sqref="J94">
    <cfRule type="cellIs" priority="540" operator="greaterThan" aboveAverage="0" equalAverage="0" bottom="0" percent="0" rank="0" text="" dxfId="0">
      <formula>0</formula>
    </cfRule>
    <cfRule type="cellIs" priority="541" operator="lessThan" aboveAverage="0" equalAverage="0" bottom="0" percent="0" rank="0" text="" dxfId="1">
      <formula>0</formula>
    </cfRule>
  </conditionalFormatting>
  <conditionalFormatting sqref="H95">
    <cfRule type="cellIs" priority="542" operator="greaterThan" aboveAverage="0" equalAverage="0" bottom="0" percent="0" rank="0" text="" dxfId="0">
      <formula>0</formula>
    </cfRule>
    <cfRule type="cellIs" priority="543" operator="lessThan" aboveAverage="0" equalAverage="0" bottom="0" percent="0" rank="0" text="" dxfId="1">
      <formula>0</formula>
    </cfRule>
  </conditionalFormatting>
  <conditionalFormatting sqref="I95">
    <cfRule type="cellIs" priority="544" operator="greaterThan" aboveAverage="0" equalAverage="0" bottom="0" percent="0" rank="0" text="" dxfId="0">
      <formula>0</formula>
    </cfRule>
    <cfRule type="cellIs" priority="545" operator="lessThan" aboveAverage="0" equalAverage="0" bottom="0" percent="0" rank="0" text="" dxfId="1">
      <formula>0</formula>
    </cfRule>
  </conditionalFormatting>
  <conditionalFormatting sqref="J95">
    <cfRule type="cellIs" priority="546" operator="greaterThan" aboveAverage="0" equalAverage="0" bottom="0" percent="0" rank="0" text="" dxfId="0">
      <formula>0</formula>
    </cfRule>
    <cfRule type="cellIs" priority="547" operator="lessThan" aboveAverage="0" equalAverage="0" bottom="0" percent="0" rank="0" text="" dxfId="1">
      <formula>0</formula>
    </cfRule>
  </conditionalFormatting>
  <conditionalFormatting sqref="H96">
    <cfRule type="cellIs" priority="548" operator="greaterThan" aboveAverage="0" equalAverage="0" bottom="0" percent="0" rank="0" text="" dxfId="0">
      <formula>0</formula>
    </cfRule>
    <cfRule type="cellIs" priority="549" operator="lessThan" aboveAverage="0" equalAverage="0" bottom="0" percent="0" rank="0" text="" dxfId="1">
      <formula>0</formula>
    </cfRule>
  </conditionalFormatting>
  <conditionalFormatting sqref="I96">
    <cfRule type="cellIs" priority="550" operator="greaterThan" aboveAverage="0" equalAverage="0" bottom="0" percent="0" rank="0" text="" dxfId="0">
      <formula>0</formula>
    </cfRule>
    <cfRule type="cellIs" priority="551" operator="lessThan" aboveAverage="0" equalAverage="0" bottom="0" percent="0" rank="0" text="" dxfId="1">
      <formula>0</formula>
    </cfRule>
  </conditionalFormatting>
  <conditionalFormatting sqref="J96">
    <cfRule type="cellIs" priority="552" operator="greaterThan" aboveAverage="0" equalAverage="0" bottom="0" percent="0" rank="0" text="" dxfId="0">
      <formula>0</formula>
    </cfRule>
    <cfRule type="cellIs" priority="553" operator="lessThan" aboveAverage="0" equalAverage="0" bottom="0" percent="0" rank="0" text="" dxfId="1">
      <formula>0</formula>
    </cfRule>
  </conditionalFormatting>
  <conditionalFormatting sqref="H97">
    <cfRule type="cellIs" priority="554" operator="greaterThan" aboveAverage="0" equalAverage="0" bottom="0" percent="0" rank="0" text="" dxfId="0">
      <formula>0</formula>
    </cfRule>
    <cfRule type="cellIs" priority="555" operator="lessThan" aboveAverage="0" equalAverage="0" bottom="0" percent="0" rank="0" text="" dxfId="1">
      <formula>0</formula>
    </cfRule>
  </conditionalFormatting>
  <conditionalFormatting sqref="I97">
    <cfRule type="cellIs" priority="556" operator="greaterThan" aboveAverage="0" equalAverage="0" bottom="0" percent="0" rank="0" text="" dxfId="0">
      <formula>0</formula>
    </cfRule>
    <cfRule type="cellIs" priority="557" operator="lessThan" aboveAverage="0" equalAverage="0" bottom="0" percent="0" rank="0" text="" dxfId="1">
      <formula>0</formula>
    </cfRule>
  </conditionalFormatting>
  <conditionalFormatting sqref="J97">
    <cfRule type="cellIs" priority="558" operator="greaterThan" aboveAverage="0" equalAverage="0" bottom="0" percent="0" rank="0" text="" dxfId="0">
      <formula>0</formula>
    </cfRule>
    <cfRule type="cellIs" priority="559" operator="lessThan" aboveAverage="0" equalAverage="0" bottom="0" percent="0" rank="0" text="" dxfId="1">
      <formula>0</formula>
    </cfRule>
  </conditionalFormatting>
  <conditionalFormatting sqref="H98">
    <cfRule type="cellIs" priority="560" operator="greaterThan" aboveAverage="0" equalAverage="0" bottom="0" percent="0" rank="0" text="" dxfId="0">
      <formula>0</formula>
    </cfRule>
    <cfRule type="cellIs" priority="561" operator="lessThan" aboveAverage="0" equalAverage="0" bottom="0" percent="0" rank="0" text="" dxfId="1">
      <formula>0</formula>
    </cfRule>
  </conditionalFormatting>
  <conditionalFormatting sqref="I98">
    <cfRule type="cellIs" priority="562" operator="greaterThan" aboveAverage="0" equalAverage="0" bottom="0" percent="0" rank="0" text="" dxfId="0">
      <formula>0</formula>
    </cfRule>
    <cfRule type="cellIs" priority="563" operator="lessThan" aboveAverage="0" equalAverage="0" bottom="0" percent="0" rank="0" text="" dxfId="1">
      <formula>0</formula>
    </cfRule>
  </conditionalFormatting>
  <conditionalFormatting sqref="J98">
    <cfRule type="cellIs" priority="564" operator="greaterThan" aboveAverage="0" equalAverage="0" bottom="0" percent="0" rank="0" text="" dxfId="0">
      <formula>0</formula>
    </cfRule>
    <cfRule type="cellIs" priority="565" operator="lessThan" aboveAverage="0" equalAverage="0" bottom="0" percent="0" rank="0" text="" dxfId="1">
      <formula>0</formula>
    </cfRule>
  </conditionalFormatting>
  <conditionalFormatting sqref="H99">
    <cfRule type="cellIs" priority="566" operator="greaterThan" aboveAverage="0" equalAverage="0" bottom="0" percent="0" rank="0" text="" dxfId="0">
      <formula>0</formula>
    </cfRule>
    <cfRule type="cellIs" priority="567" operator="lessThan" aboveAverage="0" equalAverage="0" bottom="0" percent="0" rank="0" text="" dxfId="1">
      <formula>0</formula>
    </cfRule>
  </conditionalFormatting>
  <conditionalFormatting sqref="I99">
    <cfRule type="cellIs" priority="568" operator="greaterThan" aboveAverage="0" equalAverage="0" bottom="0" percent="0" rank="0" text="" dxfId="0">
      <formula>0</formula>
    </cfRule>
    <cfRule type="cellIs" priority="569" operator="lessThan" aboveAverage="0" equalAverage="0" bottom="0" percent="0" rank="0" text="" dxfId="1">
      <formula>0</formula>
    </cfRule>
  </conditionalFormatting>
  <conditionalFormatting sqref="J99">
    <cfRule type="cellIs" priority="570" operator="greaterThan" aboveAverage="0" equalAverage="0" bottom="0" percent="0" rank="0" text="" dxfId="0">
      <formula>0</formula>
    </cfRule>
    <cfRule type="cellIs" priority="571" operator="lessThan" aboveAverage="0" equalAverage="0" bottom="0" percent="0" rank="0" text="" dxfId="1">
      <formula>0</formula>
    </cfRule>
  </conditionalFormatting>
  <conditionalFormatting sqref="H100">
    <cfRule type="cellIs" priority="572" operator="greaterThan" aboveAverage="0" equalAverage="0" bottom="0" percent="0" rank="0" text="" dxfId="0">
      <formula>0</formula>
    </cfRule>
    <cfRule type="cellIs" priority="573" operator="lessThan" aboveAverage="0" equalAverage="0" bottom="0" percent="0" rank="0" text="" dxfId="1">
      <formula>0</formula>
    </cfRule>
  </conditionalFormatting>
  <conditionalFormatting sqref="I100">
    <cfRule type="cellIs" priority="574" operator="greaterThan" aboveAverage="0" equalAverage="0" bottom="0" percent="0" rank="0" text="" dxfId="0">
      <formula>0</formula>
    </cfRule>
    <cfRule type="cellIs" priority="575" operator="lessThan" aboveAverage="0" equalAverage="0" bottom="0" percent="0" rank="0" text="" dxfId="1">
      <formula>0</formula>
    </cfRule>
  </conditionalFormatting>
  <conditionalFormatting sqref="J100">
    <cfRule type="cellIs" priority="576" operator="greaterThan" aboveAverage="0" equalAverage="0" bottom="0" percent="0" rank="0" text="" dxfId="0">
      <formula>0</formula>
    </cfRule>
    <cfRule type="cellIs" priority="577" operator="lessThan" aboveAverage="0" equalAverage="0" bottom="0" percent="0" rank="0" text="" dxfId="1">
      <formula>0</formula>
    </cfRule>
  </conditionalFormatting>
  <conditionalFormatting sqref="H101">
    <cfRule type="cellIs" priority="578" operator="greaterThan" aboveAverage="0" equalAverage="0" bottom="0" percent="0" rank="0" text="" dxfId="0">
      <formula>0</formula>
    </cfRule>
    <cfRule type="cellIs" priority="579" operator="lessThan" aboveAverage="0" equalAverage="0" bottom="0" percent="0" rank="0" text="" dxfId="1">
      <formula>0</formula>
    </cfRule>
  </conditionalFormatting>
  <conditionalFormatting sqref="I101">
    <cfRule type="cellIs" priority="580" operator="greaterThan" aboveAverage="0" equalAverage="0" bottom="0" percent="0" rank="0" text="" dxfId="0">
      <formula>0</formula>
    </cfRule>
    <cfRule type="cellIs" priority="581" operator="lessThan" aboveAverage="0" equalAverage="0" bottom="0" percent="0" rank="0" text="" dxfId="1">
      <formula>0</formula>
    </cfRule>
  </conditionalFormatting>
  <conditionalFormatting sqref="J101">
    <cfRule type="cellIs" priority="582" operator="greaterThan" aboveAverage="0" equalAverage="0" bottom="0" percent="0" rank="0" text="" dxfId="0">
      <formula>0</formula>
    </cfRule>
    <cfRule type="cellIs" priority="583" operator="lessThan" aboveAverage="0" equalAverage="0" bottom="0" percent="0" rank="0" text="" dxfId="1">
      <formula>0</formula>
    </cfRule>
  </conditionalFormatting>
  <conditionalFormatting sqref="H102">
    <cfRule type="cellIs" priority="584" operator="greaterThan" aboveAverage="0" equalAverage="0" bottom="0" percent="0" rank="0" text="" dxfId="0">
      <formula>0</formula>
    </cfRule>
    <cfRule type="cellIs" priority="585" operator="lessThan" aboveAverage="0" equalAverage="0" bottom="0" percent="0" rank="0" text="" dxfId="1">
      <formula>0</formula>
    </cfRule>
  </conditionalFormatting>
  <conditionalFormatting sqref="I102">
    <cfRule type="cellIs" priority="586" operator="greaterThan" aboveAverage="0" equalAverage="0" bottom="0" percent="0" rank="0" text="" dxfId="0">
      <formula>0</formula>
    </cfRule>
    <cfRule type="cellIs" priority="587" operator="lessThan" aboveAverage="0" equalAverage="0" bottom="0" percent="0" rank="0" text="" dxfId="1">
      <formula>0</formula>
    </cfRule>
  </conditionalFormatting>
  <conditionalFormatting sqref="J102">
    <cfRule type="cellIs" priority="588" operator="greaterThan" aboveAverage="0" equalAverage="0" bottom="0" percent="0" rank="0" text="" dxfId="0">
      <formula>0</formula>
    </cfRule>
    <cfRule type="cellIs" priority="589" operator="lessThan" aboveAverage="0" equalAverage="0" bottom="0" percent="0" rank="0" text="" dxfId="1">
      <formula>0</formula>
    </cfRule>
  </conditionalFormatting>
  <conditionalFormatting sqref="H103">
    <cfRule type="cellIs" priority="590" operator="greaterThan" aboveAverage="0" equalAverage="0" bottom="0" percent="0" rank="0" text="" dxfId="0">
      <formula>0</formula>
    </cfRule>
    <cfRule type="cellIs" priority="591" operator="lessThan" aboveAverage="0" equalAverage="0" bottom="0" percent="0" rank="0" text="" dxfId="1">
      <formula>0</formula>
    </cfRule>
  </conditionalFormatting>
  <conditionalFormatting sqref="I103">
    <cfRule type="cellIs" priority="592" operator="greaterThan" aboveAverage="0" equalAverage="0" bottom="0" percent="0" rank="0" text="" dxfId="0">
      <formula>0</formula>
    </cfRule>
    <cfRule type="cellIs" priority="593" operator="lessThan" aboveAverage="0" equalAverage="0" bottom="0" percent="0" rank="0" text="" dxfId="1">
      <formula>0</formula>
    </cfRule>
  </conditionalFormatting>
  <conditionalFormatting sqref="J103">
    <cfRule type="cellIs" priority="594" operator="greaterThan" aboveAverage="0" equalAverage="0" bottom="0" percent="0" rank="0" text="" dxfId="0">
      <formula>0</formula>
    </cfRule>
    <cfRule type="cellIs" priority="595" operator="lessThan" aboveAverage="0" equalAverage="0" bottom="0" percent="0" rank="0" text="" dxfId="1">
      <formula>0</formula>
    </cfRule>
  </conditionalFormatting>
  <conditionalFormatting sqref="H104">
    <cfRule type="cellIs" priority="596" operator="greaterThan" aboveAverage="0" equalAverage="0" bottom="0" percent="0" rank="0" text="" dxfId="0">
      <formula>0</formula>
    </cfRule>
    <cfRule type="cellIs" priority="597" operator="lessThan" aboveAverage="0" equalAverage="0" bottom="0" percent="0" rank="0" text="" dxfId="1">
      <formula>0</formula>
    </cfRule>
  </conditionalFormatting>
  <conditionalFormatting sqref="I104">
    <cfRule type="cellIs" priority="598" operator="greaterThan" aboveAverage="0" equalAverage="0" bottom="0" percent="0" rank="0" text="" dxfId="0">
      <formula>0</formula>
    </cfRule>
    <cfRule type="cellIs" priority="599" operator="lessThan" aboveAverage="0" equalAverage="0" bottom="0" percent="0" rank="0" text="" dxfId="1">
      <formula>0</formula>
    </cfRule>
  </conditionalFormatting>
  <conditionalFormatting sqref="J104">
    <cfRule type="cellIs" priority="600" operator="greaterThan" aboveAverage="0" equalAverage="0" bottom="0" percent="0" rank="0" text="" dxfId="0">
      <formula>0</formula>
    </cfRule>
    <cfRule type="cellIs" priority="601" operator="lessThan" aboveAverage="0" equalAverage="0" bottom="0" percent="0" rank="0" text="" dxfId="1">
      <formula>0</formula>
    </cfRule>
  </conditionalFormatting>
  <conditionalFormatting sqref="H105">
    <cfRule type="cellIs" priority="602" operator="greaterThan" aboveAverage="0" equalAverage="0" bottom="0" percent="0" rank="0" text="" dxfId="0">
      <formula>0</formula>
    </cfRule>
    <cfRule type="cellIs" priority="603" operator="lessThan" aboveAverage="0" equalAverage="0" bottom="0" percent="0" rank="0" text="" dxfId="1">
      <formula>0</formula>
    </cfRule>
  </conditionalFormatting>
  <conditionalFormatting sqref="I105">
    <cfRule type="cellIs" priority="604" operator="greaterThan" aboveAverage="0" equalAverage="0" bottom="0" percent="0" rank="0" text="" dxfId="0">
      <formula>0</formula>
    </cfRule>
    <cfRule type="cellIs" priority="605" operator="lessThan" aboveAverage="0" equalAverage="0" bottom="0" percent="0" rank="0" text="" dxfId="1">
      <formula>0</formula>
    </cfRule>
  </conditionalFormatting>
  <conditionalFormatting sqref="J105">
    <cfRule type="cellIs" priority="606" operator="greaterThan" aboveAverage="0" equalAverage="0" bottom="0" percent="0" rank="0" text="" dxfId="0">
      <formula>0</formula>
    </cfRule>
    <cfRule type="cellIs" priority="607" operator="lessThan" aboveAverage="0" equalAverage="0" bottom="0" percent="0" rank="0" text="" dxfId="1">
      <formula>0</formula>
    </cfRule>
  </conditionalFormatting>
  <conditionalFormatting sqref="H106">
    <cfRule type="cellIs" priority="608" operator="greaterThan" aboveAverage="0" equalAverage="0" bottom="0" percent="0" rank="0" text="" dxfId="0">
      <formula>0</formula>
    </cfRule>
    <cfRule type="cellIs" priority="609" operator="lessThan" aboveAverage="0" equalAverage="0" bottom="0" percent="0" rank="0" text="" dxfId="1">
      <formula>0</formula>
    </cfRule>
  </conditionalFormatting>
  <conditionalFormatting sqref="I106">
    <cfRule type="cellIs" priority="610" operator="greaterThan" aboveAverage="0" equalAverage="0" bottom="0" percent="0" rank="0" text="" dxfId="0">
      <formula>0</formula>
    </cfRule>
    <cfRule type="cellIs" priority="611" operator="lessThan" aboveAverage="0" equalAverage="0" bottom="0" percent="0" rank="0" text="" dxfId="1">
      <formula>0</formula>
    </cfRule>
  </conditionalFormatting>
  <conditionalFormatting sqref="J106">
    <cfRule type="cellIs" priority="612" operator="greaterThan" aboveAverage="0" equalAverage="0" bottom="0" percent="0" rank="0" text="" dxfId="0">
      <formula>0</formula>
    </cfRule>
    <cfRule type="cellIs" priority="613" operator="lessThan" aboveAverage="0" equalAverage="0" bottom="0" percent="0" rank="0" text="" dxfId="1">
      <formula>0</formula>
    </cfRule>
  </conditionalFormatting>
  <conditionalFormatting sqref="H107">
    <cfRule type="cellIs" priority="614" operator="greaterThan" aboveAverage="0" equalAverage="0" bottom="0" percent="0" rank="0" text="" dxfId="0">
      <formula>0</formula>
    </cfRule>
    <cfRule type="cellIs" priority="615" operator="lessThan" aboveAverage="0" equalAverage="0" bottom="0" percent="0" rank="0" text="" dxfId="1">
      <formula>0</formula>
    </cfRule>
  </conditionalFormatting>
  <conditionalFormatting sqref="I107">
    <cfRule type="cellIs" priority="616" operator="greaterThan" aboveAverage="0" equalAverage="0" bottom="0" percent="0" rank="0" text="" dxfId="0">
      <formula>0</formula>
    </cfRule>
    <cfRule type="cellIs" priority="617" operator="lessThan" aboveAverage="0" equalAverage="0" bottom="0" percent="0" rank="0" text="" dxfId="1">
      <formula>0</formula>
    </cfRule>
  </conditionalFormatting>
  <conditionalFormatting sqref="J107">
    <cfRule type="cellIs" priority="618" operator="greaterThan" aboveAverage="0" equalAverage="0" bottom="0" percent="0" rank="0" text="" dxfId="0">
      <formula>0</formula>
    </cfRule>
    <cfRule type="cellIs" priority="619" operator="lessThan" aboveAverage="0" equalAverage="0" bottom="0" percent="0" rank="0" text="" dxfId="1">
      <formula>0</formula>
    </cfRule>
  </conditionalFormatting>
  <conditionalFormatting sqref="H108">
    <cfRule type="cellIs" priority="620" operator="greaterThan" aboveAverage="0" equalAverage="0" bottom="0" percent="0" rank="0" text="" dxfId="0">
      <formula>0</formula>
    </cfRule>
    <cfRule type="cellIs" priority="621" operator="lessThan" aboveAverage="0" equalAverage="0" bottom="0" percent="0" rank="0" text="" dxfId="1">
      <formula>0</formula>
    </cfRule>
  </conditionalFormatting>
  <conditionalFormatting sqref="I108">
    <cfRule type="cellIs" priority="622" operator="greaterThan" aboveAverage="0" equalAverage="0" bottom="0" percent="0" rank="0" text="" dxfId="0">
      <formula>0</formula>
    </cfRule>
    <cfRule type="cellIs" priority="623" operator="lessThan" aboveAverage="0" equalAverage="0" bottom="0" percent="0" rank="0" text="" dxfId="1">
      <formula>0</formula>
    </cfRule>
  </conditionalFormatting>
  <conditionalFormatting sqref="J108">
    <cfRule type="cellIs" priority="624" operator="greaterThan" aboveAverage="0" equalAverage="0" bottom="0" percent="0" rank="0" text="" dxfId="0">
      <formula>0</formula>
    </cfRule>
    <cfRule type="cellIs" priority="625" operator="lessThan" aboveAverage="0" equalAverage="0" bottom="0" percent="0" rank="0" text="" dxfId="1">
      <formula>0</formula>
    </cfRule>
  </conditionalFormatting>
  <conditionalFormatting sqref="H109">
    <cfRule type="cellIs" priority="626" operator="greaterThan" aboveAverage="0" equalAverage="0" bottom="0" percent="0" rank="0" text="" dxfId="0">
      <formula>0</formula>
    </cfRule>
    <cfRule type="cellIs" priority="627" operator="lessThan" aboveAverage="0" equalAverage="0" bottom="0" percent="0" rank="0" text="" dxfId="1">
      <formula>0</formula>
    </cfRule>
  </conditionalFormatting>
  <conditionalFormatting sqref="I109">
    <cfRule type="cellIs" priority="628" operator="greaterThan" aboveAverage="0" equalAverage="0" bottom="0" percent="0" rank="0" text="" dxfId="0">
      <formula>0</formula>
    </cfRule>
    <cfRule type="cellIs" priority="629" operator="lessThan" aboveAverage="0" equalAverage="0" bottom="0" percent="0" rank="0" text="" dxfId="1">
      <formula>0</formula>
    </cfRule>
  </conditionalFormatting>
  <conditionalFormatting sqref="J109">
    <cfRule type="cellIs" priority="630" operator="greaterThan" aboveAverage="0" equalAverage="0" bottom="0" percent="0" rank="0" text="" dxfId="0">
      <formula>0</formula>
    </cfRule>
    <cfRule type="cellIs" priority="631" operator="lessThan" aboveAverage="0" equalAverage="0" bottom="0" percent="0" rank="0" text="" dxfId="1">
      <formula>0</formula>
    </cfRule>
  </conditionalFormatting>
  <conditionalFormatting sqref="H110">
    <cfRule type="cellIs" priority="632" operator="greaterThan" aboveAverage="0" equalAverage="0" bottom="0" percent="0" rank="0" text="" dxfId="0">
      <formula>0</formula>
    </cfRule>
    <cfRule type="cellIs" priority="633" operator="lessThan" aboveAverage="0" equalAverage="0" bottom="0" percent="0" rank="0" text="" dxfId="1">
      <formula>0</formula>
    </cfRule>
  </conditionalFormatting>
  <conditionalFormatting sqref="I110">
    <cfRule type="cellIs" priority="634" operator="greaterThan" aboveAverage="0" equalAverage="0" bottom="0" percent="0" rank="0" text="" dxfId="0">
      <formula>0</formula>
    </cfRule>
    <cfRule type="cellIs" priority="635" operator="lessThan" aboveAverage="0" equalAverage="0" bottom="0" percent="0" rank="0" text="" dxfId="1">
      <formula>0</formula>
    </cfRule>
  </conditionalFormatting>
  <conditionalFormatting sqref="J110">
    <cfRule type="cellIs" priority="636" operator="greaterThan" aboveAverage="0" equalAverage="0" bottom="0" percent="0" rank="0" text="" dxfId="0">
      <formula>0</formula>
    </cfRule>
    <cfRule type="cellIs" priority="637" operator="lessThan" aboveAverage="0" equalAverage="0" bottom="0" percent="0" rank="0" text="" dxfId="1">
      <formula>0</formula>
    </cfRule>
  </conditionalFormatting>
  <conditionalFormatting sqref="H111">
    <cfRule type="cellIs" priority="638" operator="greaterThan" aboveAverage="0" equalAverage="0" bottom="0" percent="0" rank="0" text="" dxfId="0">
      <formula>0</formula>
    </cfRule>
    <cfRule type="cellIs" priority="639" operator="lessThan" aboveAverage="0" equalAverage="0" bottom="0" percent="0" rank="0" text="" dxfId="1">
      <formula>0</formula>
    </cfRule>
  </conditionalFormatting>
  <conditionalFormatting sqref="I111">
    <cfRule type="cellIs" priority="640" operator="greaterThan" aboveAverage="0" equalAverage="0" bottom="0" percent="0" rank="0" text="" dxfId="0">
      <formula>0</formula>
    </cfRule>
    <cfRule type="cellIs" priority="641" operator="lessThan" aboveAverage="0" equalAverage="0" bottom="0" percent="0" rank="0" text="" dxfId="1">
      <formula>0</formula>
    </cfRule>
  </conditionalFormatting>
  <conditionalFormatting sqref="J111">
    <cfRule type="cellIs" priority="642" operator="greaterThan" aboveAverage="0" equalAverage="0" bottom="0" percent="0" rank="0" text="" dxfId="0">
      <formula>0</formula>
    </cfRule>
    <cfRule type="cellIs" priority="643" operator="lessThan" aboveAverage="0" equalAverage="0" bottom="0" percent="0" rank="0" text="" dxfId="1">
      <formula>0</formula>
    </cfRule>
  </conditionalFormatting>
  <conditionalFormatting sqref="H112">
    <cfRule type="cellIs" priority="644" operator="greaterThan" aboveAverage="0" equalAverage="0" bottom="0" percent="0" rank="0" text="" dxfId="0">
      <formula>0</formula>
    </cfRule>
    <cfRule type="cellIs" priority="645" operator="lessThan" aboveAverage="0" equalAverage="0" bottom="0" percent="0" rank="0" text="" dxfId="1">
      <formula>0</formula>
    </cfRule>
  </conditionalFormatting>
  <conditionalFormatting sqref="I112">
    <cfRule type="cellIs" priority="646" operator="greaterThan" aboveAverage="0" equalAverage="0" bottom="0" percent="0" rank="0" text="" dxfId="0">
      <formula>0</formula>
    </cfRule>
    <cfRule type="cellIs" priority="647" operator="lessThan" aboveAverage="0" equalAverage="0" bottom="0" percent="0" rank="0" text="" dxfId="1">
      <formula>0</formula>
    </cfRule>
  </conditionalFormatting>
  <conditionalFormatting sqref="J112">
    <cfRule type="cellIs" priority="648" operator="greaterThan" aboveAverage="0" equalAverage="0" bottom="0" percent="0" rank="0" text="" dxfId="0">
      <formula>0</formula>
    </cfRule>
    <cfRule type="cellIs" priority="649" operator="lessThan" aboveAverage="0" equalAverage="0" bottom="0" percent="0" rank="0" text="" dxfId="1">
      <formula>0</formula>
    </cfRule>
  </conditionalFormatting>
  <conditionalFormatting sqref="H113">
    <cfRule type="cellIs" priority="650" operator="greaterThan" aboveAverage="0" equalAverage="0" bottom="0" percent="0" rank="0" text="" dxfId="0">
      <formula>0</formula>
    </cfRule>
    <cfRule type="cellIs" priority="651" operator="lessThan" aboveAverage="0" equalAverage="0" bottom="0" percent="0" rank="0" text="" dxfId="1">
      <formula>0</formula>
    </cfRule>
  </conditionalFormatting>
  <conditionalFormatting sqref="I113">
    <cfRule type="cellIs" priority="652" operator="greaterThan" aboveAverage="0" equalAverage="0" bottom="0" percent="0" rank="0" text="" dxfId="0">
      <formula>0</formula>
    </cfRule>
    <cfRule type="cellIs" priority="653" operator="lessThan" aboveAverage="0" equalAverage="0" bottom="0" percent="0" rank="0" text="" dxfId="1">
      <formula>0</formula>
    </cfRule>
  </conditionalFormatting>
  <conditionalFormatting sqref="J113">
    <cfRule type="cellIs" priority="654" operator="greaterThan" aboveAverage="0" equalAverage="0" bottom="0" percent="0" rank="0" text="" dxfId="0">
      <formula>0</formula>
    </cfRule>
    <cfRule type="cellIs" priority="655" operator="lessThan" aboveAverage="0" equalAverage="0" bottom="0" percent="0" rank="0" text="" dxfId="1">
      <formula>0</formula>
    </cfRule>
  </conditionalFormatting>
  <conditionalFormatting sqref="H114">
    <cfRule type="cellIs" priority="656" operator="greaterThan" aboveAverage="0" equalAverage="0" bottom="0" percent="0" rank="0" text="" dxfId="0">
      <formula>0</formula>
    </cfRule>
    <cfRule type="cellIs" priority="657" operator="lessThan" aboveAverage="0" equalAverage="0" bottom="0" percent="0" rank="0" text="" dxfId="1">
      <formula>0</formula>
    </cfRule>
  </conditionalFormatting>
  <conditionalFormatting sqref="I114">
    <cfRule type="cellIs" priority="658" operator="greaterThan" aboveAverage="0" equalAverage="0" bottom="0" percent="0" rank="0" text="" dxfId="0">
      <formula>0</formula>
    </cfRule>
    <cfRule type="cellIs" priority="659" operator="lessThan" aboveAverage="0" equalAverage="0" bottom="0" percent="0" rank="0" text="" dxfId="1">
      <formula>0</formula>
    </cfRule>
  </conditionalFormatting>
  <conditionalFormatting sqref="J114">
    <cfRule type="cellIs" priority="660" operator="greaterThan" aboveAverage="0" equalAverage="0" bottom="0" percent="0" rank="0" text="" dxfId="0">
      <formula>0</formula>
    </cfRule>
    <cfRule type="cellIs" priority="661" operator="lessThan" aboveAverage="0" equalAverage="0" bottom="0" percent="0" rank="0" text="" dxfId="1">
      <formula>0</formula>
    </cfRule>
  </conditionalFormatting>
  <conditionalFormatting sqref="H115">
    <cfRule type="cellIs" priority="662" operator="greaterThan" aboveAverage="0" equalAverage="0" bottom="0" percent="0" rank="0" text="" dxfId="0">
      <formula>0</formula>
    </cfRule>
    <cfRule type="cellIs" priority="663" operator="lessThan" aboveAverage="0" equalAverage="0" bottom="0" percent="0" rank="0" text="" dxfId="1">
      <formula>0</formula>
    </cfRule>
  </conditionalFormatting>
  <conditionalFormatting sqref="I115">
    <cfRule type="cellIs" priority="664" operator="greaterThan" aboveAverage="0" equalAverage="0" bottom="0" percent="0" rank="0" text="" dxfId="0">
      <formula>0</formula>
    </cfRule>
    <cfRule type="cellIs" priority="665" operator="lessThan" aboveAverage="0" equalAverage="0" bottom="0" percent="0" rank="0" text="" dxfId="1">
      <formula>0</formula>
    </cfRule>
  </conditionalFormatting>
  <conditionalFormatting sqref="J115">
    <cfRule type="cellIs" priority="666" operator="greaterThan" aboveAverage="0" equalAverage="0" bottom="0" percent="0" rank="0" text="" dxfId="0">
      <formula>0</formula>
    </cfRule>
    <cfRule type="cellIs" priority="667" operator="lessThan" aboveAverage="0" equalAverage="0" bottom="0" percent="0" rank="0" text="" dxfId="1">
      <formula>0</formula>
    </cfRule>
  </conditionalFormatting>
  <conditionalFormatting sqref="H116">
    <cfRule type="cellIs" priority="668" operator="greaterThan" aboveAverage="0" equalAverage="0" bottom="0" percent="0" rank="0" text="" dxfId="0">
      <formula>0</formula>
    </cfRule>
    <cfRule type="cellIs" priority="669" operator="lessThan" aboveAverage="0" equalAverage="0" bottom="0" percent="0" rank="0" text="" dxfId="1">
      <formula>0</formula>
    </cfRule>
  </conditionalFormatting>
  <conditionalFormatting sqref="I116">
    <cfRule type="cellIs" priority="670" operator="greaterThan" aboveAverage="0" equalAverage="0" bottom="0" percent="0" rank="0" text="" dxfId="0">
      <formula>0</formula>
    </cfRule>
    <cfRule type="cellIs" priority="671" operator="lessThan" aboveAverage="0" equalAverage="0" bottom="0" percent="0" rank="0" text="" dxfId="1">
      <formula>0</formula>
    </cfRule>
  </conditionalFormatting>
  <conditionalFormatting sqref="J116">
    <cfRule type="cellIs" priority="672" operator="greaterThan" aboveAverage="0" equalAverage="0" bottom="0" percent="0" rank="0" text="" dxfId="0">
      <formula>0</formula>
    </cfRule>
    <cfRule type="cellIs" priority="673" operator="lessThan" aboveAverage="0" equalAverage="0" bottom="0" percent="0" rank="0" text="" dxfId="1">
      <formula>0</formula>
    </cfRule>
  </conditionalFormatting>
  <conditionalFormatting sqref="H117">
    <cfRule type="cellIs" priority="674" operator="greaterThan" aboveAverage="0" equalAverage="0" bottom="0" percent="0" rank="0" text="" dxfId="0">
      <formula>0</formula>
    </cfRule>
    <cfRule type="cellIs" priority="675" operator="lessThan" aboveAverage="0" equalAverage="0" bottom="0" percent="0" rank="0" text="" dxfId="1">
      <formula>0</formula>
    </cfRule>
  </conditionalFormatting>
  <conditionalFormatting sqref="I117">
    <cfRule type="cellIs" priority="676" operator="greaterThan" aboveAverage="0" equalAverage="0" bottom="0" percent="0" rank="0" text="" dxfId="0">
      <formula>0</formula>
    </cfRule>
    <cfRule type="cellIs" priority="677" operator="lessThan" aboveAverage="0" equalAverage="0" bottom="0" percent="0" rank="0" text="" dxfId="1">
      <formula>0</formula>
    </cfRule>
  </conditionalFormatting>
  <conditionalFormatting sqref="J117">
    <cfRule type="cellIs" priority="678" operator="greaterThan" aboveAverage="0" equalAverage="0" bottom="0" percent="0" rank="0" text="" dxfId="0">
      <formula>0</formula>
    </cfRule>
    <cfRule type="cellIs" priority="679" operator="lessThan" aboveAverage="0" equalAverage="0" bottom="0" percent="0" rank="0" text="" dxfId="1">
      <formula>0</formula>
    </cfRule>
  </conditionalFormatting>
  <conditionalFormatting sqref="H118">
    <cfRule type="cellIs" priority="680" operator="greaterThan" aboveAverage="0" equalAverage="0" bottom="0" percent="0" rank="0" text="" dxfId="0">
      <formula>0</formula>
    </cfRule>
    <cfRule type="cellIs" priority="681" operator="lessThan" aboveAverage="0" equalAverage="0" bottom="0" percent="0" rank="0" text="" dxfId="1">
      <formula>0</formula>
    </cfRule>
  </conditionalFormatting>
  <conditionalFormatting sqref="I118">
    <cfRule type="cellIs" priority="682" operator="greaterThan" aboveAverage="0" equalAverage="0" bottom="0" percent="0" rank="0" text="" dxfId="0">
      <formula>0</formula>
    </cfRule>
    <cfRule type="cellIs" priority="683" operator="lessThan" aboveAverage="0" equalAverage="0" bottom="0" percent="0" rank="0" text="" dxfId="1">
      <formula>0</formula>
    </cfRule>
  </conditionalFormatting>
  <conditionalFormatting sqref="J118">
    <cfRule type="cellIs" priority="684" operator="greaterThan" aboveAverage="0" equalAverage="0" bottom="0" percent="0" rank="0" text="" dxfId="0">
      <formula>0</formula>
    </cfRule>
    <cfRule type="cellIs" priority="685" operator="lessThan" aboveAverage="0" equalAverage="0" bottom="0" percent="0" rank="0" text="" dxfId="1">
      <formula>0</formula>
    </cfRule>
  </conditionalFormatting>
  <conditionalFormatting sqref="H119">
    <cfRule type="cellIs" priority="686" operator="greaterThan" aboveAverage="0" equalAverage="0" bottom="0" percent="0" rank="0" text="" dxfId="0">
      <formula>0</formula>
    </cfRule>
    <cfRule type="cellIs" priority="687" operator="lessThan" aboveAverage="0" equalAverage="0" bottom="0" percent="0" rank="0" text="" dxfId="1">
      <formula>0</formula>
    </cfRule>
  </conditionalFormatting>
  <conditionalFormatting sqref="I119">
    <cfRule type="cellIs" priority="688" operator="greaterThan" aboveAverage="0" equalAverage="0" bottom="0" percent="0" rank="0" text="" dxfId="0">
      <formula>0</formula>
    </cfRule>
    <cfRule type="cellIs" priority="689" operator="lessThan" aboveAverage="0" equalAverage="0" bottom="0" percent="0" rank="0" text="" dxfId="1">
      <formula>0</formula>
    </cfRule>
  </conditionalFormatting>
  <conditionalFormatting sqref="J119">
    <cfRule type="cellIs" priority="690" operator="greaterThan" aboveAverage="0" equalAverage="0" bottom="0" percent="0" rank="0" text="" dxfId="0">
      <formula>0</formula>
    </cfRule>
    <cfRule type="cellIs" priority="691" operator="lessThan" aboveAverage="0" equalAverage="0" bottom="0" percent="0" rank="0" text="" dxfId="1">
      <formula>0</formula>
    </cfRule>
  </conditionalFormatting>
  <conditionalFormatting sqref="H120">
    <cfRule type="cellIs" priority="692" operator="greaterThan" aboveAverage="0" equalAverage="0" bottom="0" percent="0" rank="0" text="" dxfId="0">
      <formula>0</formula>
    </cfRule>
    <cfRule type="cellIs" priority="693" operator="lessThan" aboveAverage="0" equalAverage="0" bottom="0" percent="0" rank="0" text="" dxfId="1">
      <formula>0</formula>
    </cfRule>
  </conditionalFormatting>
  <conditionalFormatting sqref="I120">
    <cfRule type="cellIs" priority="694" operator="greaterThan" aboveAverage="0" equalAverage="0" bottom="0" percent="0" rank="0" text="" dxfId="0">
      <formula>0</formula>
    </cfRule>
    <cfRule type="cellIs" priority="695" operator="lessThan" aboveAverage="0" equalAverage="0" bottom="0" percent="0" rank="0" text="" dxfId="1">
      <formula>0</formula>
    </cfRule>
  </conditionalFormatting>
  <conditionalFormatting sqref="J120">
    <cfRule type="cellIs" priority="696" operator="greaterThan" aboveAverage="0" equalAverage="0" bottom="0" percent="0" rank="0" text="" dxfId="0">
      <formula>0</formula>
    </cfRule>
    <cfRule type="cellIs" priority="697" operator="lessThan" aboveAverage="0" equalAverage="0" bottom="0" percent="0" rank="0" text="" dxfId="1">
      <formula>0</formula>
    </cfRule>
  </conditionalFormatting>
  <conditionalFormatting sqref="H121">
    <cfRule type="cellIs" priority="698" operator="greaterThan" aboveAverage="0" equalAverage="0" bottom="0" percent="0" rank="0" text="" dxfId="0">
      <formula>0</formula>
    </cfRule>
    <cfRule type="cellIs" priority="699" operator="lessThan" aboveAverage="0" equalAverage="0" bottom="0" percent="0" rank="0" text="" dxfId="1">
      <formula>0</formula>
    </cfRule>
  </conditionalFormatting>
  <conditionalFormatting sqref="I121">
    <cfRule type="cellIs" priority="700" operator="greaterThan" aboveAverage="0" equalAverage="0" bottom="0" percent="0" rank="0" text="" dxfId="0">
      <formula>0</formula>
    </cfRule>
    <cfRule type="cellIs" priority="701" operator="lessThan" aboveAverage="0" equalAverage="0" bottom="0" percent="0" rank="0" text="" dxfId="1">
      <formula>0</formula>
    </cfRule>
  </conditionalFormatting>
  <conditionalFormatting sqref="J121">
    <cfRule type="cellIs" priority="702" operator="greaterThan" aboveAverage="0" equalAverage="0" bottom="0" percent="0" rank="0" text="" dxfId="0">
      <formula>0</formula>
    </cfRule>
    <cfRule type="cellIs" priority="703" operator="lessThan" aboveAverage="0" equalAverage="0" bottom="0" percent="0" rank="0" text="" dxfId="1">
      <formula>0</formula>
    </cfRule>
  </conditionalFormatting>
  <conditionalFormatting sqref="H122">
    <cfRule type="cellIs" priority="704" operator="greaterThan" aboveAverage="0" equalAverage="0" bottom="0" percent="0" rank="0" text="" dxfId="0">
      <formula>0</formula>
    </cfRule>
    <cfRule type="cellIs" priority="705" operator="lessThan" aboveAverage="0" equalAverage="0" bottom="0" percent="0" rank="0" text="" dxfId="1">
      <formula>0</formula>
    </cfRule>
  </conditionalFormatting>
  <conditionalFormatting sqref="I122">
    <cfRule type="cellIs" priority="706" operator="greaterThan" aboveAverage="0" equalAverage="0" bottom="0" percent="0" rank="0" text="" dxfId="0">
      <formula>0</formula>
    </cfRule>
    <cfRule type="cellIs" priority="707" operator="lessThan" aboveAverage="0" equalAverage="0" bottom="0" percent="0" rank="0" text="" dxfId="1">
      <formula>0</formula>
    </cfRule>
  </conditionalFormatting>
  <conditionalFormatting sqref="J122">
    <cfRule type="cellIs" priority="708" operator="greaterThan" aboveAverage="0" equalAverage="0" bottom="0" percent="0" rank="0" text="" dxfId="0">
      <formula>0</formula>
    </cfRule>
    <cfRule type="cellIs" priority="709" operator="lessThan" aboveAverage="0" equalAverage="0" bottom="0" percent="0" rank="0" text="" dxfId="1">
      <formula>0</formula>
    </cfRule>
  </conditionalFormatting>
  <conditionalFormatting sqref="H123">
    <cfRule type="cellIs" priority="710" operator="greaterThan" aboveAverage="0" equalAverage="0" bottom="0" percent="0" rank="0" text="" dxfId="0">
      <formula>0</formula>
    </cfRule>
    <cfRule type="cellIs" priority="711" operator="lessThan" aboveAverage="0" equalAverage="0" bottom="0" percent="0" rank="0" text="" dxfId="1">
      <formula>0</formula>
    </cfRule>
  </conditionalFormatting>
  <conditionalFormatting sqref="I123">
    <cfRule type="cellIs" priority="712" operator="greaterThan" aboveAverage="0" equalAverage="0" bottom="0" percent="0" rank="0" text="" dxfId="0">
      <formula>0</formula>
    </cfRule>
    <cfRule type="cellIs" priority="713" operator="lessThan" aboveAverage="0" equalAverage="0" bottom="0" percent="0" rank="0" text="" dxfId="1">
      <formula>0</formula>
    </cfRule>
  </conditionalFormatting>
  <conditionalFormatting sqref="J123">
    <cfRule type="cellIs" priority="714" operator="greaterThan" aboveAverage="0" equalAverage="0" bottom="0" percent="0" rank="0" text="" dxfId="0">
      <formula>0</formula>
    </cfRule>
    <cfRule type="cellIs" priority="715" operator="lessThan" aboveAverage="0" equalAverage="0" bottom="0" percent="0" rank="0" text="" dxfId="1">
      <formula>0</formula>
    </cfRule>
  </conditionalFormatting>
  <conditionalFormatting sqref="H124">
    <cfRule type="cellIs" priority="716" operator="greaterThan" aboveAverage="0" equalAverage="0" bottom="0" percent="0" rank="0" text="" dxfId="0">
      <formula>0</formula>
    </cfRule>
    <cfRule type="cellIs" priority="717" operator="lessThan" aboveAverage="0" equalAverage="0" bottom="0" percent="0" rank="0" text="" dxfId="1">
      <formula>0</formula>
    </cfRule>
  </conditionalFormatting>
  <conditionalFormatting sqref="I124">
    <cfRule type="cellIs" priority="718" operator="greaterThan" aboveAverage="0" equalAverage="0" bottom="0" percent="0" rank="0" text="" dxfId="0">
      <formula>0</formula>
    </cfRule>
    <cfRule type="cellIs" priority="719" operator="lessThan" aboveAverage="0" equalAverage="0" bottom="0" percent="0" rank="0" text="" dxfId="1">
      <formula>0</formula>
    </cfRule>
  </conditionalFormatting>
  <conditionalFormatting sqref="J124">
    <cfRule type="cellIs" priority="720" operator="greaterThan" aboveAverage="0" equalAverage="0" bottom="0" percent="0" rank="0" text="" dxfId="0">
      <formula>0</formula>
    </cfRule>
    <cfRule type="cellIs" priority="721" operator="lessThan" aboveAverage="0" equalAverage="0" bottom="0" percent="0" rank="0" text="" dxfId="1">
      <formula>0</formula>
    </cfRule>
  </conditionalFormatting>
  <conditionalFormatting sqref="H125">
    <cfRule type="cellIs" priority="722" operator="greaterThan" aboveAverage="0" equalAverage="0" bottom="0" percent="0" rank="0" text="" dxfId="0">
      <formula>0</formula>
    </cfRule>
    <cfRule type="cellIs" priority="723" operator="lessThan" aboveAverage="0" equalAverage="0" bottom="0" percent="0" rank="0" text="" dxfId="1">
      <formula>0</formula>
    </cfRule>
  </conditionalFormatting>
  <conditionalFormatting sqref="I125">
    <cfRule type="cellIs" priority="724" operator="greaterThan" aboveAverage="0" equalAverage="0" bottom="0" percent="0" rank="0" text="" dxfId="0">
      <formula>0</formula>
    </cfRule>
    <cfRule type="cellIs" priority="725" operator="lessThan" aboveAverage="0" equalAverage="0" bottom="0" percent="0" rank="0" text="" dxfId="1">
      <formula>0</formula>
    </cfRule>
  </conditionalFormatting>
  <conditionalFormatting sqref="J125">
    <cfRule type="cellIs" priority="726" operator="greaterThan" aboveAverage="0" equalAverage="0" bottom="0" percent="0" rank="0" text="" dxfId="0">
      <formula>0</formula>
    </cfRule>
    <cfRule type="cellIs" priority="727" operator="lessThan" aboveAverage="0" equalAverage="0" bottom="0" percent="0" rank="0" text="" dxfId="1">
      <formula>0</formula>
    </cfRule>
  </conditionalFormatting>
  <conditionalFormatting sqref="H126">
    <cfRule type="cellIs" priority="728" operator="greaterThan" aboveAverage="0" equalAverage="0" bottom="0" percent="0" rank="0" text="" dxfId="0">
      <formula>0</formula>
    </cfRule>
    <cfRule type="cellIs" priority="729" operator="lessThan" aboveAverage="0" equalAverage="0" bottom="0" percent="0" rank="0" text="" dxfId="1">
      <formula>0</formula>
    </cfRule>
  </conditionalFormatting>
  <conditionalFormatting sqref="I126">
    <cfRule type="cellIs" priority="730" operator="greaterThan" aboveAverage="0" equalAverage="0" bottom="0" percent="0" rank="0" text="" dxfId="0">
      <formula>0</formula>
    </cfRule>
    <cfRule type="cellIs" priority="731" operator="lessThan" aboveAverage="0" equalAverage="0" bottom="0" percent="0" rank="0" text="" dxfId="1">
      <formula>0</formula>
    </cfRule>
  </conditionalFormatting>
  <conditionalFormatting sqref="J126">
    <cfRule type="cellIs" priority="732" operator="greaterThan" aboveAverage="0" equalAverage="0" bottom="0" percent="0" rank="0" text="" dxfId="0">
      <formula>0</formula>
    </cfRule>
    <cfRule type="cellIs" priority="733" operator="lessThan" aboveAverage="0" equalAverage="0" bottom="0" percent="0" rank="0" text="" dxfId="1">
      <formula>0</formula>
    </cfRule>
  </conditionalFormatting>
  <conditionalFormatting sqref="H127">
    <cfRule type="cellIs" priority="734" operator="greaterThan" aboveAverage="0" equalAverage="0" bottom="0" percent="0" rank="0" text="" dxfId="0">
      <formula>0</formula>
    </cfRule>
    <cfRule type="cellIs" priority="735" operator="lessThan" aboveAverage="0" equalAverage="0" bottom="0" percent="0" rank="0" text="" dxfId="1">
      <formula>0</formula>
    </cfRule>
  </conditionalFormatting>
  <conditionalFormatting sqref="I127">
    <cfRule type="cellIs" priority="736" operator="greaterThan" aboveAverage="0" equalAverage="0" bottom="0" percent="0" rank="0" text="" dxfId="0">
      <formula>0</formula>
    </cfRule>
    <cfRule type="cellIs" priority="737" operator="lessThan" aboveAverage="0" equalAverage="0" bottom="0" percent="0" rank="0" text="" dxfId="1">
      <formula>0</formula>
    </cfRule>
  </conditionalFormatting>
  <conditionalFormatting sqref="J127">
    <cfRule type="cellIs" priority="738" operator="greaterThan" aboveAverage="0" equalAverage="0" bottom="0" percent="0" rank="0" text="" dxfId="0">
      <formula>0</formula>
    </cfRule>
    <cfRule type="cellIs" priority="739" operator="lessThan" aboveAverage="0" equalAverage="0" bottom="0" percent="0" rank="0" text="" dxfId="1">
      <formula>0</formula>
    </cfRule>
  </conditionalFormatting>
  <conditionalFormatting sqref="H128">
    <cfRule type="cellIs" priority="740" operator="greaterThan" aboveAverage="0" equalAverage="0" bottom="0" percent="0" rank="0" text="" dxfId="0">
      <formula>0</formula>
    </cfRule>
    <cfRule type="cellIs" priority="741" operator="lessThan" aboveAverage="0" equalAverage="0" bottom="0" percent="0" rank="0" text="" dxfId="1">
      <formula>0</formula>
    </cfRule>
  </conditionalFormatting>
  <conditionalFormatting sqref="I128">
    <cfRule type="cellIs" priority="742" operator="greaterThan" aboveAverage="0" equalAverage="0" bottom="0" percent="0" rank="0" text="" dxfId="0">
      <formula>0</formula>
    </cfRule>
    <cfRule type="cellIs" priority="743" operator="lessThan" aboveAverage="0" equalAverage="0" bottom="0" percent="0" rank="0" text="" dxfId="1">
      <formula>0</formula>
    </cfRule>
  </conditionalFormatting>
  <conditionalFormatting sqref="J128">
    <cfRule type="cellIs" priority="744" operator="greaterThan" aboveAverage="0" equalAverage="0" bottom="0" percent="0" rank="0" text="" dxfId="0">
      <formula>0</formula>
    </cfRule>
    <cfRule type="cellIs" priority="745" operator="lessThan" aboveAverage="0" equalAverage="0" bottom="0" percent="0" rank="0" text="" dxfId="1">
      <formula>0</formula>
    </cfRule>
  </conditionalFormatting>
  <conditionalFormatting sqref="H129">
    <cfRule type="cellIs" priority="746" operator="greaterThan" aboveAverage="0" equalAverage="0" bottom="0" percent="0" rank="0" text="" dxfId="0">
      <formula>0</formula>
    </cfRule>
    <cfRule type="cellIs" priority="747" operator="lessThan" aboveAverage="0" equalAverage="0" bottom="0" percent="0" rank="0" text="" dxfId="1">
      <formula>0</formula>
    </cfRule>
  </conditionalFormatting>
  <conditionalFormatting sqref="I129">
    <cfRule type="cellIs" priority="748" operator="greaterThan" aboveAverage="0" equalAverage="0" bottom="0" percent="0" rank="0" text="" dxfId="0">
      <formula>0</formula>
    </cfRule>
    <cfRule type="cellIs" priority="749" operator="lessThan" aboveAverage="0" equalAverage="0" bottom="0" percent="0" rank="0" text="" dxfId="1">
      <formula>0</formula>
    </cfRule>
  </conditionalFormatting>
  <conditionalFormatting sqref="J129">
    <cfRule type="cellIs" priority="750" operator="greaterThan" aboveAverage="0" equalAverage="0" bottom="0" percent="0" rank="0" text="" dxfId="0">
      <formula>0</formula>
    </cfRule>
    <cfRule type="cellIs" priority="751" operator="lessThan" aboveAverage="0" equalAverage="0" bottom="0" percent="0" rank="0" text="" dxfId="1">
      <formula>0</formula>
    </cfRule>
  </conditionalFormatting>
  <conditionalFormatting sqref="H130">
    <cfRule type="cellIs" priority="752" operator="greaterThan" aboveAverage="0" equalAverage="0" bottom="0" percent="0" rank="0" text="" dxfId="0">
      <formula>0</formula>
    </cfRule>
    <cfRule type="cellIs" priority="753" operator="lessThan" aboveAverage="0" equalAverage="0" bottom="0" percent="0" rank="0" text="" dxfId="1">
      <formula>0</formula>
    </cfRule>
  </conditionalFormatting>
  <conditionalFormatting sqref="I130">
    <cfRule type="cellIs" priority="754" operator="greaterThan" aboveAverage="0" equalAverage="0" bottom="0" percent="0" rank="0" text="" dxfId="0">
      <formula>0</formula>
    </cfRule>
    <cfRule type="cellIs" priority="755" operator="lessThan" aboveAverage="0" equalAverage="0" bottom="0" percent="0" rank="0" text="" dxfId="1">
      <formula>0</formula>
    </cfRule>
  </conditionalFormatting>
  <conditionalFormatting sqref="J130">
    <cfRule type="cellIs" priority="756" operator="greaterThan" aboveAverage="0" equalAverage="0" bottom="0" percent="0" rank="0" text="" dxfId="0">
      <formula>0</formula>
    </cfRule>
    <cfRule type="cellIs" priority="757" operator="lessThan" aboveAverage="0" equalAverage="0" bottom="0" percent="0" rank="0" text="" dxfId="1">
      <formula>0</formula>
    </cfRule>
  </conditionalFormatting>
  <conditionalFormatting sqref="H131">
    <cfRule type="cellIs" priority="758" operator="greaterThan" aboveAverage="0" equalAverage="0" bottom="0" percent="0" rank="0" text="" dxfId="0">
      <formula>0</formula>
    </cfRule>
    <cfRule type="cellIs" priority="759" operator="lessThan" aboveAverage="0" equalAverage="0" bottom="0" percent="0" rank="0" text="" dxfId="1">
      <formula>0</formula>
    </cfRule>
  </conditionalFormatting>
  <conditionalFormatting sqref="I131">
    <cfRule type="cellIs" priority="760" operator="greaterThan" aboveAverage="0" equalAverage="0" bottom="0" percent="0" rank="0" text="" dxfId="0">
      <formula>0</formula>
    </cfRule>
    <cfRule type="cellIs" priority="761" operator="lessThan" aboveAverage="0" equalAverage="0" bottom="0" percent="0" rank="0" text="" dxfId="1">
      <formula>0</formula>
    </cfRule>
  </conditionalFormatting>
  <conditionalFormatting sqref="J131">
    <cfRule type="cellIs" priority="762" operator="greaterThan" aboveAverage="0" equalAverage="0" bottom="0" percent="0" rank="0" text="" dxfId="0">
      <formula>0</formula>
    </cfRule>
    <cfRule type="cellIs" priority="763" operator="lessThan" aboveAverage="0" equalAverage="0" bottom="0" percent="0" rank="0" text="" dxfId="1">
      <formula>0</formula>
    </cfRule>
  </conditionalFormatting>
  <conditionalFormatting sqref="H132">
    <cfRule type="cellIs" priority="764" operator="greaterThan" aboveAverage="0" equalAverage="0" bottom="0" percent="0" rank="0" text="" dxfId="0">
      <formula>0</formula>
    </cfRule>
    <cfRule type="cellIs" priority="765" operator="lessThan" aboveAverage="0" equalAverage="0" bottom="0" percent="0" rank="0" text="" dxfId="1">
      <formula>0</formula>
    </cfRule>
  </conditionalFormatting>
  <conditionalFormatting sqref="I132">
    <cfRule type="cellIs" priority="766" operator="greaterThan" aboveAverage="0" equalAverage="0" bottom="0" percent="0" rank="0" text="" dxfId="0">
      <formula>0</formula>
    </cfRule>
    <cfRule type="cellIs" priority="767" operator="lessThan" aboveAverage="0" equalAverage="0" bottom="0" percent="0" rank="0" text="" dxfId="1">
      <formula>0</formula>
    </cfRule>
  </conditionalFormatting>
  <conditionalFormatting sqref="J132">
    <cfRule type="cellIs" priority="768" operator="greaterThan" aboveAverage="0" equalAverage="0" bottom="0" percent="0" rank="0" text="" dxfId="0">
      <formula>0</formula>
    </cfRule>
    <cfRule type="cellIs" priority="769" operator="lessThan" aboveAverage="0" equalAverage="0" bottom="0" percent="0" rank="0" text="" dxfId="1">
      <formula>0</formula>
    </cfRule>
  </conditionalFormatting>
  <conditionalFormatting sqref="H133">
    <cfRule type="cellIs" priority="770" operator="greaterThan" aboveAverage="0" equalAverage="0" bottom="0" percent="0" rank="0" text="" dxfId="0">
      <formula>0</formula>
    </cfRule>
    <cfRule type="cellIs" priority="771" operator="lessThan" aboveAverage="0" equalAverage="0" bottom="0" percent="0" rank="0" text="" dxfId="1">
      <formula>0</formula>
    </cfRule>
  </conditionalFormatting>
  <conditionalFormatting sqref="I133">
    <cfRule type="cellIs" priority="772" operator="greaterThan" aboveAverage="0" equalAverage="0" bottom="0" percent="0" rank="0" text="" dxfId="0">
      <formula>0</formula>
    </cfRule>
    <cfRule type="cellIs" priority="773" operator="lessThan" aboveAverage="0" equalAverage="0" bottom="0" percent="0" rank="0" text="" dxfId="1">
      <formula>0</formula>
    </cfRule>
  </conditionalFormatting>
  <conditionalFormatting sqref="J133">
    <cfRule type="cellIs" priority="774" operator="greaterThan" aboveAverage="0" equalAverage="0" bottom="0" percent="0" rank="0" text="" dxfId="0">
      <formula>0</formula>
    </cfRule>
    <cfRule type="cellIs" priority="775" operator="lessThan" aboveAverage="0" equalAverage="0" bottom="0" percent="0" rank="0" text="" dxfId="1">
      <formula>0</formula>
    </cfRule>
  </conditionalFormatting>
  <conditionalFormatting sqref="H134">
    <cfRule type="cellIs" priority="776" operator="greaterThan" aboveAverage="0" equalAverage="0" bottom="0" percent="0" rank="0" text="" dxfId="0">
      <formula>0</formula>
    </cfRule>
    <cfRule type="cellIs" priority="777" operator="lessThan" aboveAverage="0" equalAverage="0" bottom="0" percent="0" rank="0" text="" dxfId="1">
      <formula>0</formula>
    </cfRule>
  </conditionalFormatting>
  <conditionalFormatting sqref="I134">
    <cfRule type="cellIs" priority="778" operator="greaterThan" aboveAverage="0" equalAverage="0" bottom="0" percent="0" rank="0" text="" dxfId="0">
      <formula>0</formula>
    </cfRule>
    <cfRule type="cellIs" priority="779" operator="lessThan" aboveAverage="0" equalAverage="0" bottom="0" percent="0" rank="0" text="" dxfId="1">
      <formula>0</formula>
    </cfRule>
  </conditionalFormatting>
  <conditionalFormatting sqref="J134">
    <cfRule type="cellIs" priority="780" operator="greaterThan" aboveAverage="0" equalAverage="0" bottom="0" percent="0" rank="0" text="" dxfId="0">
      <formula>0</formula>
    </cfRule>
    <cfRule type="cellIs" priority="781" operator="lessThan" aboveAverage="0" equalAverage="0" bottom="0" percent="0" rank="0" text="" dxfId="1">
      <formula>0</formula>
    </cfRule>
  </conditionalFormatting>
  <conditionalFormatting sqref="H135">
    <cfRule type="cellIs" priority="782" operator="greaterThan" aboveAverage="0" equalAverage="0" bottom="0" percent="0" rank="0" text="" dxfId="0">
      <formula>0</formula>
    </cfRule>
    <cfRule type="cellIs" priority="783" operator="lessThan" aboveAverage="0" equalAverage="0" bottom="0" percent="0" rank="0" text="" dxfId="1">
      <formula>0</formula>
    </cfRule>
  </conditionalFormatting>
  <conditionalFormatting sqref="I135">
    <cfRule type="cellIs" priority="784" operator="greaterThan" aboveAverage="0" equalAverage="0" bottom="0" percent="0" rank="0" text="" dxfId="0">
      <formula>0</formula>
    </cfRule>
    <cfRule type="cellIs" priority="785" operator="lessThan" aboveAverage="0" equalAverage="0" bottom="0" percent="0" rank="0" text="" dxfId="1">
      <formula>0</formula>
    </cfRule>
  </conditionalFormatting>
  <conditionalFormatting sqref="J135">
    <cfRule type="cellIs" priority="786" operator="greaterThan" aboveAverage="0" equalAverage="0" bottom="0" percent="0" rank="0" text="" dxfId="0">
      <formula>0</formula>
    </cfRule>
    <cfRule type="cellIs" priority="787" operator="lessThan" aboveAverage="0" equalAverage="0" bottom="0" percent="0" rank="0" text="" dxfId="1">
      <formula>0</formula>
    </cfRule>
  </conditionalFormatting>
  <conditionalFormatting sqref="H136">
    <cfRule type="cellIs" priority="788" operator="greaterThan" aboveAverage="0" equalAverage="0" bottom="0" percent="0" rank="0" text="" dxfId="0">
      <formula>0</formula>
    </cfRule>
    <cfRule type="cellIs" priority="789" operator="lessThan" aboveAverage="0" equalAverage="0" bottom="0" percent="0" rank="0" text="" dxfId="1">
      <formula>0</formula>
    </cfRule>
  </conditionalFormatting>
  <conditionalFormatting sqref="I136">
    <cfRule type="cellIs" priority="790" operator="greaterThan" aboveAverage="0" equalAverage="0" bottom="0" percent="0" rank="0" text="" dxfId="0">
      <formula>0</formula>
    </cfRule>
    <cfRule type="cellIs" priority="791" operator="lessThan" aboveAverage="0" equalAverage="0" bottom="0" percent="0" rank="0" text="" dxfId="1">
      <formula>0</formula>
    </cfRule>
  </conditionalFormatting>
  <conditionalFormatting sqref="J136">
    <cfRule type="cellIs" priority="792" operator="greaterThan" aboveAverage="0" equalAverage="0" bottom="0" percent="0" rank="0" text="" dxfId="0">
      <formula>0</formula>
    </cfRule>
    <cfRule type="cellIs" priority="793" operator="lessThan" aboveAverage="0" equalAverage="0" bottom="0" percent="0" rank="0" text="" dxfId="1">
      <formula>0</formula>
    </cfRule>
  </conditionalFormatting>
  <conditionalFormatting sqref="H137">
    <cfRule type="cellIs" priority="794" operator="greaterThan" aboveAverage="0" equalAverage="0" bottom="0" percent="0" rank="0" text="" dxfId="0">
      <formula>0</formula>
    </cfRule>
    <cfRule type="cellIs" priority="795" operator="lessThan" aboveAverage="0" equalAverage="0" bottom="0" percent="0" rank="0" text="" dxfId="1">
      <formula>0</formula>
    </cfRule>
  </conditionalFormatting>
  <conditionalFormatting sqref="I137">
    <cfRule type="cellIs" priority="796" operator="greaterThan" aboveAverage="0" equalAverage="0" bottom="0" percent="0" rank="0" text="" dxfId="0">
      <formula>0</formula>
    </cfRule>
    <cfRule type="cellIs" priority="797" operator="lessThan" aboveAverage="0" equalAverage="0" bottom="0" percent="0" rank="0" text="" dxfId="1">
      <formula>0</formula>
    </cfRule>
  </conditionalFormatting>
  <conditionalFormatting sqref="J137">
    <cfRule type="cellIs" priority="798" operator="greaterThan" aboveAverage="0" equalAverage="0" bottom="0" percent="0" rank="0" text="" dxfId="0">
      <formula>0</formula>
    </cfRule>
    <cfRule type="cellIs" priority="799" operator="lessThan" aboveAverage="0" equalAverage="0" bottom="0" percent="0" rank="0" text="" dxfId="1">
      <formula>0</formula>
    </cfRule>
  </conditionalFormatting>
  <conditionalFormatting sqref="H138">
    <cfRule type="cellIs" priority="800" operator="greaterThan" aboveAverage="0" equalAverage="0" bottom="0" percent="0" rank="0" text="" dxfId="0">
      <formula>0</formula>
    </cfRule>
    <cfRule type="cellIs" priority="801" operator="lessThan" aboveAverage="0" equalAverage="0" bottom="0" percent="0" rank="0" text="" dxfId="1">
      <formula>0</formula>
    </cfRule>
  </conditionalFormatting>
  <conditionalFormatting sqref="I138">
    <cfRule type="cellIs" priority="802" operator="greaterThan" aboveAverage="0" equalAverage="0" bottom="0" percent="0" rank="0" text="" dxfId="0">
      <formula>0</formula>
    </cfRule>
    <cfRule type="cellIs" priority="803" operator="lessThan" aboveAverage="0" equalAverage="0" bottom="0" percent="0" rank="0" text="" dxfId="1">
      <formula>0</formula>
    </cfRule>
  </conditionalFormatting>
  <conditionalFormatting sqref="J138">
    <cfRule type="cellIs" priority="804" operator="greaterThan" aboveAverage="0" equalAverage="0" bottom="0" percent="0" rank="0" text="" dxfId="0">
      <formula>0</formula>
    </cfRule>
    <cfRule type="cellIs" priority="805" operator="lessThan" aboveAverage="0" equalAverage="0" bottom="0" percent="0" rank="0" text="" dxfId="1">
      <formula>0</formula>
    </cfRule>
  </conditionalFormatting>
  <conditionalFormatting sqref="H139">
    <cfRule type="cellIs" priority="806" operator="greaterThan" aboveAverage="0" equalAverage="0" bottom="0" percent="0" rank="0" text="" dxfId="0">
      <formula>0</formula>
    </cfRule>
    <cfRule type="cellIs" priority="807" operator="lessThan" aboveAverage="0" equalAverage="0" bottom="0" percent="0" rank="0" text="" dxfId="1">
      <formula>0</formula>
    </cfRule>
  </conditionalFormatting>
  <conditionalFormatting sqref="I139">
    <cfRule type="cellIs" priority="808" operator="greaterThan" aboveAverage="0" equalAverage="0" bottom="0" percent="0" rank="0" text="" dxfId="0">
      <formula>0</formula>
    </cfRule>
    <cfRule type="cellIs" priority="809" operator="lessThan" aboveAverage="0" equalAverage="0" bottom="0" percent="0" rank="0" text="" dxfId="1">
      <formula>0</formula>
    </cfRule>
  </conditionalFormatting>
  <conditionalFormatting sqref="J139">
    <cfRule type="cellIs" priority="810" operator="greaterThan" aboveAverage="0" equalAverage="0" bottom="0" percent="0" rank="0" text="" dxfId="0">
      <formula>0</formula>
    </cfRule>
    <cfRule type="cellIs" priority="811" operator="lessThan" aboveAverage="0" equalAverage="0" bottom="0" percent="0" rank="0" text="" dxfId="1">
      <formula>0</formula>
    </cfRule>
  </conditionalFormatting>
  <conditionalFormatting sqref="H140">
    <cfRule type="cellIs" priority="812" operator="greaterThan" aboveAverage="0" equalAverage="0" bottom="0" percent="0" rank="0" text="" dxfId="0">
      <formula>0</formula>
    </cfRule>
    <cfRule type="cellIs" priority="813" operator="lessThan" aboveAverage="0" equalAverage="0" bottom="0" percent="0" rank="0" text="" dxfId="1">
      <formula>0</formula>
    </cfRule>
  </conditionalFormatting>
  <conditionalFormatting sqref="I140">
    <cfRule type="cellIs" priority="814" operator="greaterThan" aboveAverage="0" equalAverage="0" bottom="0" percent="0" rank="0" text="" dxfId="0">
      <formula>0</formula>
    </cfRule>
    <cfRule type="cellIs" priority="815" operator="lessThan" aboveAverage="0" equalAverage="0" bottom="0" percent="0" rank="0" text="" dxfId="1">
      <formula>0</formula>
    </cfRule>
  </conditionalFormatting>
  <conditionalFormatting sqref="J140">
    <cfRule type="cellIs" priority="816" operator="greaterThan" aboveAverage="0" equalAverage="0" bottom="0" percent="0" rank="0" text="" dxfId="0">
      <formula>0</formula>
    </cfRule>
    <cfRule type="cellIs" priority="817" operator="lessThan" aboveAverage="0" equalAverage="0" bottom="0" percent="0" rank="0" text="" dxfId="1">
      <formula>0</formula>
    </cfRule>
  </conditionalFormatting>
  <conditionalFormatting sqref="H141">
    <cfRule type="cellIs" priority="818" operator="greaterThan" aboveAverage="0" equalAverage="0" bottom="0" percent="0" rank="0" text="" dxfId="0">
      <formula>0</formula>
    </cfRule>
    <cfRule type="cellIs" priority="819" operator="lessThan" aboveAverage="0" equalAverage="0" bottom="0" percent="0" rank="0" text="" dxfId="1">
      <formula>0</formula>
    </cfRule>
  </conditionalFormatting>
  <conditionalFormatting sqref="I141">
    <cfRule type="cellIs" priority="820" operator="greaterThan" aboveAverage="0" equalAverage="0" bottom="0" percent="0" rank="0" text="" dxfId="0">
      <formula>0</formula>
    </cfRule>
    <cfRule type="cellIs" priority="821" operator="lessThan" aboveAverage="0" equalAverage="0" bottom="0" percent="0" rank="0" text="" dxfId="1">
      <formula>0</formula>
    </cfRule>
  </conditionalFormatting>
  <conditionalFormatting sqref="J141">
    <cfRule type="cellIs" priority="822" operator="greaterThan" aboveAverage="0" equalAverage="0" bottom="0" percent="0" rank="0" text="" dxfId="0">
      <formula>0</formula>
    </cfRule>
    <cfRule type="cellIs" priority="823" operator="lessThan" aboveAverage="0" equalAverage="0" bottom="0" percent="0" rank="0" text="" dxfId="1">
      <formula>0</formula>
    </cfRule>
  </conditionalFormatting>
  <conditionalFormatting sqref="H142">
    <cfRule type="cellIs" priority="824" operator="greaterThan" aboveAverage="0" equalAverage="0" bottom="0" percent="0" rank="0" text="" dxfId="0">
      <formula>0</formula>
    </cfRule>
    <cfRule type="cellIs" priority="825" operator="lessThan" aboveAverage="0" equalAverage="0" bottom="0" percent="0" rank="0" text="" dxfId="1">
      <formula>0</formula>
    </cfRule>
  </conditionalFormatting>
  <conditionalFormatting sqref="I142">
    <cfRule type="cellIs" priority="826" operator="greaterThan" aboveAverage="0" equalAverage="0" bottom="0" percent="0" rank="0" text="" dxfId="0">
      <formula>0</formula>
    </cfRule>
    <cfRule type="cellIs" priority="827" operator="lessThan" aboveAverage="0" equalAverage="0" bottom="0" percent="0" rank="0" text="" dxfId="1">
      <formula>0</formula>
    </cfRule>
  </conditionalFormatting>
  <conditionalFormatting sqref="J142">
    <cfRule type="cellIs" priority="828" operator="greaterThan" aboveAverage="0" equalAverage="0" bottom="0" percent="0" rank="0" text="" dxfId="0">
      <formula>0</formula>
    </cfRule>
    <cfRule type="cellIs" priority="829" operator="lessThan" aboveAverage="0" equalAverage="0" bottom="0" percent="0" rank="0" text="" dxfId="1">
      <formula>0</formula>
    </cfRule>
  </conditionalFormatting>
  <conditionalFormatting sqref="H143">
    <cfRule type="cellIs" priority="830" operator="greaterThan" aboveAverage="0" equalAverage="0" bottom="0" percent="0" rank="0" text="" dxfId="0">
      <formula>0</formula>
    </cfRule>
    <cfRule type="cellIs" priority="831" operator="lessThan" aboveAverage="0" equalAverage="0" bottom="0" percent="0" rank="0" text="" dxfId="1">
      <formula>0</formula>
    </cfRule>
  </conditionalFormatting>
  <conditionalFormatting sqref="I143">
    <cfRule type="cellIs" priority="832" operator="greaterThan" aboveAverage="0" equalAverage="0" bottom="0" percent="0" rank="0" text="" dxfId="0">
      <formula>0</formula>
    </cfRule>
    <cfRule type="cellIs" priority="833" operator="lessThan" aboveAverage="0" equalAverage="0" bottom="0" percent="0" rank="0" text="" dxfId="1">
      <formula>0</formula>
    </cfRule>
  </conditionalFormatting>
  <conditionalFormatting sqref="J143">
    <cfRule type="cellIs" priority="834" operator="greaterThan" aboveAverage="0" equalAverage="0" bottom="0" percent="0" rank="0" text="" dxfId="0">
      <formula>0</formula>
    </cfRule>
    <cfRule type="cellIs" priority="835" operator="lessThan" aboveAverage="0" equalAverage="0" bottom="0" percent="0" rank="0" text="" dxfId="1">
      <formula>0</formula>
    </cfRule>
  </conditionalFormatting>
  <conditionalFormatting sqref="H144">
    <cfRule type="cellIs" priority="836" operator="greaterThan" aboveAverage="0" equalAverage="0" bottom="0" percent="0" rank="0" text="" dxfId="0">
      <formula>0</formula>
    </cfRule>
    <cfRule type="cellIs" priority="837" operator="lessThan" aboveAverage="0" equalAverage="0" bottom="0" percent="0" rank="0" text="" dxfId="1">
      <formula>0</formula>
    </cfRule>
  </conditionalFormatting>
  <conditionalFormatting sqref="I144">
    <cfRule type="cellIs" priority="838" operator="greaterThan" aboveAverage="0" equalAverage="0" bottom="0" percent="0" rank="0" text="" dxfId="0">
      <formula>0</formula>
    </cfRule>
    <cfRule type="cellIs" priority="839" operator="lessThan" aboveAverage="0" equalAverage="0" bottom="0" percent="0" rank="0" text="" dxfId="1">
      <formula>0</formula>
    </cfRule>
  </conditionalFormatting>
  <conditionalFormatting sqref="J144">
    <cfRule type="cellIs" priority="840" operator="greaterThan" aboveAverage="0" equalAverage="0" bottom="0" percent="0" rank="0" text="" dxfId="0">
      <formula>0</formula>
    </cfRule>
    <cfRule type="cellIs" priority="841" operator="lessThan" aboveAverage="0" equalAverage="0" bottom="0" percent="0" rank="0" text="" dxfId="1">
      <formula>0</formula>
    </cfRule>
  </conditionalFormatting>
  <conditionalFormatting sqref="H145">
    <cfRule type="cellIs" priority="842" operator="greaterThan" aboveAverage="0" equalAverage="0" bottom="0" percent="0" rank="0" text="" dxfId="0">
      <formula>0</formula>
    </cfRule>
    <cfRule type="cellIs" priority="843" operator="lessThan" aboveAverage="0" equalAverage="0" bottom="0" percent="0" rank="0" text="" dxfId="1">
      <formula>0</formula>
    </cfRule>
  </conditionalFormatting>
  <conditionalFormatting sqref="I145">
    <cfRule type="cellIs" priority="844" operator="greaterThan" aboveAverage="0" equalAverage="0" bottom="0" percent="0" rank="0" text="" dxfId="0">
      <formula>0</formula>
    </cfRule>
    <cfRule type="cellIs" priority="845" operator="lessThan" aboveAverage="0" equalAverage="0" bottom="0" percent="0" rank="0" text="" dxfId="1">
      <formula>0</formula>
    </cfRule>
  </conditionalFormatting>
  <conditionalFormatting sqref="J145">
    <cfRule type="cellIs" priority="846" operator="greaterThan" aboveAverage="0" equalAverage="0" bottom="0" percent="0" rank="0" text="" dxfId="0">
      <formula>0</formula>
    </cfRule>
    <cfRule type="cellIs" priority="847" operator="lessThan" aboveAverage="0" equalAverage="0" bottom="0" percent="0" rank="0" text="" dxfId="1">
      <formula>0</formula>
    </cfRule>
  </conditionalFormatting>
  <conditionalFormatting sqref="H146">
    <cfRule type="cellIs" priority="848" operator="greaterThan" aboveAverage="0" equalAverage="0" bottom="0" percent="0" rank="0" text="" dxfId="0">
      <formula>0</formula>
    </cfRule>
    <cfRule type="cellIs" priority="849" operator="lessThan" aboveAverage="0" equalAverage="0" bottom="0" percent="0" rank="0" text="" dxfId="1">
      <formula>0</formula>
    </cfRule>
  </conditionalFormatting>
  <conditionalFormatting sqref="I146">
    <cfRule type="cellIs" priority="850" operator="greaterThan" aboveAverage="0" equalAverage="0" bottom="0" percent="0" rank="0" text="" dxfId="0">
      <formula>0</formula>
    </cfRule>
    <cfRule type="cellIs" priority="851" operator="lessThan" aboveAverage="0" equalAverage="0" bottom="0" percent="0" rank="0" text="" dxfId="1">
      <formula>0</formula>
    </cfRule>
  </conditionalFormatting>
  <conditionalFormatting sqref="J146">
    <cfRule type="cellIs" priority="852" operator="greaterThan" aboveAverage="0" equalAverage="0" bottom="0" percent="0" rank="0" text="" dxfId="0">
      <formula>0</formula>
    </cfRule>
    <cfRule type="cellIs" priority="853" operator="lessThan" aboveAverage="0" equalAverage="0" bottom="0" percent="0" rank="0" text="" dxfId="1">
      <formula>0</formula>
    </cfRule>
  </conditionalFormatting>
  <conditionalFormatting sqref="H147">
    <cfRule type="cellIs" priority="854" operator="greaterThan" aboveAverage="0" equalAverage="0" bottom="0" percent="0" rank="0" text="" dxfId="0">
      <formula>0</formula>
    </cfRule>
    <cfRule type="cellIs" priority="855" operator="lessThan" aboveAverage="0" equalAverage="0" bottom="0" percent="0" rank="0" text="" dxfId="1">
      <formula>0</formula>
    </cfRule>
  </conditionalFormatting>
  <conditionalFormatting sqref="I147">
    <cfRule type="cellIs" priority="856" operator="greaterThan" aboveAverage="0" equalAverage="0" bottom="0" percent="0" rank="0" text="" dxfId="0">
      <formula>0</formula>
    </cfRule>
    <cfRule type="cellIs" priority="857" operator="lessThan" aboveAverage="0" equalAverage="0" bottom="0" percent="0" rank="0" text="" dxfId="1">
      <formula>0</formula>
    </cfRule>
  </conditionalFormatting>
  <conditionalFormatting sqref="J147">
    <cfRule type="cellIs" priority="858" operator="greaterThan" aboveAverage="0" equalAverage="0" bottom="0" percent="0" rank="0" text="" dxfId="0">
      <formula>0</formula>
    </cfRule>
    <cfRule type="cellIs" priority="859" operator="lessThan" aboveAverage="0" equalAverage="0" bottom="0" percent="0" rank="0" text="" dxfId="1">
      <formula>0</formula>
    </cfRule>
  </conditionalFormatting>
  <conditionalFormatting sqref="H148">
    <cfRule type="cellIs" priority="860" operator="greaterThan" aboveAverage="0" equalAverage="0" bottom="0" percent="0" rank="0" text="" dxfId="0">
      <formula>0</formula>
    </cfRule>
    <cfRule type="cellIs" priority="861" operator="lessThan" aboveAverage="0" equalAverage="0" bottom="0" percent="0" rank="0" text="" dxfId="1">
      <formula>0</formula>
    </cfRule>
  </conditionalFormatting>
  <conditionalFormatting sqref="I148">
    <cfRule type="cellIs" priority="862" operator="greaterThan" aboveAverage="0" equalAverage="0" bottom="0" percent="0" rank="0" text="" dxfId="0">
      <formula>0</formula>
    </cfRule>
    <cfRule type="cellIs" priority="863" operator="lessThan" aboveAverage="0" equalAverage="0" bottom="0" percent="0" rank="0" text="" dxfId="1">
      <formula>0</formula>
    </cfRule>
  </conditionalFormatting>
  <conditionalFormatting sqref="J148">
    <cfRule type="cellIs" priority="864" operator="greaterThan" aboveAverage="0" equalAverage="0" bottom="0" percent="0" rank="0" text="" dxfId="0">
      <formula>0</formula>
    </cfRule>
    <cfRule type="cellIs" priority="865" operator="lessThan" aboveAverage="0" equalAverage="0" bottom="0" percent="0" rank="0" text="" dxfId="1">
      <formula>0</formula>
    </cfRule>
  </conditionalFormatting>
  <conditionalFormatting sqref="H149">
    <cfRule type="cellIs" priority="866" operator="greaterThan" aboveAverage="0" equalAverage="0" bottom="0" percent="0" rank="0" text="" dxfId="0">
      <formula>0</formula>
    </cfRule>
    <cfRule type="cellIs" priority="867" operator="lessThan" aboveAverage="0" equalAverage="0" bottom="0" percent="0" rank="0" text="" dxfId="1">
      <formula>0</formula>
    </cfRule>
  </conditionalFormatting>
  <conditionalFormatting sqref="I149">
    <cfRule type="cellIs" priority="868" operator="greaterThan" aboveAverage="0" equalAverage="0" bottom="0" percent="0" rank="0" text="" dxfId="0">
      <formula>0</formula>
    </cfRule>
    <cfRule type="cellIs" priority="869" operator="lessThan" aboveAverage="0" equalAverage="0" bottom="0" percent="0" rank="0" text="" dxfId="1">
      <formula>0</formula>
    </cfRule>
  </conditionalFormatting>
  <conditionalFormatting sqref="J149">
    <cfRule type="cellIs" priority="870" operator="greaterThan" aboveAverage="0" equalAverage="0" bottom="0" percent="0" rank="0" text="" dxfId="0">
      <formula>0</formula>
    </cfRule>
    <cfRule type="cellIs" priority="871" operator="lessThan" aboveAverage="0" equalAverage="0" bottom="0" percent="0" rank="0" text="" dxfId="1">
      <formula>0</formula>
    </cfRule>
  </conditionalFormatting>
  <conditionalFormatting sqref="H150">
    <cfRule type="cellIs" priority="872" operator="greaterThan" aboveAverage="0" equalAverage="0" bottom="0" percent="0" rank="0" text="" dxfId="0">
      <formula>0</formula>
    </cfRule>
    <cfRule type="cellIs" priority="873" operator="lessThan" aboveAverage="0" equalAverage="0" bottom="0" percent="0" rank="0" text="" dxfId="1">
      <formula>0</formula>
    </cfRule>
  </conditionalFormatting>
  <conditionalFormatting sqref="I150">
    <cfRule type="cellIs" priority="874" operator="greaterThan" aboveAverage="0" equalAverage="0" bottom="0" percent="0" rank="0" text="" dxfId="0">
      <formula>0</formula>
    </cfRule>
    <cfRule type="cellIs" priority="875" operator="lessThan" aboveAverage="0" equalAverage="0" bottom="0" percent="0" rank="0" text="" dxfId="1">
      <formula>0</formula>
    </cfRule>
  </conditionalFormatting>
  <conditionalFormatting sqref="J150">
    <cfRule type="cellIs" priority="876" operator="greaterThan" aboveAverage="0" equalAverage="0" bottom="0" percent="0" rank="0" text="" dxfId="0">
      <formula>0</formula>
    </cfRule>
    <cfRule type="cellIs" priority="877" operator="lessThan" aboveAverage="0" equalAverage="0" bottom="0" percent="0" rank="0" text="" dxfId="1">
      <formula>0</formula>
    </cfRule>
  </conditionalFormatting>
  <conditionalFormatting sqref="H151">
    <cfRule type="cellIs" priority="878" operator="greaterThan" aboveAverage="0" equalAverage="0" bottom="0" percent="0" rank="0" text="" dxfId="0">
      <formula>0</formula>
    </cfRule>
    <cfRule type="cellIs" priority="879" operator="lessThan" aboveAverage="0" equalAverage="0" bottom="0" percent="0" rank="0" text="" dxfId="1">
      <formula>0</formula>
    </cfRule>
  </conditionalFormatting>
  <conditionalFormatting sqref="I151">
    <cfRule type="cellIs" priority="880" operator="greaterThan" aboveAverage="0" equalAverage="0" bottom="0" percent="0" rank="0" text="" dxfId="0">
      <formula>0</formula>
    </cfRule>
    <cfRule type="cellIs" priority="881" operator="lessThan" aboveAverage="0" equalAverage="0" bottom="0" percent="0" rank="0" text="" dxfId="1">
      <formula>0</formula>
    </cfRule>
  </conditionalFormatting>
  <conditionalFormatting sqref="J151">
    <cfRule type="cellIs" priority="882" operator="greaterThan" aboveAverage="0" equalAverage="0" bottom="0" percent="0" rank="0" text="" dxfId="0">
      <formula>0</formula>
    </cfRule>
    <cfRule type="cellIs" priority="883" operator="lessThan" aboveAverage="0" equalAverage="0" bottom="0" percent="0" rank="0" text="" dxfId="1">
      <formula>0</formula>
    </cfRule>
  </conditionalFormatting>
  <conditionalFormatting sqref="H152">
    <cfRule type="cellIs" priority="884" operator="greaterThan" aboveAverage="0" equalAverage="0" bottom="0" percent="0" rank="0" text="" dxfId="0">
      <formula>0</formula>
    </cfRule>
    <cfRule type="cellIs" priority="885" operator="lessThan" aboveAverage="0" equalAverage="0" bottom="0" percent="0" rank="0" text="" dxfId="1">
      <formula>0</formula>
    </cfRule>
  </conditionalFormatting>
  <conditionalFormatting sqref="I152">
    <cfRule type="cellIs" priority="886" operator="greaterThan" aboveAverage="0" equalAverage="0" bottom="0" percent="0" rank="0" text="" dxfId="0">
      <formula>0</formula>
    </cfRule>
    <cfRule type="cellIs" priority="887" operator="lessThan" aboveAverage="0" equalAverage="0" bottom="0" percent="0" rank="0" text="" dxfId="1">
      <formula>0</formula>
    </cfRule>
  </conditionalFormatting>
  <conditionalFormatting sqref="J152">
    <cfRule type="cellIs" priority="888" operator="greaterThan" aboveAverage="0" equalAverage="0" bottom="0" percent="0" rank="0" text="" dxfId="0">
      <formula>0</formula>
    </cfRule>
    <cfRule type="cellIs" priority="889" operator="lessThan" aboveAverage="0" equalAverage="0" bottom="0" percent="0" rank="0" text="" dxfId="1">
      <formula>0</formula>
    </cfRule>
  </conditionalFormatting>
  <conditionalFormatting sqref="H153">
    <cfRule type="cellIs" priority="890" operator="greaterThan" aboveAverage="0" equalAverage="0" bottom="0" percent="0" rank="0" text="" dxfId="0">
      <formula>0</formula>
    </cfRule>
    <cfRule type="cellIs" priority="891" operator="lessThan" aboveAverage="0" equalAverage="0" bottom="0" percent="0" rank="0" text="" dxfId="1">
      <formula>0</formula>
    </cfRule>
  </conditionalFormatting>
  <conditionalFormatting sqref="I153">
    <cfRule type="cellIs" priority="892" operator="greaterThan" aboveAverage="0" equalAverage="0" bottom="0" percent="0" rank="0" text="" dxfId="0">
      <formula>0</formula>
    </cfRule>
    <cfRule type="cellIs" priority="893" operator="lessThan" aboveAverage="0" equalAverage="0" bottom="0" percent="0" rank="0" text="" dxfId="1">
      <formula>0</formula>
    </cfRule>
  </conditionalFormatting>
  <conditionalFormatting sqref="J153">
    <cfRule type="cellIs" priority="894" operator="greaterThan" aboveAverage="0" equalAverage="0" bottom="0" percent="0" rank="0" text="" dxfId="0">
      <formula>0</formula>
    </cfRule>
    <cfRule type="cellIs" priority="895" operator="lessThan" aboveAverage="0" equalAverage="0" bottom="0" percent="0" rank="0" text="" dxfId="1">
      <formula>0</formula>
    </cfRule>
  </conditionalFormatting>
  <conditionalFormatting sqref="H154">
    <cfRule type="cellIs" priority="896" operator="greaterThan" aboveAverage="0" equalAverage="0" bottom="0" percent="0" rank="0" text="" dxfId="0">
      <formula>0</formula>
    </cfRule>
    <cfRule type="cellIs" priority="897" operator="lessThan" aboveAverage="0" equalAverage="0" bottom="0" percent="0" rank="0" text="" dxfId="1">
      <formula>0</formula>
    </cfRule>
  </conditionalFormatting>
  <conditionalFormatting sqref="I154">
    <cfRule type="cellIs" priority="898" operator="greaterThan" aboveAverage="0" equalAverage="0" bottom="0" percent="0" rank="0" text="" dxfId="0">
      <formula>0</formula>
    </cfRule>
    <cfRule type="cellIs" priority="899" operator="lessThan" aboveAverage="0" equalAverage="0" bottom="0" percent="0" rank="0" text="" dxfId="1">
      <formula>0</formula>
    </cfRule>
  </conditionalFormatting>
  <conditionalFormatting sqref="J154">
    <cfRule type="cellIs" priority="900" operator="greaterThan" aboveAverage="0" equalAverage="0" bottom="0" percent="0" rank="0" text="" dxfId="0">
      <formula>0</formula>
    </cfRule>
    <cfRule type="cellIs" priority="901" operator="lessThan" aboveAverage="0" equalAverage="0" bottom="0" percent="0" rank="0" text="" dxfId="1">
      <formula>0</formula>
    </cfRule>
  </conditionalFormatting>
  <conditionalFormatting sqref="H155">
    <cfRule type="cellIs" priority="902" operator="greaterThan" aboveAverage="0" equalAverage="0" bottom="0" percent="0" rank="0" text="" dxfId="0">
      <formula>0</formula>
    </cfRule>
    <cfRule type="cellIs" priority="903" operator="lessThan" aboveAverage="0" equalAverage="0" bottom="0" percent="0" rank="0" text="" dxfId="1">
      <formula>0</formula>
    </cfRule>
  </conditionalFormatting>
  <conditionalFormatting sqref="I155">
    <cfRule type="cellIs" priority="904" operator="greaterThan" aboveAverage="0" equalAverage="0" bottom="0" percent="0" rank="0" text="" dxfId="0">
      <formula>0</formula>
    </cfRule>
    <cfRule type="cellIs" priority="905" operator="lessThan" aboveAverage="0" equalAverage="0" bottom="0" percent="0" rank="0" text="" dxfId="1">
      <formula>0</formula>
    </cfRule>
  </conditionalFormatting>
  <conditionalFormatting sqref="J155">
    <cfRule type="cellIs" priority="906" operator="greaterThan" aboveAverage="0" equalAverage="0" bottom="0" percent="0" rank="0" text="" dxfId="0">
      <formula>0</formula>
    </cfRule>
    <cfRule type="cellIs" priority="907" operator="lessThan" aboveAverage="0" equalAverage="0" bottom="0" percent="0" rank="0" text="" dxfId="1">
      <formula>0</formula>
    </cfRule>
  </conditionalFormatting>
  <conditionalFormatting sqref="H156">
    <cfRule type="cellIs" priority="908" operator="greaterThan" aboveAverage="0" equalAverage="0" bottom="0" percent="0" rank="0" text="" dxfId="0">
      <formula>0</formula>
    </cfRule>
    <cfRule type="cellIs" priority="909" operator="lessThan" aboveAverage="0" equalAverage="0" bottom="0" percent="0" rank="0" text="" dxfId="1">
      <formula>0</formula>
    </cfRule>
  </conditionalFormatting>
  <conditionalFormatting sqref="I156">
    <cfRule type="cellIs" priority="910" operator="greaterThan" aboveAverage="0" equalAverage="0" bottom="0" percent="0" rank="0" text="" dxfId="0">
      <formula>0</formula>
    </cfRule>
    <cfRule type="cellIs" priority="911" operator="lessThan" aboveAverage="0" equalAverage="0" bottom="0" percent="0" rank="0" text="" dxfId="1">
      <formula>0</formula>
    </cfRule>
  </conditionalFormatting>
  <conditionalFormatting sqref="J156">
    <cfRule type="cellIs" priority="912" operator="greaterThan" aboveAverage="0" equalAverage="0" bottom="0" percent="0" rank="0" text="" dxfId="0">
      <formula>0</formula>
    </cfRule>
    <cfRule type="cellIs" priority="913" operator="lessThan" aboveAverage="0" equalAverage="0" bottom="0" percent="0" rank="0" text="" dxfId="1">
      <formula>0</formula>
    </cfRule>
  </conditionalFormatting>
  <conditionalFormatting sqref="H157">
    <cfRule type="cellIs" priority="914" operator="greaterThan" aboveAverage="0" equalAverage="0" bottom="0" percent="0" rank="0" text="" dxfId="0">
      <formula>0</formula>
    </cfRule>
    <cfRule type="cellIs" priority="915" operator="lessThan" aboveAverage="0" equalAverage="0" bottom="0" percent="0" rank="0" text="" dxfId="1">
      <formula>0</formula>
    </cfRule>
  </conditionalFormatting>
  <conditionalFormatting sqref="I157">
    <cfRule type="cellIs" priority="916" operator="greaterThan" aboveAverage="0" equalAverage="0" bottom="0" percent="0" rank="0" text="" dxfId="0">
      <formula>0</formula>
    </cfRule>
    <cfRule type="cellIs" priority="917" operator="lessThan" aboveAverage="0" equalAverage="0" bottom="0" percent="0" rank="0" text="" dxfId="1">
      <formula>0</formula>
    </cfRule>
  </conditionalFormatting>
  <conditionalFormatting sqref="J157">
    <cfRule type="cellIs" priority="918" operator="greaterThan" aboveAverage="0" equalAverage="0" bottom="0" percent="0" rank="0" text="" dxfId="0">
      <formula>0</formula>
    </cfRule>
    <cfRule type="cellIs" priority="919" operator="lessThan" aboveAverage="0" equalAverage="0" bottom="0" percent="0" rank="0" text="" dxfId="1">
      <formula>0</formula>
    </cfRule>
  </conditionalFormatting>
  <conditionalFormatting sqref="H158">
    <cfRule type="cellIs" priority="920" operator="greaterThan" aboveAverage="0" equalAverage="0" bottom="0" percent="0" rank="0" text="" dxfId="0">
      <formula>0</formula>
    </cfRule>
    <cfRule type="cellIs" priority="921" operator="lessThan" aboveAverage="0" equalAverage="0" bottom="0" percent="0" rank="0" text="" dxfId="1">
      <formula>0</formula>
    </cfRule>
  </conditionalFormatting>
  <conditionalFormatting sqref="I158">
    <cfRule type="cellIs" priority="922" operator="greaterThan" aboveAverage="0" equalAverage="0" bottom="0" percent="0" rank="0" text="" dxfId="0">
      <formula>0</formula>
    </cfRule>
    <cfRule type="cellIs" priority="923" operator="lessThan" aboveAverage="0" equalAverage="0" bottom="0" percent="0" rank="0" text="" dxfId="1">
      <formula>0</formula>
    </cfRule>
  </conditionalFormatting>
  <conditionalFormatting sqref="J158">
    <cfRule type="cellIs" priority="924" operator="greaterThan" aboveAverage="0" equalAverage="0" bottom="0" percent="0" rank="0" text="" dxfId="0">
      <formula>0</formula>
    </cfRule>
    <cfRule type="cellIs" priority="925" operator="lessThan" aboveAverage="0" equalAverage="0" bottom="0" percent="0" rank="0" text="" dxfId="1">
      <formula>0</formula>
    </cfRule>
  </conditionalFormatting>
  <conditionalFormatting sqref="H159">
    <cfRule type="cellIs" priority="926" operator="greaterThan" aboveAverage="0" equalAverage="0" bottom="0" percent="0" rank="0" text="" dxfId="0">
      <formula>0</formula>
    </cfRule>
    <cfRule type="cellIs" priority="927" operator="lessThan" aboveAverage="0" equalAverage="0" bottom="0" percent="0" rank="0" text="" dxfId="1">
      <formula>0</formula>
    </cfRule>
  </conditionalFormatting>
  <conditionalFormatting sqref="I159">
    <cfRule type="cellIs" priority="928" operator="greaterThan" aboveAverage="0" equalAverage="0" bottom="0" percent="0" rank="0" text="" dxfId="0">
      <formula>0</formula>
    </cfRule>
    <cfRule type="cellIs" priority="929" operator="lessThan" aboveAverage="0" equalAverage="0" bottom="0" percent="0" rank="0" text="" dxfId="1">
      <formula>0</formula>
    </cfRule>
  </conditionalFormatting>
  <conditionalFormatting sqref="J159">
    <cfRule type="cellIs" priority="930" operator="greaterThan" aboveAverage="0" equalAverage="0" bottom="0" percent="0" rank="0" text="" dxfId="0">
      <formula>0</formula>
    </cfRule>
    <cfRule type="cellIs" priority="931" operator="lessThan" aboveAverage="0" equalAverage="0" bottom="0" percent="0" rank="0" text="" dxfId="1">
      <formula>0</formula>
    </cfRule>
  </conditionalFormatting>
  <conditionalFormatting sqref="H160">
    <cfRule type="cellIs" priority="932" operator="greaterThan" aboveAverage="0" equalAverage="0" bottom="0" percent="0" rank="0" text="" dxfId="0">
      <formula>0</formula>
    </cfRule>
    <cfRule type="cellIs" priority="933" operator="lessThan" aboveAverage="0" equalAverage="0" bottom="0" percent="0" rank="0" text="" dxfId="1">
      <formula>0</formula>
    </cfRule>
  </conditionalFormatting>
  <conditionalFormatting sqref="I160">
    <cfRule type="cellIs" priority="934" operator="greaterThan" aboveAverage="0" equalAverage="0" bottom="0" percent="0" rank="0" text="" dxfId="0">
      <formula>0</formula>
    </cfRule>
    <cfRule type="cellIs" priority="935" operator="lessThan" aboveAverage="0" equalAverage="0" bottom="0" percent="0" rank="0" text="" dxfId="1">
      <formula>0</formula>
    </cfRule>
  </conditionalFormatting>
  <conditionalFormatting sqref="J160">
    <cfRule type="cellIs" priority="936" operator="greaterThan" aboveAverage="0" equalAverage="0" bottom="0" percent="0" rank="0" text="" dxfId="0">
      <formula>0</formula>
    </cfRule>
    <cfRule type="cellIs" priority="937" operator="lessThan" aboveAverage="0" equalAverage="0" bottom="0" percent="0" rank="0" text="" dxfId="1">
      <formula>0</formula>
    </cfRule>
  </conditionalFormatting>
  <conditionalFormatting sqref="H161">
    <cfRule type="cellIs" priority="938" operator="greaterThan" aboveAverage="0" equalAverage="0" bottom="0" percent="0" rank="0" text="" dxfId="0">
      <formula>0</formula>
    </cfRule>
    <cfRule type="cellIs" priority="939" operator="lessThan" aboveAverage="0" equalAverage="0" bottom="0" percent="0" rank="0" text="" dxfId="1">
      <formula>0</formula>
    </cfRule>
  </conditionalFormatting>
  <conditionalFormatting sqref="I161">
    <cfRule type="cellIs" priority="940" operator="greaterThan" aboveAverage="0" equalAverage="0" bottom="0" percent="0" rank="0" text="" dxfId="0">
      <formula>0</formula>
    </cfRule>
    <cfRule type="cellIs" priority="941" operator="lessThan" aboveAverage="0" equalAverage="0" bottom="0" percent="0" rank="0" text="" dxfId="1">
      <formula>0</formula>
    </cfRule>
  </conditionalFormatting>
  <conditionalFormatting sqref="J161">
    <cfRule type="cellIs" priority="942" operator="greaterThan" aboveAverage="0" equalAverage="0" bottom="0" percent="0" rank="0" text="" dxfId="0">
      <formula>0</formula>
    </cfRule>
    <cfRule type="cellIs" priority="943" operator="lessThan" aboveAverage="0" equalAverage="0" bottom="0" percent="0" rank="0" text="" dxfId="1">
      <formula>0</formula>
    </cfRule>
  </conditionalFormatting>
  <conditionalFormatting sqref="H162">
    <cfRule type="cellIs" priority="944" operator="greaterThan" aboveAverage="0" equalAverage="0" bottom="0" percent="0" rank="0" text="" dxfId="0">
      <formula>0</formula>
    </cfRule>
    <cfRule type="cellIs" priority="945" operator="lessThan" aboveAverage="0" equalAverage="0" bottom="0" percent="0" rank="0" text="" dxfId="1">
      <formula>0</formula>
    </cfRule>
  </conditionalFormatting>
  <conditionalFormatting sqref="I162">
    <cfRule type="cellIs" priority="946" operator="greaterThan" aboveAverage="0" equalAverage="0" bottom="0" percent="0" rank="0" text="" dxfId="0">
      <formula>0</formula>
    </cfRule>
    <cfRule type="cellIs" priority="947" operator="lessThan" aboveAverage="0" equalAverage="0" bottom="0" percent="0" rank="0" text="" dxfId="1">
      <formula>0</formula>
    </cfRule>
  </conditionalFormatting>
  <conditionalFormatting sqref="J162">
    <cfRule type="cellIs" priority="948" operator="greaterThan" aboveAverage="0" equalAverage="0" bottom="0" percent="0" rank="0" text="" dxfId="0">
      <formula>0</formula>
    </cfRule>
    <cfRule type="cellIs" priority="949" operator="lessThan" aboveAverage="0" equalAverage="0" bottom="0" percent="0" rank="0" text="" dxfId="1">
      <formula>0</formula>
    </cfRule>
  </conditionalFormatting>
  <conditionalFormatting sqref="H163">
    <cfRule type="cellIs" priority="950" operator="greaterThan" aboveAverage="0" equalAverage="0" bottom="0" percent="0" rank="0" text="" dxfId="0">
      <formula>0</formula>
    </cfRule>
    <cfRule type="cellIs" priority="951" operator="lessThan" aboveAverage="0" equalAverage="0" bottom="0" percent="0" rank="0" text="" dxfId="1">
      <formula>0</formula>
    </cfRule>
  </conditionalFormatting>
  <conditionalFormatting sqref="I163">
    <cfRule type="cellIs" priority="952" operator="greaterThan" aboveAverage="0" equalAverage="0" bottom="0" percent="0" rank="0" text="" dxfId="0">
      <formula>0</formula>
    </cfRule>
    <cfRule type="cellIs" priority="953" operator="lessThan" aboveAverage="0" equalAverage="0" bottom="0" percent="0" rank="0" text="" dxfId="1">
      <formula>0</formula>
    </cfRule>
  </conditionalFormatting>
  <conditionalFormatting sqref="J163">
    <cfRule type="cellIs" priority="954" operator="greaterThan" aboveAverage="0" equalAverage="0" bottom="0" percent="0" rank="0" text="" dxfId="0">
      <formula>0</formula>
    </cfRule>
    <cfRule type="cellIs" priority="955" operator="lessThan" aboveAverage="0" equalAverage="0" bottom="0" percent="0" rank="0" text="" dxfId="1">
      <formula>0</formula>
    </cfRule>
  </conditionalFormatting>
  <conditionalFormatting sqref="H164">
    <cfRule type="cellIs" priority="956" operator="greaterThan" aboveAverage="0" equalAverage="0" bottom="0" percent="0" rank="0" text="" dxfId="0">
      <formula>0</formula>
    </cfRule>
    <cfRule type="cellIs" priority="957" operator="lessThan" aboveAverage="0" equalAverage="0" bottom="0" percent="0" rank="0" text="" dxfId="1">
      <formula>0</formula>
    </cfRule>
  </conditionalFormatting>
  <conditionalFormatting sqref="I164">
    <cfRule type="cellIs" priority="958" operator="greaterThan" aboveAverage="0" equalAverage="0" bottom="0" percent="0" rank="0" text="" dxfId="0">
      <formula>0</formula>
    </cfRule>
    <cfRule type="cellIs" priority="959" operator="lessThan" aboveAverage="0" equalAverage="0" bottom="0" percent="0" rank="0" text="" dxfId="1">
      <formula>0</formula>
    </cfRule>
  </conditionalFormatting>
  <conditionalFormatting sqref="J164">
    <cfRule type="cellIs" priority="960" operator="greaterThan" aboveAverage="0" equalAverage="0" bottom="0" percent="0" rank="0" text="" dxfId="0">
      <formula>0</formula>
    </cfRule>
    <cfRule type="cellIs" priority="961" operator="lessThan" aboveAverage="0" equalAverage="0" bottom="0" percent="0" rank="0" text="" dxfId="1">
      <formula>0</formula>
    </cfRule>
  </conditionalFormatting>
  <conditionalFormatting sqref="H165">
    <cfRule type="cellIs" priority="962" operator="greaterThan" aboveAverage="0" equalAverage="0" bottom="0" percent="0" rank="0" text="" dxfId="0">
      <formula>0</formula>
    </cfRule>
    <cfRule type="cellIs" priority="963" operator="lessThan" aboveAverage="0" equalAverage="0" bottom="0" percent="0" rank="0" text="" dxfId="1">
      <formula>0</formula>
    </cfRule>
  </conditionalFormatting>
  <conditionalFormatting sqref="I165">
    <cfRule type="cellIs" priority="964" operator="greaterThan" aboveAverage="0" equalAverage="0" bottom="0" percent="0" rank="0" text="" dxfId="0">
      <formula>0</formula>
    </cfRule>
    <cfRule type="cellIs" priority="965" operator="lessThan" aboveAverage="0" equalAverage="0" bottom="0" percent="0" rank="0" text="" dxfId="1">
      <formula>0</formula>
    </cfRule>
  </conditionalFormatting>
  <conditionalFormatting sqref="J165">
    <cfRule type="cellIs" priority="966" operator="greaterThan" aboveAverage="0" equalAverage="0" bottom="0" percent="0" rank="0" text="" dxfId="0">
      <formula>0</formula>
    </cfRule>
    <cfRule type="cellIs" priority="967" operator="lessThan" aboveAverage="0" equalAverage="0" bottom="0" percent="0" rank="0" text="" dxfId="1">
      <formula>0</formula>
    </cfRule>
  </conditionalFormatting>
  <conditionalFormatting sqref="H166">
    <cfRule type="cellIs" priority="968" operator="greaterThan" aboveAverage="0" equalAverage="0" bottom="0" percent="0" rank="0" text="" dxfId="0">
      <formula>0</formula>
    </cfRule>
    <cfRule type="cellIs" priority="969" operator="lessThan" aboveAverage="0" equalAverage="0" bottom="0" percent="0" rank="0" text="" dxfId="1">
      <formula>0</formula>
    </cfRule>
  </conditionalFormatting>
  <conditionalFormatting sqref="I166">
    <cfRule type="cellIs" priority="970" operator="greaterThan" aboveAverage="0" equalAverage="0" bottom="0" percent="0" rank="0" text="" dxfId="0">
      <formula>0</formula>
    </cfRule>
    <cfRule type="cellIs" priority="971" operator="lessThan" aboveAverage="0" equalAverage="0" bottom="0" percent="0" rank="0" text="" dxfId="1">
      <formula>0</formula>
    </cfRule>
  </conditionalFormatting>
  <conditionalFormatting sqref="J166">
    <cfRule type="cellIs" priority="972" operator="greaterThan" aboveAverage="0" equalAverage="0" bottom="0" percent="0" rank="0" text="" dxfId="0">
      <formula>0</formula>
    </cfRule>
    <cfRule type="cellIs" priority="973" operator="lessThan" aboveAverage="0" equalAverage="0" bottom="0" percent="0" rank="0" text="" dxfId="1">
      <formula>0</formula>
    </cfRule>
  </conditionalFormatting>
  <conditionalFormatting sqref="H167">
    <cfRule type="cellIs" priority="974" operator="greaterThan" aboveAverage="0" equalAverage="0" bottom="0" percent="0" rank="0" text="" dxfId="0">
      <formula>0</formula>
    </cfRule>
    <cfRule type="cellIs" priority="975" operator="lessThan" aboveAverage="0" equalAverage="0" bottom="0" percent="0" rank="0" text="" dxfId="1">
      <formula>0</formula>
    </cfRule>
  </conditionalFormatting>
  <conditionalFormatting sqref="I167">
    <cfRule type="cellIs" priority="976" operator="greaterThan" aboveAverage="0" equalAverage="0" bottom="0" percent="0" rank="0" text="" dxfId="0">
      <formula>0</formula>
    </cfRule>
    <cfRule type="cellIs" priority="977" operator="lessThan" aboveAverage="0" equalAverage="0" bottom="0" percent="0" rank="0" text="" dxfId="1">
      <formula>0</formula>
    </cfRule>
  </conditionalFormatting>
  <conditionalFormatting sqref="J167">
    <cfRule type="cellIs" priority="978" operator="greaterThan" aboveAverage="0" equalAverage="0" bottom="0" percent="0" rank="0" text="" dxfId="0">
      <formula>0</formula>
    </cfRule>
    <cfRule type="cellIs" priority="979" operator="lessThan" aboveAverage="0" equalAverage="0" bottom="0" percent="0" rank="0" text="" dxfId="1">
      <formula>0</formula>
    </cfRule>
  </conditionalFormatting>
  <conditionalFormatting sqref="H168">
    <cfRule type="cellIs" priority="980" operator="greaterThan" aboveAverage="0" equalAverage="0" bottom="0" percent="0" rank="0" text="" dxfId="0">
      <formula>0</formula>
    </cfRule>
    <cfRule type="cellIs" priority="981" operator="lessThan" aboveAverage="0" equalAverage="0" bottom="0" percent="0" rank="0" text="" dxfId="1">
      <formula>0</formula>
    </cfRule>
  </conditionalFormatting>
  <conditionalFormatting sqref="I168">
    <cfRule type="cellIs" priority="982" operator="greaterThan" aboveAverage="0" equalAverage="0" bottom="0" percent="0" rank="0" text="" dxfId="0">
      <formula>0</formula>
    </cfRule>
    <cfRule type="cellIs" priority="983" operator="lessThan" aboveAverage="0" equalAverage="0" bottom="0" percent="0" rank="0" text="" dxfId="1">
      <formula>0</formula>
    </cfRule>
  </conditionalFormatting>
  <conditionalFormatting sqref="J168">
    <cfRule type="cellIs" priority="984" operator="greaterThan" aboveAverage="0" equalAverage="0" bottom="0" percent="0" rank="0" text="" dxfId="0">
      <formula>0</formula>
    </cfRule>
    <cfRule type="cellIs" priority="985" operator="lessThan" aboveAverage="0" equalAverage="0" bottom="0" percent="0" rank="0" text="" dxfId="1">
      <formula>0</formula>
    </cfRule>
  </conditionalFormatting>
  <conditionalFormatting sqref="H169">
    <cfRule type="cellIs" priority="986" operator="greaterThan" aboveAverage="0" equalAverage="0" bottom="0" percent="0" rank="0" text="" dxfId="0">
      <formula>0</formula>
    </cfRule>
    <cfRule type="cellIs" priority="987" operator="lessThan" aboveAverage="0" equalAverage="0" bottom="0" percent="0" rank="0" text="" dxfId="1">
      <formula>0</formula>
    </cfRule>
  </conditionalFormatting>
  <conditionalFormatting sqref="I169">
    <cfRule type="cellIs" priority="988" operator="greaterThan" aboveAverage="0" equalAverage="0" bottom="0" percent="0" rank="0" text="" dxfId="0">
      <formula>0</formula>
    </cfRule>
    <cfRule type="cellIs" priority="989" operator="lessThan" aboveAverage="0" equalAverage="0" bottom="0" percent="0" rank="0" text="" dxfId="1">
      <formula>0</formula>
    </cfRule>
  </conditionalFormatting>
  <conditionalFormatting sqref="J169">
    <cfRule type="cellIs" priority="990" operator="greaterThan" aboveAverage="0" equalAverage="0" bottom="0" percent="0" rank="0" text="" dxfId="0">
      <formula>0</formula>
    </cfRule>
    <cfRule type="cellIs" priority="991" operator="lessThan" aboveAverage="0" equalAverage="0" bottom="0" percent="0" rank="0" text="" dxfId="1">
      <formula>0</formula>
    </cfRule>
  </conditionalFormatting>
  <conditionalFormatting sqref="H170">
    <cfRule type="cellIs" priority="992" operator="greaterThan" aboveAverage="0" equalAverage="0" bottom="0" percent="0" rank="0" text="" dxfId="0">
      <formula>0</formula>
    </cfRule>
    <cfRule type="cellIs" priority="993" operator="lessThan" aboveAverage="0" equalAverage="0" bottom="0" percent="0" rank="0" text="" dxfId="1">
      <formula>0</formula>
    </cfRule>
  </conditionalFormatting>
  <conditionalFormatting sqref="I170">
    <cfRule type="cellIs" priority="994" operator="greaterThan" aboveAverage="0" equalAverage="0" bottom="0" percent="0" rank="0" text="" dxfId="0">
      <formula>0</formula>
    </cfRule>
    <cfRule type="cellIs" priority="995" operator="lessThan" aboveAverage="0" equalAverage="0" bottom="0" percent="0" rank="0" text="" dxfId="1">
      <formula>0</formula>
    </cfRule>
  </conditionalFormatting>
  <conditionalFormatting sqref="J170">
    <cfRule type="cellIs" priority="996" operator="greaterThan" aboveAverage="0" equalAverage="0" bottom="0" percent="0" rank="0" text="" dxfId="0">
      <formula>0</formula>
    </cfRule>
    <cfRule type="cellIs" priority="997" operator="lessThan" aboveAverage="0" equalAverage="0" bottom="0" percent="0" rank="0" text="" dxfId="1">
      <formula>0</formula>
    </cfRule>
  </conditionalFormatting>
  <conditionalFormatting sqref="H171">
    <cfRule type="cellIs" priority="998" operator="greaterThan" aboveAverage="0" equalAverage="0" bottom="0" percent="0" rank="0" text="" dxfId="0">
      <formula>0</formula>
    </cfRule>
    <cfRule type="cellIs" priority="999" operator="lessThan" aboveAverage="0" equalAverage="0" bottom="0" percent="0" rank="0" text="" dxfId="1">
      <formula>0</formula>
    </cfRule>
  </conditionalFormatting>
  <conditionalFormatting sqref="I171">
    <cfRule type="cellIs" priority="1000" operator="greaterThan" aboveAverage="0" equalAverage="0" bottom="0" percent="0" rank="0" text="" dxfId="0">
      <formula>0</formula>
    </cfRule>
    <cfRule type="cellIs" priority="1001" operator="lessThan" aboveAverage="0" equalAverage="0" bottom="0" percent="0" rank="0" text="" dxfId="1">
      <formula>0</formula>
    </cfRule>
  </conditionalFormatting>
  <conditionalFormatting sqref="J171">
    <cfRule type="cellIs" priority="1002" operator="greaterThan" aboveAverage="0" equalAverage="0" bottom="0" percent="0" rank="0" text="" dxfId="0">
      <formula>0</formula>
    </cfRule>
    <cfRule type="cellIs" priority="1003" operator="lessThan" aboveAverage="0" equalAverage="0" bottom="0" percent="0" rank="0" text="" dxfId="1">
      <formula>0</formula>
    </cfRule>
  </conditionalFormatting>
  <conditionalFormatting sqref="H172">
    <cfRule type="cellIs" priority="1004" operator="greaterThan" aboveAverage="0" equalAverage="0" bottom="0" percent="0" rank="0" text="" dxfId="0">
      <formula>0</formula>
    </cfRule>
    <cfRule type="cellIs" priority="1005" operator="lessThan" aboveAverage="0" equalAverage="0" bottom="0" percent="0" rank="0" text="" dxfId="1">
      <formula>0</formula>
    </cfRule>
  </conditionalFormatting>
  <conditionalFormatting sqref="I172">
    <cfRule type="cellIs" priority="1006" operator="greaterThan" aboveAverage="0" equalAverage="0" bottom="0" percent="0" rank="0" text="" dxfId="0">
      <formula>0</formula>
    </cfRule>
    <cfRule type="cellIs" priority="1007" operator="lessThan" aboveAverage="0" equalAverage="0" bottom="0" percent="0" rank="0" text="" dxfId="1">
      <formula>0</formula>
    </cfRule>
  </conditionalFormatting>
  <conditionalFormatting sqref="J172">
    <cfRule type="cellIs" priority="1008" operator="greaterThan" aboveAverage="0" equalAverage="0" bottom="0" percent="0" rank="0" text="" dxfId="0">
      <formula>0</formula>
    </cfRule>
    <cfRule type="cellIs" priority="1009" operator="lessThan" aboveAverage="0" equalAverage="0" bottom="0" percent="0" rank="0" text="" dxfId="1">
      <formula>0</formula>
    </cfRule>
  </conditionalFormatting>
  <conditionalFormatting sqref="H173">
    <cfRule type="cellIs" priority="1010" operator="greaterThan" aboveAverage="0" equalAverage="0" bottom="0" percent="0" rank="0" text="" dxfId="0">
      <formula>0</formula>
    </cfRule>
    <cfRule type="cellIs" priority="1011" operator="lessThan" aboveAverage="0" equalAverage="0" bottom="0" percent="0" rank="0" text="" dxfId="1">
      <formula>0</formula>
    </cfRule>
  </conditionalFormatting>
  <conditionalFormatting sqref="I173">
    <cfRule type="cellIs" priority="1012" operator="greaterThan" aboveAverage="0" equalAverage="0" bottom="0" percent="0" rank="0" text="" dxfId="0">
      <formula>0</formula>
    </cfRule>
    <cfRule type="cellIs" priority="1013" operator="lessThan" aboveAverage="0" equalAverage="0" bottom="0" percent="0" rank="0" text="" dxfId="1">
      <formula>0</formula>
    </cfRule>
  </conditionalFormatting>
  <conditionalFormatting sqref="J173">
    <cfRule type="cellIs" priority="1014" operator="greaterThan" aboveAverage="0" equalAverage="0" bottom="0" percent="0" rank="0" text="" dxfId="0">
      <formula>0</formula>
    </cfRule>
    <cfRule type="cellIs" priority="1015" operator="lessThan" aboveAverage="0" equalAverage="0" bottom="0" percent="0" rank="0" text="" dxfId="1">
      <formula>0</formula>
    </cfRule>
  </conditionalFormatting>
  <conditionalFormatting sqref="H174">
    <cfRule type="cellIs" priority="1016" operator="greaterThan" aboveAverage="0" equalAverage="0" bottom="0" percent="0" rank="0" text="" dxfId="0">
      <formula>0</formula>
    </cfRule>
    <cfRule type="cellIs" priority="1017" operator="lessThan" aboveAverage="0" equalAverage="0" bottom="0" percent="0" rank="0" text="" dxfId="1">
      <formula>0</formula>
    </cfRule>
  </conditionalFormatting>
  <conditionalFormatting sqref="I174">
    <cfRule type="cellIs" priority="1018" operator="greaterThan" aboveAverage="0" equalAverage="0" bottom="0" percent="0" rank="0" text="" dxfId="0">
      <formula>0</formula>
    </cfRule>
    <cfRule type="cellIs" priority="1019" operator="lessThan" aboveAverage="0" equalAverage="0" bottom="0" percent="0" rank="0" text="" dxfId="1">
      <formula>0</formula>
    </cfRule>
  </conditionalFormatting>
  <conditionalFormatting sqref="J174">
    <cfRule type="cellIs" priority="1020" operator="greaterThan" aboveAverage="0" equalAverage="0" bottom="0" percent="0" rank="0" text="" dxfId="0">
      <formula>0</formula>
    </cfRule>
    <cfRule type="cellIs" priority="1021" operator="lessThan" aboveAverage="0" equalAverage="0" bottom="0" percent="0" rank="0" text="" dxfId="1">
      <formula>0</formula>
    </cfRule>
  </conditionalFormatting>
  <conditionalFormatting sqref="H175">
    <cfRule type="cellIs" priority="1022" operator="greaterThan" aboveAverage="0" equalAverage="0" bottom="0" percent="0" rank="0" text="" dxfId="0">
      <formula>0</formula>
    </cfRule>
    <cfRule type="cellIs" priority="1023" operator="lessThan" aboveAverage="0" equalAverage="0" bottom="0" percent="0" rank="0" text="" dxfId="1">
      <formula>0</formula>
    </cfRule>
  </conditionalFormatting>
  <conditionalFormatting sqref="I175">
    <cfRule type="cellIs" priority="1024" operator="greaterThan" aboveAverage="0" equalAverage="0" bottom="0" percent="0" rank="0" text="" dxfId="0">
      <formula>0</formula>
    </cfRule>
    <cfRule type="cellIs" priority="1025" operator="lessThan" aboveAverage="0" equalAverage="0" bottom="0" percent="0" rank="0" text="" dxfId="1">
      <formula>0</formula>
    </cfRule>
  </conditionalFormatting>
  <conditionalFormatting sqref="J175">
    <cfRule type="cellIs" priority="1026" operator="greaterThan" aboveAverage="0" equalAverage="0" bottom="0" percent="0" rank="0" text="" dxfId="0">
      <formula>0</formula>
    </cfRule>
    <cfRule type="cellIs" priority="1027" operator="lessThan" aboveAverage="0" equalAverage="0" bottom="0" percent="0" rank="0" text="" dxfId="1">
      <formula>0</formula>
    </cfRule>
  </conditionalFormatting>
  <conditionalFormatting sqref="H176">
    <cfRule type="cellIs" priority="1028" operator="greaterThan" aboveAverage="0" equalAverage="0" bottom="0" percent="0" rank="0" text="" dxfId="0">
      <formula>0</formula>
    </cfRule>
    <cfRule type="cellIs" priority="1029" operator="lessThan" aboveAverage="0" equalAverage="0" bottom="0" percent="0" rank="0" text="" dxfId="1">
      <formula>0</formula>
    </cfRule>
  </conditionalFormatting>
  <conditionalFormatting sqref="I176">
    <cfRule type="cellIs" priority="1030" operator="greaterThan" aboveAverage="0" equalAverage="0" bottom="0" percent="0" rank="0" text="" dxfId="0">
      <formula>0</formula>
    </cfRule>
    <cfRule type="cellIs" priority="1031" operator="lessThan" aboveAverage="0" equalAverage="0" bottom="0" percent="0" rank="0" text="" dxfId="1">
      <formula>0</formula>
    </cfRule>
  </conditionalFormatting>
  <conditionalFormatting sqref="J176">
    <cfRule type="cellIs" priority="1032" operator="greaterThan" aboveAverage="0" equalAverage="0" bottom="0" percent="0" rank="0" text="" dxfId="0">
      <formula>0</formula>
    </cfRule>
    <cfRule type="cellIs" priority="1033" operator="lessThan" aboveAverage="0" equalAverage="0" bottom="0" percent="0" rank="0" text="" dxfId="1">
      <formula>0</formula>
    </cfRule>
  </conditionalFormatting>
  <conditionalFormatting sqref="H177">
    <cfRule type="cellIs" priority="1034" operator="greaterThan" aboveAverage="0" equalAverage="0" bottom="0" percent="0" rank="0" text="" dxfId="0">
      <formula>0</formula>
    </cfRule>
    <cfRule type="cellIs" priority="1035" operator="lessThan" aboveAverage="0" equalAverage="0" bottom="0" percent="0" rank="0" text="" dxfId="1">
      <formula>0</formula>
    </cfRule>
  </conditionalFormatting>
  <conditionalFormatting sqref="I177">
    <cfRule type="cellIs" priority="1036" operator="greaterThan" aboveAverage="0" equalAverage="0" bottom="0" percent="0" rank="0" text="" dxfId="0">
      <formula>0</formula>
    </cfRule>
    <cfRule type="cellIs" priority="1037" operator="lessThan" aboveAverage="0" equalAverage="0" bottom="0" percent="0" rank="0" text="" dxfId="1">
      <formula>0</formula>
    </cfRule>
  </conditionalFormatting>
  <conditionalFormatting sqref="J177">
    <cfRule type="cellIs" priority="1038" operator="greaterThan" aboveAverage="0" equalAverage="0" bottom="0" percent="0" rank="0" text="" dxfId="0">
      <formula>0</formula>
    </cfRule>
    <cfRule type="cellIs" priority="1039" operator="lessThan" aboveAverage="0" equalAverage="0" bottom="0" percent="0" rank="0" text="" dxfId="1">
      <formula>0</formula>
    </cfRule>
  </conditionalFormatting>
  <conditionalFormatting sqref="H178">
    <cfRule type="cellIs" priority="1040" operator="greaterThan" aboveAverage="0" equalAverage="0" bottom="0" percent="0" rank="0" text="" dxfId="0">
      <formula>0</formula>
    </cfRule>
    <cfRule type="cellIs" priority="1041" operator="lessThan" aboveAverage="0" equalAverage="0" bottom="0" percent="0" rank="0" text="" dxfId="1">
      <formula>0</formula>
    </cfRule>
  </conditionalFormatting>
  <conditionalFormatting sqref="I178">
    <cfRule type="cellIs" priority="1042" operator="greaterThan" aboveAverage="0" equalAverage="0" bottom="0" percent="0" rank="0" text="" dxfId="0">
      <formula>0</formula>
    </cfRule>
    <cfRule type="cellIs" priority="1043" operator="lessThan" aboveAverage="0" equalAverage="0" bottom="0" percent="0" rank="0" text="" dxfId="1">
      <formula>0</formula>
    </cfRule>
  </conditionalFormatting>
  <conditionalFormatting sqref="J178">
    <cfRule type="cellIs" priority="1044" operator="greaterThan" aboveAverage="0" equalAverage="0" bottom="0" percent="0" rank="0" text="" dxfId="0">
      <formula>0</formula>
    </cfRule>
    <cfRule type="cellIs" priority="1045" operator="lessThan" aboveAverage="0" equalAverage="0" bottom="0" percent="0" rank="0" text="" dxfId="1">
      <formula>0</formula>
    </cfRule>
  </conditionalFormatting>
  <conditionalFormatting sqref="H179">
    <cfRule type="cellIs" priority="1046" operator="greaterThan" aboveAverage="0" equalAverage="0" bottom="0" percent="0" rank="0" text="" dxfId="0">
      <formula>0</formula>
    </cfRule>
    <cfRule type="cellIs" priority="1047" operator="lessThan" aboveAverage="0" equalAverage="0" bottom="0" percent="0" rank="0" text="" dxfId="1">
      <formula>0</formula>
    </cfRule>
  </conditionalFormatting>
  <conditionalFormatting sqref="I179">
    <cfRule type="cellIs" priority="1048" operator="greaterThan" aboveAverage="0" equalAverage="0" bottom="0" percent="0" rank="0" text="" dxfId="0">
      <formula>0</formula>
    </cfRule>
    <cfRule type="cellIs" priority="1049" operator="lessThan" aboveAverage="0" equalAverage="0" bottom="0" percent="0" rank="0" text="" dxfId="1">
      <formula>0</formula>
    </cfRule>
  </conditionalFormatting>
  <conditionalFormatting sqref="J179">
    <cfRule type="cellIs" priority="1050" operator="greaterThan" aboveAverage="0" equalAverage="0" bottom="0" percent="0" rank="0" text="" dxfId="0">
      <formula>0</formula>
    </cfRule>
    <cfRule type="cellIs" priority="1051" operator="lessThan" aboveAverage="0" equalAverage="0" bottom="0" percent="0" rank="0" text="" dxfId="1">
      <formula>0</formula>
    </cfRule>
  </conditionalFormatting>
  <conditionalFormatting sqref="H180">
    <cfRule type="cellIs" priority="1052" operator="greaterThan" aboveAverage="0" equalAverage="0" bottom="0" percent="0" rank="0" text="" dxfId="0">
      <formula>0</formula>
    </cfRule>
    <cfRule type="cellIs" priority="1053" operator="lessThan" aboveAverage="0" equalAverage="0" bottom="0" percent="0" rank="0" text="" dxfId="1">
      <formula>0</formula>
    </cfRule>
  </conditionalFormatting>
  <conditionalFormatting sqref="I180">
    <cfRule type="cellIs" priority="1054" operator="greaterThan" aboveAverage="0" equalAverage="0" bottom="0" percent="0" rank="0" text="" dxfId="0">
      <formula>0</formula>
    </cfRule>
    <cfRule type="cellIs" priority="1055" operator="lessThan" aboveAverage="0" equalAverage="0" bottom="0" percent="0" rank="0" text="" dxfId="1">
      <formula>0</formula>
    </cfRule>
  </conditionalFormatting>
  <conditionalFormatting sqref="J180">
    <cfRule type="cellIs" priority="1056" operator="greaterThan" aboveAverage="0" equalAverage="0" bottom="0" percent="0" rank="0" text="" dxfId="0">
      <formula>0</formula>
    </cfRule>
    <cfRule type="cellIs" priority="1057" operator="lessThan" aboveAverage="0" equalAverage="0" bottom="0" percent="0" rank="0" text="" dxfId="1">
      <formula>0</formula>
    </cfRule>
  </conditionalFormatting>
  <conditionalFormatting sqref="H181">
    <cfRule type="cellIs" priority="1058" operator="greaterThan" aboveAverage="0" equalAverage="0" bottom="0" percent="0" rank="0" text="" dxfId="0">
      <formula>0</formula>
    </cfRule>
    <cfRule type="cellIs" priority="1059" operator="lessThan" aboveAverage="0" equalAverage="0" bottom="0" percent="0" rank="0" text="" dxfId="1">
      <formula>0</formula>
    </cfRule>
  </conditionalFormatting>
  <conditionalFormatting sqref="I181">
    <cfRule type="cellIs" priority="1060" operator="greaterThan" aboveAverage="0" equalAverage="0" bottom="0" percent="0" rank="0" text="" dxfId="0">
      <formula>0</formula>
    </cfRule>
    <cfRule type="cellIs" priority="1061" operator="lessThan" aboveAverage="0" equalAverage="0" bottom="0" percent="0" rank="0" text="" dxfId="1">
      <formula>0</formula>
    </cfRule>
  </conditionalFormatting>
  <conditionalFormatting sqref="J181">
    <cfRule type="cellIs" priority="1062" operator="greaterThan" aboveAverage="0" equalAverage="0" bottom="0" percent="0" rank="0" text="" dxfId="0">
      <formula>0</formula>
    </cfRule>
    <cfRule type="cellIs" priority="1063" operator="lessThan" aboveAverage="0" equalAverage="0" bottom="0" percent="0" rank="0" text="" dxfId="1">
      <formula>0</formula>
    </cfRule>
  </conditionalFormatting>
  <conditionalFormatting sqref="H182">
    <cfRule type="cellIs" priority="1064" operator="greaterThan" aboveAverage="0" equalAverage="0" bottom="0" percent="0" rank="0" text="" dxfId="0">
      <formula>0</formula>
    </cfRule>
    <cfRule type="cellIs" priority="1065" operator="lessThan" aboveAverage="0" equalAverage="0" bottom="0" percent="0" rank="0" text="" dxfId="1">
      <formula>0</formula>
    </cfRule>
  </conditionalFormatting>
  <conditionalFormatting sqref="I182">
    <cfRule type="cellIs" priority="1066" operator="greaterThan" aboveAverage="0" equalAverage="0" bottom="0" percent="0" rank="0" text="" dxfId="0">
      <formula>0</formula>
    </cfRule>
    <cfRule type="cellIs" priority="1067" operator="lessThan" aboveAverage="0" equalAverage="0" bottom="0" percent="0" rank="0" text="" dxfId="1">
      <formula>0</formula>
    </cfRule>
  </conditionalFormatting>
  <conditionalFormatting sqref="J182">
    <cfRule type="cellIs" priority="1068" operator="greaterThan" aboveAverage="0" equalAverage="0" bottom="0" percent="0" rank="0" text="" dxfId="0">
      <formula>0</formula>
    </cfRule>
    <cfRule type="cellIs" priority="1069" operator="lessThan" aboveAverage="0" equalAverage="0" bottom="0" percent="0" rank="0" text="" dxfId="1">
      <formula>0</formula>
    </cfRule>
  </conditionalFormatting>
  <conditionalFormatting sqref="H183">
    <cfRule type="cellIs" priority="1070" operator="greaterThan" aboveAverage="0" equalAverage="0" bottom="0" percent="0" rank="0" text="" dxfId="0">
      <formula>0</formula>
    </cfRule>
    <cfRule type="cellIs" priority="1071" operator="lessThan" aboveAverage="0" equalAverage="0" bottom="0" percent="0" rank="0" text="" dxfId="1">
      <formula>0</formula>
    </cfRule>
  </conditionalFormatting>
  <conditionalFormatting sqref="I183">
    <cfRule type="cellIs" priority="1072" operator="greaterThan" aboveAverage="0" equalAverage="0" bottom="0" percent="0" rank="0" text="" dxfId="0">
      <formula>0</formula>
    </cfRule>
    <cfRule type="cellIs" priority="1073" operator="lessThan" aboveAverage="0" equalAverage="0" bottom="0" percent="0" rank="0" text="" dxfId="1">
      <formula>0</formula>
    </cfRule>
  </conditionalFormatting>
  <conditionalFormatting sqref="J183">
    <cfRule type="cellIs" priority="1074" operator="greaterThan" aboveAverage="0" equalAverage="0" bottom="0" percent="0" rank="0" text="" dxfId="0">
      <formula>0</formula>
    </cfRule>
    <cfRule type="cellIs" priority="1075" operator="lessThan" aboveAverage="0" equalAverage="0" bottom="0" percent="0" rank="0" text="" dxfId="1">
      <formula>0</formula>
    </cfRule>
  </conditionalFormatting>
  <conditionalFormatting sqref="H184">
    <cfRule type="cellIs" priority="1076" operator="greaterThan" aboveAverage="0" equalAverage="0" bottom="0" percent="0" rank="0" text="" dxfId="0">
      <formula>0</formula>
    </cfRule>
    <cfRule type="cellIs" priority="1077" operator="lessThan" aboveAverage="0" equalAverage="0" bottom="0" percent="0" rank="0" text="" dxfId="1">
      <formula>0</formula>
    </cfRule>
  </conditionalFormatting>
  <conditionalFormatting sqref="I184">
    <cfRule type="cellIs" priority="1078" operator="greaterThan" aboveAverage="0" equalAverage="0" bottom="0" percent="0" rank="0" text="" dxfId="0">
      <formula>0</formula>
    </cfRule>
    <cfRule type="cellIs" priority="1079" operator="lessThan" aboveAverage="0" equalAverage="0" bottom="0" percent="0" rank="0" text="" dxfId="1">
      <formula>0</formula>
    </cfRule>
  </conditionalFormatting>
  <conditionalFormatting sqref="J184">
    <cfRule type="cellIs" priority="1080" operator="greaterThan" aboveAverage="0" equalAverage="0" bottom="0" percent="0" rank="0" text="" dxfId="0">
      <formula>0</formula>
    </cfRule>
    <cfRule type="cellIs" priority="1081" operator="lessThan" aboveAverage="0" equalAverage="0" bottom="0" percent="0" rank="0" text="" dxfId="1">
      <formula>0</formula>
    </cfRule>
  </conditionalFormatting>
  <conditionalFormatting sqref="H185">
    <cfRule type="cellIs" priority="1082" operator="greaterThan" aboveAverage="0" equalAverage="0" bottom="0" percent="0" rank="0" text="" dxfId="0">
      <formula>0</formula>
    </cfRule>
    <cfRule type="cellIs" priority="1083" operator="lessThan" aboveAverage="0" equalAverage="0" bottom="0" percent="0" rank="0" text="" dxfId="1">
      <formula>0</formula>
    </cfRule>
  </conditionalFormatting>
  <conditionalFormatting sqref="I185">
    <cfRule type="cellIs" priority="1084" operator="greaterThan" aboveAverage="0" equalAverage="0" bottom="0" percent="0" rank="0" text="" dxfId="0">
      <formula>0</formula>
    </cfRule>
    <cfRule type="cellIs" priority="1085" operator="lessThan" aboveAverage="0" equalAverage="0" bottom="0" percent="0" rank="0" text="" dxfId="1">
      <formula>0</formula>
    </cfRule>
  </conditionalFormatting>
  <conditionalFormatting sqref="J185">
    <cfRule type="cellIs" priority="1086" operator="greaterThan" aboveAverage="0" equalAverage="0" bottom="0" percent="0" rank="0" text="" dxfId="0">
      <formula>0</formula>
    </cfRule>
    <cfRule type="cellIs" priority="1087" operator="lessThan" aboveAverage="0" equalAverage="0" bottom="0" percent="0" rank="0" text="" dxfId="1">
      <formula>0</formula>
    </cfRule>
  </conditionalFormatting>
  <conditionalFormatting sqref="H186">
    <cfRule type="cellIs" priority="1088" operator="greaterThan" aboveAverage="0" equalAverage="0" bottom="0" percent="0" rank="0" text="" dxfId="0">
      <formula>0</formula>
    </cfRule>
    <cfRule type="cellIs" priority="1089" operator="lessThan" aboveAverage="0" equalAverage="0" bottom="0" percent="0" rank="0" text="" dxfId="1">
      <formula>0</formula>
    </cfRule>
  </conditionalFormatting>
  <conditionalFormatting sqref="I186">
    <cfRule type="cellIs" priority="1090" operator="greaterThan" aboveAverage="0" equalAverage="0" bottom="0" percent="0" rank="0" text="" dxfId="0">
      <formula>0</formula>
    </cfRule>
    <cfRule type="cellIs" priority="1091" operator="lessThan" aboveAverage="0" equalAverage="0" bottom="0" percent="0" rank="0" text="" dxfId="1">
      <formula>0</formula>
    </cfRule>
  </conditionalFormatting>
  <conditionalFormatting sqref="J186">
    <cfRule type="cellIs" priority="1092" operator="greaterThan" aboveAverage="0" equalAverage="0" bottom="0" percent="0" rank="0" text="" dxfId="0">
      <formula>0</formula>
    </cfRule>
    <cfRule type="cellIs" priority="1093" operator="lessThan" aboveAverage="0" equalAverage="0" bottom="0" percent="0" rank="0" text="" dxfId="1">
      <formula>0</formula>
    </cfRule>
  </conditionalFormatting>
  <conditionalFormatting sqref="H187">
    <cfRule type="cellIs" priority="1094" operator="greaterThan" aboveAverage="0" equalAverage="0" bottom="0" percent="0" rank="0" text="" dxfId="0">
      <formula>0</formula>
    </cfRule>
    <cfRule type="cellIs" priority="1095" operator="lessThan" aboveAverage="0" equalAverage="0" bottom="0" percent="0" rank="0" text="" dxfId="1">
      <formula>0</formula>
    </cfRule>
  </conditionalFormatting>
  <conditionalFormatting sqref="I187">
    <cfRule type="cellIs" priority="1096" operator="greaterThan" aboveAverage="0" equalAverage="0" bottom="0" percent="0" rank="0" text="" dxfId="0">
      <formula>0</formula>
    </cfRule>
    <cfRule type="cellIs" priority="1097" operator="lessThan" aboveAverage="0" equalAverage="0" bottom="0" percent="0" rank="0" text="" dxfId="1">
      <formula>0</formula>
    </cfRule>
  </conditionalFormatting>
  <conditionalFormatting sqref="J187">
    <cfRule type="cellIs" priority="1098" operator="greaterThan" aboveAverage="0" equalAverage="0" bottom="0" percent="0" rank="0" text="" dxfId="0">
      <formula>0</formula>
    </cfRule>
    <cfRule type="cellIs" priority="1099" operator="lessThan" aboveAverage="0" equalAverage="0" bottom="0" percent="0" rank="0" text="" dxfId="1">
      <formula>0</formula>
    </cfRule>
  </conditionalFormatting>
  <conditionalFormatting sqref="H188">
    <cfRule type="cellIs" priority="1100" operator="greaterThan" aboveAverage="0" equalAverage="0" bottom="0" percent="0" rank="0" text="" dxfId="0">
      <formula>0</formula>
    </cfRule>
    <cfRule type="cellIs" priority="1101" operator="lessThan" aboveAverage="0" equalAverage="0" bottom="0" percent="0" rank="0" text="" dxfId="1">
      <formula>0</formula>
    </cfRule>
  </conditionalFormatting>
  <conditionalFormatting sqref="I188">
    <cfRule type="cellIs" priority="1102" operator="greaterThan" aboveAverage="0" equalAverage="0" bottom="0" percent="0" rank="0" text="" dxfId="0">
      <formula>0</formula>
    </cfRule>
    <cfRule type="cellIs" priority="1103" operator="lessThan" aboveAverage="0" equalAverage="0" bottom="0" percent="0" rank="0" text="" dxfId="1">
      <formula>0</formula>
    </cfRule>
  </conditionalFormatting>
  <conditionalFormatting sqref="J188">
    <cfRule type="cellIs" priority="1104" operator="greaterThan" aboveAverage="0" equalAverage="0" bottom="0" percent="0" rank="0" text="" dxfId="0">
      <formula>0</formula>
    </cfRule>
    <cfRule type="cellIs" priority="1105" operator="lessThan" aboveAverage="0" equalAverage="0" bottom="0" percent="0" rank="0" text="" dxfId="1">
      <formula>0</formula>
    </cfRule>
  </conditionalFormatting>
  <conditionalFormatting sqref="H189">
    <cfRule type="cellIs" priority="1106" operator="greaterThan" aboveAverage="0" equalAverage="0" bottom="0" percent="0" rank="0" text="" dxfId="0">
      <formula>0</formula>
    </cfRule>
    <cfRule type="cellIs" priority="1107" operator="lessThan" aboveAverage="0" equalAverage="0" bottom="0" percent="0" rank="0" text="" dxfId="1">
      <formula>0</formula>
    </cfRule>
  </conditionalFormatting>
  <conditionalFormatting sqref="I189">
    <cfRule type="cellIs" priority="1108" operator="greaterThan" aboveAverage="0" equalAverage="0" bottom="0" percent="0" rank="0" text="" dxfId="0">
      <formula>0</formula>
    </cfRule>
    <cfRule type="cellIs" priority="1109" operator="lessThan" aboveAverage="0" equalAverage="0" bottom="0" percent="0" rank="0" text="" dxfId="1">
      <formula>0</formula>
    </cfRule>
  </conditionalFormatting>
  <conditionalFormatting sqref="J189">
    <cfRule type="cellIs" priority="1110" operator="greaterThan" aboveAverage="0" equalAverage="0" bottom="0" percent="0" rank="0" text="" dxfId="0">
      <formula>0</formula>
    </cfRule>
    <cfRule type="cellIs" priority="1111" operator="lessThan" aboveAverage="0" equalAverage="0" bottom="0" percent="0" rank="0" text="" dxfId="1">
      <formula>0</formula>
    </cfRule>
  </conditionalFormatting>
  <conditionalFormatting sqref="H190">
    <cfRule type="cellIs" priority="1112" operator="greaterThan" aboveAverage="0" equalAverage="0" bottom="0" percent="0" rank="0" text="" dxfId="0">
      <formula>0</formula>
    </cfRule>
    <cfRule type="cellIs" priority="1113" operator="lessThan" aboveAverage="0" equalAverage="0" bottom="0" percent="0" rank="0" text="" dxfId="1">
      <formula>0</formula>
    </cfRule>
  </conditionalFormatting>
  <conditionalFormatting sqref="I190">
    <cfRule type="cellIs" priority="1114" operator="greaterThan" aboveAverage="0" equalAverage="0" bottom="0" percent="0" rank="0" text="" dxfId="0">
      <formula>0</formula>
    </cfRule>
    <cfRule type="cellIs" priority="1115" operator="lessThan" aboveAverage="0" equalAverage="0" bottom="0" percent="0" rank="0" text="" dxfId="1">
      <formula>0</formula>
    </cfRule>
  </conditionalFormatting>
  <conditionalFormatting sqref="J190">
    <cfRule type="cellIs" priority="1116" operator="greaterThan" aboveAverage="0" equalAverage="0" bottom="0" percent="0" rank="0" text="" dxfId="0">
      <formula>0</formula>
    </cfRule>
    <cfRule type="cellIs" priority="1117" operator="lessThan" aboveAverage="0" equalAverage="0" bottom="0" percent="0" rank="0" text="" dxfId="1">
      <formula>0</formula>
    </cfRule>
  </conditionalFormatting>
  <conditionalFormatting sqref="H191">
    <cfRule type="cellIs" priority="1118" operator="greaterThan" aboveAverage="0" equalAverage="0" bottom="0" percent="0" rank="0" text="" dxfId="0">
      <formula>0</formula>
    </cfRule>
    <cfRule type="cellIs" priority="1119" operator="lessThan" aboveAverage="0" equalAverage="0" bottom="0" percent="0" rank="0" text="" dxfId="1">
      <formula>0</formula>
    </cfRule>
  </conditionalFormatting>
  <conditionalFormatting sqref="I191">
    <cfRule type="cellIs" priority="1120" operator="greaterThan" aboveAverage="0" equalAverage="0" bottom="0" percent="0" rank="0" text="" dxfId="0">
      <formula>0</formula>
    </cfRule>
    <cfRule type="cellIs" priority="1121" operator="lessThan" aboveAverage="0" equalAverage="0" bottom="0" percent="0" rank="0" text="" dxfId="1">
      <formula>0</formula>
    </cfRule>
  </conditionalFormatting>
  <conditionalFormatting sqref="J191">
    <cfRule type="cellIs" priority="1122" operator="greaterThan" aboveAverage="0" equalAverage="0" bottom="0" percent="0" rank="0" text="" dxfId="0">
      <formula>0</formula>
    </cfRule>
    <cfRule type="cellIs" priority="1123" operator="lessThan" aboveAverage="0" equalAverage="0" bottom="0" percent="0" rank="0" text="" dxfId="1">
      <formula>0</formula>
    </cfRule>
  </conditionalFormatting>
  <conditionalFormatting sqref="H192">
    <cfRule type="cellIs" priority="1124" operator="greaterThan" aboveAverage="0" equalAverage="0" bottom="0" percent="0" rank="0" text="" dxfId="0">
      <formula>0</formula>
    </cfRule>
    <cfRule type="cellIs" priority="1125" operator="lessThan" aboveAverage="0" equalAverage="0" bottom="0" percent="0" rank="0" text="" dxfId="1">
      <formula>0</formula>
    </cfRule>
  </conditionalFormatting>
  <conditionalFormatting sqref="I192">
    <cfRule type="cellIs" priority="1126" operator="greaterThan" aboveAverage="0" equalAverage="0" bottom="0" percent="0" rank="0" text="" dxfId="0">
      <formula>0</formula>
    </cfRule>
    <cfRule type="cellIs" priority="1127" operator="lessThan" aboveAverage="0" equalAverage="0" bottom="0" percent="0" rank="0" text="" dxfId="1">
      <formula>0</formula>
    </cfRule>
  </conditionalFormatting>
  <conditionalFormatting sqref="J192">
    <cfRule type="cellIs" priority="1128" operator="greaterThan" aboveAverage="0" equalAverage="0" bottom="0" percent="0" rank="0" text="" dxfId="0">
      <formula>0</formula>
    </cfRule>
    <cfRule type="cellIs" priority="1129" operator="lessThan" aboveAverage="0" equalAverage="0" bottom="0" percent="0" rank="0" text="" dxfId="1">
      <formula>0</formula>
    </cfRule>
  </conditionalFormatting>
  <conditionalFormatting sqref="H193">
    <cfRule type="cellIs" priority="1130" operator="greaterThan" aboveAverage="0" equalAverage="0" bottom="0" percent="0" rank="0" text="" dxfId="0">
      <formula>0</formula>
    </cfRule>
    <cfRule type="cellIs" priority="1131" operator="lessThan" aboveAverage="0" equalAverage="0" bottom="0" percent="0" rank="0" text="" dxfId="1">
      <formula>0</formula>
    </cfRule>
  </conditionalFormatting>
  <conditionalFormatting sqref="I193">
    <cfRule type="cellIs" priority="1132" operator="greaterThan" aboveAverage="0" equalAverage="0" bottom="0" percent="0" rank="0" text="" dxfId="0">
      <formula>0</formula>
    </cfRule>
    <cfRule type="cellIs" priority="1133" operator="lessThan" aboveAverage="0" equalAverage="0" bottom="0" percent="0" rank="0" text="" dxfId="1">
      <formula>0</formula>
    </cfRule>
  </conditionalFormatting>
  <conditionalFormatting sqref="J193">
    <cfRule type="cellIs" priority="1134" operator="greaterThan" aboveAverage="0" equalAverage="0" bottom="0" percent="0" rank="0" text="" dxfId="0">
      <formula>0</formula>
    </cfRule>
    <cfRule type="cellIs" priority="1135" operator="lessThan" aboveAverage="0" equalAverage="0" bottom="0" percent="0" rank="0" text="" dxfId="1">
      <formula>0</formula>
    </cfRule>
  </conditionalFormatting>
  <conditionalFormatting sqref="H194">
    <cfRule type="cellIs" priority="1136" operator="greaterThan" aboveAverage="0" equalAverage="0" bottom="0" percent="0" rank="0" text="" dxfId="0">
      <formula>0</formula>
    </cfRule>
    <cfRule type="cellIs" priority="1137" operator="lessThan" aboveAverage="0" equalAverage="0" bottom="0" percent="0" rank="0" text="" dxfId="1">
      <formula>0</formula>
    </cfRule>
  </conditionalFormatting>
  <conditionalFormatting sqref="I194">
    <cfRule type="cellIs" priority="1138" operator="greaterThan" aboveAverage="0" equalAverage="0" bottom="0" percent="0" rank="0" text="" dxfId="0">
      <formula>0</formula>
    </cfRule>
    <cfRule type="cellIs" priority="1139" operator="lessThan" aboveAverage="0" equalAverage="0" bottom="0" percent="0" rank="0" text="" dxfId="1">
      <formula>0</formula>
    </cfRule>
  </conditionalFormatting>
  <conditionalFormatting sqref="J194">
    <cfRule type="cellIs" priority="1140" operator="greaterThan" aboveAverage="0" equalAverage="0" bottom="0" percent="0" rank="0" text="" dxfId="0">
      <formula>0</formula>
    </cfRule>
    <cfRule type="cellIs" priority="1141" operator="lessThan" aboveAverage="0" equalAverage="0" bottom="0" percent="0" rank="0" text="" dxfId="1">
      <formula>0</formula>
    </cfRule>
  </conditionalFormatting>
  <conditionalFormatting sqref="H195">
    <cfRule type="cellIs" priority="1142" operator="greaterThan" aboveAverage="0" equalAverage="0" bottom="0" percent="0" rank="0" text="" dxfId="0">
      <formula>0</formula>
    </cfRule>
    <cfRule type="cellIs" priority="1143" operator="lessThan" aboveAverage="0" equalAverage="0" bottom="0" percent="0" rank="0" text="" dxfId="1">
      <formula>0</formula>
    </cfRule>
  </conditionalFormatting>
  <conditionalFormatting sqref="I195">
    <cfRule type="cellIs" priority="1144" operator="greaterThan" aboveAverage="0" equalAverage="0" bottom="0" percent="0" rank="0" text="" dxfId="0">
      <formula>0</formula>
    </cfRule>
    <cfRule type="cellIs" priority="1145" operator="lessThan" aboveAverage="0" equalAverage="0" bottom="0" percent="0" rank="0" text="" dxfId="1">
      <formula>0</formula>
    </cfRule>
  </conditionalFormatting>
  <conditionalFormatting sqref="J195">
    <cfRule type="cellIs" priority="1146" operator="greaterThan" aboveAverage="0" equalAverage="0" bottom="0" percent="0" rank="0" text="" dxfId="0">
      <formula>0</formula>
    </cfRule>
    <cfRule type="cellIs" priority="1147" operator="lessThan" aboveAverage="0" equalAverage="0" bottom="0" percent="0" rank="0" text="" dxfId="1">
      <formula>0</formula>
    </cfRule>
  </conditionalFormatting>
  <conditionalFormatting sqref="H196">
    <cfRule type="cellIs" priority="1148" operator="greaterThan" aboveAverage="0" equalAverage="0" bottom="0" percent="0" rank="0" text="" dxfId="0">
      <formula>0</formula>
    </cfRule>
    <cfRule type="cellIs" priority="1149" operator="lessThan" aboveAverage="0" equalAverage="0" bottom="0" percent="0" rank="0" text="" dxfId="1">
      <formula>0</formula>
    </cfRule>
  </conditionalFormatting>
  <conditionalFormatting sqref="I196">
    <cfRule type="cellIs" priority="1150" operator="greaterThan" aboveAverage="0" equalAverage="0" bottom="0" percent="0" rank="0" text="" dxfId="0">
      <formula>0</formula>
    </cfRule>
    <cfRule type="cellIs" priority="1151" operator="lessThan" aboveAverage="0" equalAverage="0" bottom="0" percent="0" rank="0" text="" dxfId="1">
      <formula>0</formula>
    </cfRule>
  </conditionalFormatting>
  <conditionalFormatting sqref="J196">
    <cfRule type="cellIs" priority="1152" operator="greaterThan" aboveAverage="0" equalAverage="0" bottom="0" percent="0" rank="0" text="" dxfId="0">
      <formula>0</formula>
    </cfRule>
    <cfRule type="cellIs" priority="1153" operator="lessThan" aboveAverage="0" equalAverage="0" bottom="0" percent="0" rank="0" text="" dxfId="1">
      <formula>0</formula>
    </cfRule>
  </conditionalFormatting>
  <conditionalFormatting sqref="H197">
    <cfRule type="cellIs" priority="1154" operator="greaterThan" aboveAverage="0" equalAverage="0" bottom="0" percent="0" rank="0" text="" dxfId="0">
      <formula>0</formula>
    </cfRule>
    <cfRule type="cellIs" priority="1155" operator="lessThan" aboveAverage="0" equalAverage="0" bottom="0" percent="0" rank="0" text="" dxfId="1">
      <formula>0</formula>
    </cfRule>
  </conditionalFormatting>
  <conditionalFormatting sqref="I197">
    <cfRule type="cellIs" priority="1156" operator="greaterThan" aboveAverage="0" equalAverage="0" bottom="0" percent="0" rank="0" text="" dxfId="0">
      <formula>0</formula>
    </cfRule>
    <cfRule type="cellIs" priority="1157" operator="lessThan" aboveAverage="0" equalAverage="0" bottom="0" percent="0" rank="0" text="" dxfId="1">
      <formula>0</formula>
    </cfRule>
  </conditionalFormatting>
  <conditionalFormatting sqref="J197">
    <cfRule type="cellIs" priority="1158" operator="greaterThan" aboveAverage="0" equalAverage="0" bottom="0" percent="0" rank="0" text="" dxfId="0">
      <formula>0</formula>
    </cfRule>
    <cfRule type="cellIs" priority="1159" operator="lessThan" aboveAverage="0" equalAverage="0" bottom="0" percent="0" rank="0" text="" dxfId="1">
      <formula>0</formula>
    </cfRule>
  </conditionalFormatting>
  <conditionalFormatting sqref="H198">
    <cfRule type="cellIs" priority="1160" operator="greaterThan" aboveAverage="0" equalAverage="0" bottom="0" percent="0" rank="0" text="" dxfId="0">
      <formula>0</formula>
    </cfRule>
    <cfRule type="cellIs" priority="1161" operator="lessThan" aboveAverage="0" equalAverage="0" bottom="0" percent="0" rank="0" text="" dxfId="1">
      <formula>0</formula>
    </cfRule>
  </conditionalFormatting>
  <conditionalFormatting sqref="I198">
    <cfRule type="cellIs" priority="1162" operator="greaterThan" aboveAverage="0" equalAverage="0" bottom="0" percent="0" rank="0" text="" dxfId="0">
      <formula>0</formula>
    </cfRule>
    <cfRule type="cellIs" priority="1163" operator="lessThan" aboveAverage="0" equalAverage="0" bottom="0" percent="0" rank="0" text="" dxfId="1">
      <formula>0</formula>
    </cfRule>
  </conditionalFormatting>
  <conditionalFormatting sqref="J198">
    <cfRule type="cellIs" priority="1164" operator="greaterThan" aboveAverage="0" equalAverage="0" bottom="0" percent="0" rank="0" text="" dxfId="0">
      <formula>0</formula>
    </cfRule>
    <cfRule type="cellIs" priority="1165" operator="lessThan" aboveAverage="0" equalAverage="0" bottom="0" percent="0" rank="0" text="" dxfId="1">
      <formula>0</formula>
    </cfRule>
  </conditionalFormatting>
  <conditionalFormatting sqref="H199">
    <cfRule type="cellIs" priority="1166" operator="greaterThan" aboveAverage="0" equalAverage="0" bottom="0" percent="0" rank="0" text="" dxfId="0">
      <formula>0</formula>
    </cfRule>
    <cfRule type="cellIs" priority="1167" operator="lessThan" aboveAverage="0" equalAverage="0" bottom="0" percent="0" rank="0" text="" dxfId="1">
      <formula>0</formula>
    </cfRule>
  </conditionalFormatting>
  <conditionalFormatting sqref="I199">
    <cfRule type="cellIs" priority="1168" operator="greaterThan" aboveAverage="0" equalAverage="0" bottom="0" percent="0" rank="0" text="" dxfId="0">
      <formula>0</formula>
    </cfRule>
    <cfRule type="cellIs" priority="1169" operator="lessThan" aboveAverage="0" equalAverage="0" bottom="0" percent="0" rank="0" text="" dxfId="1">
      <formula>0</formula>
    </cfRule>
  </conditionalFormatting>
  <conditionalFormatting sqref="J199">
    <cfRule type="cellIs" priority="1170" operator="greaterThan" aboveAverage="0" equalAverage="0" bottom="0" percent="0" rank="0" text="" dxfId="0">
      <formula>0</formula>
    </cfRule>
    <cfRule type="cellIs" priority="1171" operator="lessThan" aboveAverage="0" equalAverage="0" bottom="0" percent="0" rank="0" text="" dxfId="1">
      <formula>0</formula>
    </cfRule>
  </conditionalFormatting>
  <conditionalFormatting sqref="H200">
    <cfRule type="cellIs" priority="1172" operator="greaterThan" aboveAverage="0" equalAverage="0" bottom="0" percent="0" rank="0" text="" dxfId="0">
      <formula>0</formula>
    </cfRule>
    <cfRule type="cellIs" priority="1173" operator="lessThan" aboveAverage="0" equalAverage="0" bottom="0" percent="0" rank="0" text="" dxfId="1">
      <formula>0</formula>
    </cfRule>
  </conditionalFormatting>
  <conditionalFormatting sqref="I200">
    <cfRule type="cellIs" priority="1174" operator="greaterThan" aboveAverage="0" equalAverage="0" bottom="0" percent="0" rank="0" text="" dxfId="0">
      <formula>0</formula>
    </cfRule>
    <cfRule type="cellIs" priority="1175" operator="lessThan" aboveAverage="0" equalAverage="0" bottom="0" percent="0" rank="0" text="" dxfId="1">
      <formula>0</formula>
    </cfRule>
  </conditionalFormatting>
  <conditionalFormatting sqref="J200">
    <cfRule type="cellIs" priority="1176" operator="greaterThan" aboveAverage="0" equalAverage="0" bottom="0" percent="0" rank="0" text="" dxfId="0">
      <formula>0</formula>
    </cfRule>
    <cfRule type="cellIs" priority="1177" operator="lessThan" aboveAverage="0" equalAverage="0" bottom="0" percent="0" rank="0" text="" dxfId="1">
      <formula>0</formula>
    </cfRule>
  </conditionalFormatting>
  <conditionalFormatting sqref="H201">
    <cfRule type="cellIs" priority="1178" operator="greaterThan" aboveAverage="0" equalAverage="0" bottom="0" percent="0" rank="0" text="" dxfId="0">
      <formula>0</formula>
    </cfRule>
    <cfRule type="cellIs" priority="1179" operator="lessThan" aboveAverage="0" equalAverage="0" bottom="0" percent="0" rank="0" text="" dxfId="1">
      <formula>0</formula>
    </cfRule>
  </conditionalFormatting>
  <conditionalFormatting sqref="I201">
    <cfRule type="cellIs" priority="1180" operator="greaterThan" aboveAverage="0" equalAverage="0" bottom="0" percent="0" rank="0" text="" dxfId="0">
      <formula>0</formula>
    </cfRule>
    <cfRule type="cellIs" priority="1181" operator="lessThan" aboveAverage="0" equalAverage="0" bottom="0" percent="0" rank="0" text="" dxfId="1">
      <formula>0</formula>
    </cfRule>
  </conditionalFormatting>
  <conditionalFormatting sqref="J201">
    <cfRule type="cellIs" priority="1182" operator="greaterThan" aboveAverage="0" equalAverage="0" bottom="0" percent="0" rank="0" text="" dxfId="0">
      <formula>0</formula>
    </cfRule>
    <cfRule type="cellIs" priority="1183" operator="lessThan" aboveAverage="0" equalAverage="0" bottom="0" percent="0" rank="0" text="" dxfId="1">
      <formula>0</formula>
    </cfRule>
  </conditionalFormatting>
  <conditionalFormatting sqref="H202">
    <cfRule type="cellIs" priority="1184" operator="greaterThan" aboveAverage="0" equalAverage="0" bottom="0" percent="0" rank="0" text="" dxfId="0">
      <formula>0</formula>
    </cfRule>
    <cfRule type="cellIs" priority="1185" operator="lessThan" aboveAverage="0" equalAverage="0" bottom="0" percent="0" rank="0" text="" dxfId="1">
      <formula>0</formula>
    </cfRule>
  </conditionalFormatting>
  <conditionalFormatting sqref="I202">
    <cfRule type="cellIs" priority="1186" operator="greaterThan" aboveAverage="0" equalAverage="0" bottom="0" percent="0" rank="0" text="" dxfId="0">
      <formula>0</formula>
    </cfRule>
    <cfRule type="cellIs" priority="1187" operator="lessThan" aboveAverage="0" equalAverage="0" bottom="0" percent="0" rank="0" text="" dxfId="1">
      <formula>0</formula>
    </cfRule>
  </conditionalFormatting>
  <conditionalFormatting sqref="J202">
    <cfRule type="cellIs" priority="1188" operator="greaterThan" aboveAverage="0" equalAverage="0" bottom="0" percent="0" rank="0" text="" dxfId="0">
      <formula>0</formula>
    </cfRule>
    <cfRule type="cellIs" priority="1189" operator="lessThan" aboveAverage="0" equalAverage="0" bottom="0" percent="0" rank="0" text="" dxfId="1">
      <formula>0</formula>
    </cfRule>
  </conditionalFormatting>
  <conditionalFormatting sqref="H203">
    <cfRule type="cellIs" priority="1190" operator="greaterThan" aboveAverage="0" equalAverage="0" bottom="0" percent="0" rank="0" text="" dxfId="0">
      <formula>0</formula>
    </cfRule>
    <cfRule type="cellIs" priority="1191" operator="lessThan" aboveAverage="0" equalAverage="0" bottom="0" percent="0" rank="0" text="" dxfId="1">
      <formula>0</formula>
    </cfRule>
  </conditionalFormatting>
  <conditionalFormatting sqref="I203">
    <cfRule type="cellIs" priority="1192" operator="greaterThan" aboveAverage="0" equalAverage="0" bottom="0" percent="0" rank="0" text="" dxfId="0">
      <formula>0</formula>
    </cfRule>
    <cfRule type="cellIs" priority="1193" operator="lessThan" aboveAverage="0" equalAverage="0" bottom="0" percent="0" rank="0" text="" dxfId="1">
      <formula>0</formula>
    </cfRule>
  </conditionalFormatting>
  <conditionalFormatting sqref="J203">
    <cfRule type="cellIs" priority="1194" operator="greaterThan" aboveAverage="0" equalAverage="0" bottom="0" percent="0" rank="0" text="" dxfId="0">
      <formula>0</formula>
    </cfRule>
    <cfRule type="cellIs" priority="1195" operator="lessThan" aboveAverage="0" equalAverage="0" bottom="0" percent="0" rank="0" text="" dxfId="1">
      <formula>0</formula>
    </cfRule>
  </conditionalFormatting>
  <conditionalFormatting sqref="H204">
    <cfRule type="cellIs" priority="1196" operator="greaterThan" aboveAverage="0" equalAverage="0" bottom="0" percent="0" rank="0" text="" dxfId="0">
      <formula>0</formula>
    </cfRule>
    <cfRule type="cellIs" priority="1197" operator="lessThan" aboveAverage="0" equalAverage="0" bottom="0" percent="0" rank="0" text="" dxfId="1">
      <formula>0</formula>
    </cfRule>
  </conditionalFormatting>
  <conditionalFormatting sqref="I204">
    <cfRule type="cellIs" priority="1198" operator="greaterThan" aboveAverage="0" equalAverage="0" bottom="0" percent="0" rank="0" text="" dxfId="0">
      <formula>0</formula>
    </cfRule>
    <cfRule type="cellIs" priority="1199" operator="lessThan" aboveAverage="0" equalAverage="0" bottom="0" percent="0" rank="0" text="" dxfId="1">
      <formula>0</formula>
    </cfRule>
  </conditionalFormatting>
  <conditionalFormatting sqref="J204">
    <cfRule type="cellIs" priority="1200" operator="greaterThan" aboveAverage="0" equalAverage="0" bottom="0" percent="0" rank="0" text="" dxfId="0">
      <formula>0</formula>
    </cfRule>
    <cfRule type="cellIs" priority="1201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8636"/>
    <pageSetUpPr fitToPage="false"/>
  </sheetPr>
  <dimension ref="A1:J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10" min="9" style="1" width="14"/>
  </cols>
  <sheetData>
    <row r="1" customFormat="false" ht="36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3" t="s">
        <v>53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7.5" hidden="false" customHeight="true" outlineLevel="0" collapsed="false"/>
    <row r="4" customFormat="false" ht="21.75" hidden="false" customHeight="true" outlineLevel="0" collapsed="false">
      <c r="A4" s="89" t="s">
        <v>54</v>
      </c>
      <c r="B4" s="90" t="s">
        <v>55</v>
      </c>
      <c r="C4" s="90" t="s">
        <v>56</v>
      </c>
      <c r="D4" s="90" t="s">
        <v>57</v>
      </c>
      <c r="E4" s="91" t="s">
        <v>58</v>
      </c>
      <c r="F4" s="89" t="s">
        <v>59</v>
      </c>
      <c r="G4" s="89" t="s">
        <v>60</v>
      </c>
      <c r="H4" s="90" t="s">
        <v>61</v>
      </c>
      <c r="I4" s="92" t="s">
        <v>62</v>
      </c>
      <c r="J4" s="91" t="s">
        <v>63</v>
      </c>
    </row>
    <row r="5" customFormat="false" ht="39.75" hidden="false" customHeight="true" outlineLevel="0" collapsed="false">
      <c r="A5" s="93" t="n">
        <f aca="false">COUNTA('Trade Log'!G5:G1004)</f>
        <v>0</v>
      </c>
      <c r="B5" s="94" t="n">
        <f aca="false">IFERROR(COUNTIF('Trade Log'!T5:T1004,"&gt;0")/COUNTA('Trade Log'!T5:T1004),"—")</f>
        <v>0</v>
      </c>
      <c r="C5" s="95" t="n">
        <f aca="false">IFERROR(SUM('Trade Log'!T5:T1004),"—")</f>
        <v>0</v>
      </c>
      <c r="D5" s="96" t="n">
        <f aca="false">IFERROR(MAX('Trade Log'!T5:T1004),"—")</f>
        <v>0</v>
      </c>
      <c r="E5" s="97" t="n">
        <f aca="false">IFERROR(MIN('Trade Log'!T5:T1004),"—")</f>
        <v>0</v>
      </c>
      <c r="F5" s="98" t="str">
        <f aca="false">IFERROR(AVERAGE('Trade Log'!T5:T1004),"—")</f>
        <v>—</v>
      </c>
      <c r="G5" s="99" t="str">
        <f aca="false">IFERROR(AVERAGE('Trade Log'!U5:U1004),"—")</f>
        <v>—</v>
      </c>
      <c r="H5" s="94" t="n">
        <f aca="false">IFERROR(MAX('Trade Log'!U5:U1004),"—")</f>
        <v>0</v>
      </c>
      <c r="I5" s="100" t="n">
        <f aca="false">IFERROR(SUM('Trade Log'!V5:V1004),"—")</f>
        <v>0</v>
      </c>
      <c r="J5" s="97" t="n">
        <f aca="false">IFERROR(SUM('Trade Log'!V5:V1004)-SUM('Trade Log'!T5:T1004),"—")</f>
        <v>0</v>
      </c>
    </row>
    <row r="6" customFormat="false" ht="7.5" hidden="false" customHeight="true" outlineLevel="0" collapsed="false"/>
    <row r="7" customFormat="false" ht="21.75" hidden="false" customHeight="true" outlineLevel="0" collapsed="false">
      <c r="A7" s="101" t="s">
        <v>64</v>
      </c>
      <c r="B7" s="102" t="s">
        <v>65</v>
      </c>
      <c r="C7" s="103"/>
      <c r="D7" s="104" t="s">
        <v>66</v>
      </c>
      <c r="E7" s="89" t="s">
        <v>67</v>
      </c>
      <c r="F7" s="105" t="s">
        <v>68</v>
      </c>
      <c r="G7" s="105" t="s">
        <v>69</v>
      </c>
      <c r="H7" s="89" t="s">
        <v>70</v>
      </c>
      <c r="I7" s="92" t="s">
        <v>71</v>
      </c>
      <c r="J7" s="92" t="s">
        <v>72</v>
      </c>
    </row>
    <row r="8" customFormat="false" ht="39.75" hidden="false" customHeight="true" outlineLevel="0" collapsed="false">
      <c r="A8" s="106" t="str">
        <f aca="false">IFERROR(CONCATENATE("1 : ",TEXT(AVERAGEIF('Trade Log'!O5:O1004,"&lt;&gt;",'Trade Log'!U5:U1004),"0.00")),"—")</f>
        <v>—</v>
      </c>
      <c r="B8" s="107" t="n">
        <f aca="false">IFERROR(SUM('Trade Log'!N5:N1004),"—")</f>
        <v>0</v>
      </c>
      <c r="C8" s="108"/>
      <c r="D8" s="109" t="str">
        <f aca="false">IFERROR(AVERAGEIF('Trade Log'!AA5:AA1004,"&gt;0"),"—")</f>
        <v>—</v>
      </c>
      <c r="E8" s="93" t="n">
        <f aca="false">IFERROR(COUNTA(unique(filter('Trade Log'!B5:B1004,'Trade Log'!B5:B1004&lt;&gt;""))),"—")</f>
        <v>1</v>
      </c>
      <c r="F8" s="110" t="str">
        <f aca="false">IFERROR(INDEX($A$24:$A$123,MATCH(MAX(IFERROR($C$24:$C$123*1,0)),$C$24:$C$123,0)),"—")</f>
        <v>—</v>
      </c>
      <c r="G8" s="111" t="str">
        <f aca="false">IFERROR(IF(F8="—","—",SUMIF('Trade Log'!$G$5:$G$1004,F8,'Trade Log'!$T$5:$T$1004)),"—")</f>
        <v>—</v>
      </c>
      <c r="H8" s="112" t="str">
        <f aca="false">IFERROR(INDEX('Trade Log'!G5:G1004,MATCH(MAX(COUNTIF('Trade Log'!G5:G1004,unique(filter('Trade Log'!G5:G1004,'Trade Log'!G5:G1004&lt;&gt;"")))),COUNTIF('Trade Log'!G5:G1004,unique(filter('Trade Log'!G5:G1004,'Trade Log'!G5:G1004&lt;&gt;""))),0)),"—")</f>
        <v>—</v>
      </c>
      <c r="I8" s="113" t="str">
        <f aca="false">IFERROR(AVERAGE('Trade Log'!W5:W1004),"—")</f>
        <v>—</v>
      </c>
      <c r="J8" s="113" t="n">
        <f aca="false">IFERROR(MAX('Trade Log'!W5:W1004),"—")</f>
        <v>0</v>
      </c>
    </row>
    <row r="9" customFormat="false" ht="13.5" hidden="false" customHeight="true" outlineLevel="0" collapsed="false"/>
    <row r="10" customFormat="false" ht="21.75" hidden="false" customHeight="true" outlineLevel="0" collapsed="false">
      <c r="A10" s="114" t="s">
        <v>13</v>
      </c>
      <c r="B10" s="115" t="s">
        <v>43</v>
      </c>
      <c r="C10" s="115" t="s">
        <v>73</v>
      </c>
      <c r="D10" s="115" t="s">
        <v>74</v>
      </c>
      <c r="E10" s="115" t="s">
        <v>75</v>
      </c>
      <c r="F10" s="115" t="s">
        <v>76</v>
      </c>
      <c r="G10" s="115" t="s">
        <v>77</v>
      </c>
      <c r="H10" s="116" t="s">
        <v>78</v>
      </c>
      <c r="I10" s="116" t="s">
        <v>79</v>
      </c>
      <c r="J10" s="116" t="s">
        <v>80</v>
      </c>
    </row>
    <row r="11" customFormat="false" ht="19.5" hidden="false" customHeight="true" outlineLevel="0" collapsed="false">
      <c r="A11" s="117" t="s">
        <v>81</v>
      </c>
      <c r="B11" s="118" t="n">
        <f aca="false">COUNTIF('Trade Log'!I5:I1004,"Long Call")</f>
        <v>0</v>
      </c>
      <c r="C11" s="119" t="n">
        <f aca="false">IFERROR(SUMIF('Trade Log'!I5:I1004,"Long Call",'Trade Log'!T5:T1004),"—")</f>
        <v>0</v>
      </c>
      <c r="D11" s="120" t="str">
        <f aca="false">IFERROR(COUNTIFS('Trade Log'!I5:I1004,"Long Call",'Trade Log'!T5:T1004,"&gt;0")/COUNTIF('Trade Log'!I5:I1004,"Long Call"),"—")</f>
        <v>—</v>
      </c>
      <c r="E11" s="119" t="str">
        <f aca="false">IFERROR(AVERAGEIF('Trade Log'!I5:I1004,"Long Call",'Trade Log'!T5:T1004),"—")</f>
        <v>—</v>
      </c>
      <c r="F11" s="120" t="str">
        <f aca="false">IFERROR(AVERAGEIF('Trade Log'!I5:I1004,"Long Call",'Trade Log'!U5:U1004),"—")</f>
        <v>—</v>
      </c>
      <c r="G11" s="120" t="str">
        <f aca="false">IFERROR(maxifs('Trade Log'!U5:U1004,'Trade Log'!I5:I1004,"Long Call"),"—")</f>
        <v>—</v>
      </c>
      <c r="H11" s="121" t="str">
        <f aca="false">IFERROR(maxifs('Trade Log'!T5:T1004,'Trade Log'!I5:I1004,"Long Call"),"—")</f>
        <v>—</v>
      </c>
      <c r="I11" s="122" t="str">
        <f aca="false">IFERROR(AVERAGEIF('Trade Log'!I5:I1004,"Long Call",'Trade Log'!W5:W1004),"—")</f>
        <v>—</v>
      </c>
      <c r="J11" s="123" t="n">
        <f aca="false">IFERROR(SUMIF('Trade Log'!I5:I1004,"Long Call",'Trade Log'!V5:V1004)-SUMIF('Trade Log'!I5:I1004,"Long Call",'Trade Log'!T5:T1004),"—")</f>
        <v>0</v>
      </c>
    </row>
    <row r="12" customFormat="false" ht="19.5" hidden="false" customHeight="true" outlineLevel="0" collapsed="false">
      <c r="A12" s="124" t="s">
        <v>82</v>
      </c>
      <c r="B12" s="125" t="n">
        <f aca="false">COUNTIF('Trade Log'!I5:I1004,"Long Put")</f>
        <v>0</v>
      </c>
      <c r="C12" s="126" t="n">
        <f aca="false">IFERROR(SUMIF('Trade Log'!I5:I1004,"Long Put",'Trade Log'!T5:T1004),"—")</f>
        <v>0</v>
      </c>
      <c r="D12" s="127" t="str">
        <f aca="false">IFERROR(COUNTIFS('Trade Log'!I5:I1004,"Long Put",'Trade Log'!T5:T1004,"&gt;0")/COUNTIF('Trade Log'!I5:I1004,"Long Put"),"—")</f>
        <v>—</v>
      </c>
      <c r="E12" s="126" t="str">
        <f aca="false">IFERROR(AVERAGEIF('Trade Log'!I5:I1004,"Long Put",'Trade Log'!T5:T1004),"—")</f>
        <v>—</v>
      </c>
      <c r="F12" s="127" t="str">
        <f aca="false">IFERROR(AVERAGEIF('Trade Log'!I5:I1004,"Long Put",'Trade Log'!U5:U1004),"—")</f>
        <v>—</v>
      </c>
      <c r="G12" s="127" t="str">
        <f aca="false">IFERROR(maxifs('Trade Log'!U5:U1004,'Trade Log'!I5:I1004,"Long Put"),"—")</f>
        <v>—</v>
      </c>
      <c r="H12" s="128" t="str">
        <f aca="false">IFERROR(maxifs('Trade Log'!T5:T1004,'Trade Log'!I5:I1004,"Long Put"),"—")</f>
        <v>—</v>
      </c>
      <c r="I12" s="129" t="str">
        <f aca="false">IFERROR(AVERAGEIF('Trade Log'!I5:I1004,"Long Put",'Trade Log'!W5:W1004),"—")</f>
        <v>—</v>
      </c>
      <c r="J12" s="130" t="n">
        <f aca="false">IFERROR(SUMIF('Trade Log'!I5:I1004,"Long Put",'Trade Log'!V5:V1004)-SUMIF('Trade Log'!I5:I1004,"Long Put",'Trade Log'!T5:T1004),"—")</f>
        <v>0</v>
      </c>
    </row>
    <row r="13" customFormat="false" ht="19.5" hidden="false" customHeight="true" outlineLevel="0" collapsed="false">
      <c r="A13" s="117" t="s">
        <v>83</v>
      </c>
      <c r="B13" s="118" t="n">
        <f aca="false">COUNTIF('Trade Log'!I5:I1004,"Covered Call")</f>
        <v>0</v>
      </c>
      <c r="C13" s="119" t="n">
        <f aca="false">IFERROR(SUMIF('Trade Log'!I5:I1004,"Covered Call",'Trade Log'!T5:T1004),"—")</f>
        <v>0</v>
      </c>
      <c r="D13" s="120" t="str">
        <f aca="false">IFERROR(COUNTIFS('Trade Log'!I5:I1004,"Covered Call",'Trade Log'!T5:T1004,"&gt;0")/COUNTIF('Trade Log'!I5:I1004,"Covered Call"),"—")</f>
        <v>—</v>
      </c>
      <c r="E13" s="119" t="str">
        <f aca="false">IFERROR(AVERAGEIF('Trade Log'!I5:I1004,"Covered Call",'Trade Log'!T5:T1004),"—")</f>
        <v>—</v>
      </c>
      <c r="F13" s="120" t="str">
        <f aca="false">IFERROR(AVERAGEIF('Trade Log'!I5:I1004,"Covered Call",'Trade Log'!U5:U1004),"—")</f>
        <v>—</v>
      </c>
      <c r="G13" s="120" t="str">
        <f aca="false">IFERROR(maxifs('Trade Log'!U5:U1004,'Trade Log'!I5:I1004,"Covered Call"),"—")</f>
        <v>—</v>
      </c>
      <c r="H13" s="121" t="str">
        <f aca="false">IFERROR(maxifs('Trade Log'!T5:T1004,'Trade Log'!I5:I1004,"Covered Call"),"—")</f>
        <v>—</v>
      </c>
      <c r="I13" s="122" t="str">
        <f aca="false">IFERROR(AVERAGEIF('Trade Log'!I5:I1004,"Covered Call",'Trade Log'!W5:W1004),"—")</f>
        <v>—</v>
      </c>
      <c r="J13" s="123" t="n">
        <f aca="false">IFERROR(SUMIF('Trade Log'!I5:I1004,"Covered Call",'Trade Log'!V5:V1004)-SUMIF('Trade Log'!I5:I1004,"Covered Call",'Trade Log'!T5:T1004),"—")</f>
        <v>0</v>
      </c>
    </row>
    <row r="14" customFormat="false" ht="19.5" hidden="false" customHeight="true" outlineLevel="0" collapsed="false">
      <c r="A14" s="124" t="s">
        <v>84</v>
      </c>
      <c r="B14" s="125" t="n">
        <f aca="false">COUNTIF('Trade Log'!I5:I1004,"Cash-Secured Put")</f>
        <v>0</v>
      </c>
      <c r="C14" s="126" t="n">
        <f aca="false">IFERROR(SUMIF('Trade Log'!I5:I1004,"Cash-Secured Put",'Trade Log'!T5:T1004),"—")</f>
        <v>0</v>
      </c>
      <c r="D14" s="127" t="str">
        <f aca="false">IFERROR(COUNTIFS('Trade Log'!I5:I1004,"Cash-Secured Put",'Trade Log'!T5:T1004,"&gt;0")/COUNTIF('Trade Log'!I5:I1004,"Cash-Secured Put"),"—")</f>
        <v>—</v>
      </c>
      <c r="E14" s="126" t="str">
        <f aca="false">IFERROR(AVERAGEIF('Trade Log'!I5:I1004,"Cash-Secured Put",'Trade Log'!T5:T1004),"—")</f>
        <v>—</v>
      </c>
      <c r="F14" s="127" t="str">
        <f aca="false">IFERROR(AVERAGEIF('Trade Log'!I5:I1004,"Cash-Secured Put",'Trade Log'!U5:U1004),"—")</f>
        <v>—</v>
      </c>
      <c r="G14" s="127" t="str">
        <f aca="false">IFERROR(maxifs('Trade Log'!U5:U1004,'Trade Log'!I5:I1004,"Cash-Secured Put"),"—")</f>
        <v>—</v>
      </c>
      <c r="H14" s="128" t="str">
        <f aca="false">IFERROR(maxifs('Trade Log'!T5:T1004,'Trade Log'!I5:I1004,"Cash-Secured Put"),"—")</f>
        <v>—</v>
      </c>
      <c r="I14" s="129" t="str">
        <f aca="false">IFERROR(AVERAGEIF('Trade Log'!I5:I1004,"Cash-Secured Put",'Trade Log'!W5:W1004),"—")</f>
        <v>—</v>
      </c>
      <c r="J14" s="130" t="n">
        <f aca="false">IFERROR(SUMIF('Trade Log'!I5:I1004,"Cash-Secured Put",'Trade Log'!V5:V1004)-SUMIF('Trade Log'!I5:I1004,"Cash-Secured Put",'Trade Log'!T5:T1004),"—")</f>
        <v>0</v>
      </c>
    </row>
    <row r="15" customFormat="false" ht="19.5" hidden="false" customHeight="true" outlineLevel="0" collapsed="false">
      <c r="A15" s="117" t="s">
        <v>85</v>
      </c>
      <c r="B15" s="118" t="n">
        <f aca="false">COUNTIF('Trade Log'!I5:I1004,"Bull Call Spread")</f>
        <v>0</v>
      </c>
      <c r="C15" s="119" t="n">
        <f aca="false">IFERROR(SUMIF('Trade Log'!I5:I1004,"Bull Call Spread",'Trade Log'!T5:T1004),"—")</f>
        <v>0</v>
      </c>
      <c r="D15" s="120" t="str">
        <f aca="false">IFERROR(COUNTIFS('Trade Log'!I5:I1004,"Bull Call Spread",'Trade Log'!T5:T1004,"&gt;0")/COUNTIF('Trade Log'!I5:I1004,"Bull Call Spread"),"—")</f>
        <v>—</v>
      </c>
      <c r="E15" s="119" t="str">
        <f aca="false">IFERROR(AVERAGEIF('Trade Log'!I5:I1004,"Bull Call Spread",'Trade Log'!T5:T1004),"—")</f>
        <v>—</v>
      </c>
      <c r="F15" s="120" t="str">
        <f aca="false">IFERROR(AVERAGEIF('Trade Log'!I5:I1004,"Bull Call Spread",'Trade Log'!U5:U1004),"—")</f>
        <v>—</v>
      </c>
      <c r="G15" s="120" t="str">
        <f aca="false">IFERROR(maxifs('Trade Log'!U5:U1004,'Trade Log'!I5:I1004,"Bull Call Spread"),"—")</f>
        <v>—</v>
      </c>
      <c r="H15" s="121" t="str">
        <f aca="false">IFERROR(maxifs('Trade Log'!T5:T1004,'Trade Log'!I5:I1004,"Bull Call Spread"),"—")</f>
        <v>—</v>
      </c>
      <c r="I15" s="122" t="str">
        <f aca="false">IFERROR(AVERAGEIF('Trade Log'!I5:I1004,"Bull Call Spread",'Trade Log'!W5:W1004),"—")</f>
        <v>—</v>
      </c>
      <c r="J15" s="123" t="n">
        <f aca="false">IFERROR(SUMIF('Trade Log'!I5:I1004,"Bull Call Spread",'Trade Log'!V5:V1004)-SUMIF('Trade Log'!I5:I1004,"Bull Call Spread",'Trade Log'!T5:T1004),"—")</f>
        <v>0</v>
      </c>
    </row>
    <row r="16" customFormat="false" ht="19.5" hidden="false" customHeight="true" outlineLevel="0" collapsed="false">
      <c r="A16" s="124" t="s">
        <v>86</v>
      </c>
      <c r="B16" s="125" t="n">
        <f aca="false">COUNTIF('Trade Log'!I5:I1004,"Bear Put Spread")</f>
        <v>0</v>
      </c>
      <c r="C16" s="126" t="n">
        <f aca="false">IFERROR(SUMIF('Trade Log'!I5:I1004,"Bear Put Spread",'Trade Log'!T5:T1004),"—")</f>
        <v>0</v>
      </c>
      <c r="D16" s="127" t="str">
        <f aca="false">IFERROR(COUNTIFS('Trade Log'!I5:I1004,"Bear Put Spread",'Trade Log'!T5:T1004,"&gt;0")/COUNTIF('Trade Log'!I5:I1004,"Bear Put Spread"),"—")</f>
        <v>—</v>
      </c>
      <c r="E16" s="126" t="str">
        <f aca="false">IFERROR(AVERAGEIF('Trade Log'!I5:I1004,"Bear Put Spread",'Trade Log'!T5:T1004),"—")</f>
        <v>—</v>
      </c>
      <c r="F16" s="127" t="str">
        <f aca="false">IFERROR(AVERAGEIF('Trade Log'!I5:I1004,"Bear Put Spread",'Trade Log'!U5:U1004),"—")</f>
        <v>—</v>
      </c>
      <c r="G16" s="127" t="str">
        <f aca="false">IFERROR(maxifs('Trade Log'!U5:U1004,'Trade Log'!I5:I1004,"Bear Put Spread"),"—")</f>
        <v>—</v>
      </c>
      <c r="H16" s="128" t="str">
        <f aca="false">IFERROR(maxifs('Trade Log'!T5:T1004,'Trade Log'!I5:I1004,"Bear Put Spread"),"—")</f>
        <v>—</v>
      </c>
      <c r="I16" s="129" t="str">
        <f aca="false">IFERROR(AVERAGEIF('Trade Log'!I5:I1004,"Bear Put Spread",'Trade Log'!W5:W1004),"—")</f>
        <v>—</v>
      </c>
      <c r="J16" s="130" t="n">
        <f aca="false">IFERROR(SUMIF('Trade Log'!I5:I1004,"Bear Put Spread",'Trade Log'!V5:V1004)-SUMIF('Trade Log'!I5:I1004,"Bear Put Spread",'Trade Log'!T5:T1004),"—")</f>
        <v>0</v>
      </c>
    </row>
    <row r="17" customFormat="false" ht="19.5" hidden="false" customHeight="true" outlineLevel="0" collapsed="false">
      <c r="A17" s="117" t="s">
        <v>87</v>
      </c>
      <c r="B17" s="118" t="n">
        <f aca="false">COUNTIF('Trade Log'!I5:I1004,"Iron Condor")</f>
        <v>0</v>
      </c>
      <c r="C17" s="119" t="n">
        <f aca="false">IFERROR(SUMIF('Trade Log'!I5:I1004,"Iron Condor",'Trade Log'!T5:T1004),"—")</f>
        <v>0</v>
      </c>
      <c r="D17" s="120" t="str">
        <f aca="false">IFERROR(COUNTIFS('Trade Log'!I5:I1004,"Iron Condor",'Trade Log'!T5:T1004,"&gt;0")/COUNTIF('Trade Log'!I5:I1004,"Iron Condor"),"—")</f>
        <v>—</v>
      </c>
      <c r="E17" s="119" t="str">
        <f aca="false">IFERROR(AVERAGEIF('Trade Log'!I5:I1004,"Iron Condor",'Trade Log'!T5:T1004),"—")</f>
        <v>—</v>
      </c>
      <c r="F17" s="120" t="str">
        <f aca="false">IFERROR(AVERAGEIF('Trade Log'!I5:I1004,"Iron Condor",'Trade Log'!U5:U1004),"—")</f>
        <v>—</v>
      </c>
      <c r="G17" s="120" t="str">
        <f aca="false">IFERROR(maxifs('Trade Log'!U5:U1004,'Trade Log'!I5:I1004,"Iron Condor"),"—")</f>
        <v>—</v>
      </c>
      <c r="H17" s="121" t="str">
        <f aca="false">IFERROR(maxifs('Trade Log'!T5:T1004,'Trade Log'!I5:I1004,"Iron Condor"),"—")</f>
        <v>—</v>
      </c>
      <c r="I17" s="122" t="str">
        <f aca="false">IFERROR(AVERAGEIF('Trade Log'!I5:I1004,"Iron Condor",'Trade Log'!W5:W1004),"—")</f>
        <v>—</v>
      </c>
      <c r="J17" s="123" t="n">
        <f aca="false">IFERROR(SUMIF('Trade Log'!I5:I1004,"Iron Condor",'Trade Log'!V5:V1004)-SUMIF('Trade Log'!I5:I1004,"Iron Condor",'Trade Log'!T5:T1004),"—")</f>
        <v>0</v>
      </c>
    </row>
    <row r="18" customFormat="false" ht="19.5" hidden="false" customHeight="true" outlineLevel="0" collapsed="false">
      <c r="A18" s="124" t="s">
        <v>88</v>
      </c>
      <c r="B18" s="125" t="n">
        <f aca="false">COUNTIF('Trade Log'!I5:I1004,"Straddle")</f>
        <v>0</v>
      </c>
      <c r="C18" s="126" t="n">
        <f aca="false">IFERROR(SUMIF('Trade Log'!I5:I1004,"Straddle",'Trade Log'!T5:T1004),"—")</f>
        <v>0</v>
      </c>
      <c r="D18" s="127" t="str">
        <f aca="false">IFERROR(COUNTIFS('Trade Log'!I5:I1004,"Straddle",'Trade Log'!T5:T1004,"&gt;0")/COUNTIF('Trade Log'!I5:I1004,"Straddle"),"—")</f>
        <v>—</v>
      </c>
      <c r="E18" s="126" t="str">
        <f aca="false">IFERROR(AVERAGEIF('Trade Log'!I5:I1004,"Straddle",'Trade Log'!T5:T1004),"—")</f>
        <v>—</v>
      </c>
      <c r="F18" s="127" t="str">
        <f aca="false">IFERROR(AVERAGEIF('Trade Log'!I5:I1004,"Straddle",'Trade Log'!U5:U1004),"—")</f>
        <v>—</v>
      </c>
      <c r="G18" s="127" t="str">
        <f aca="false">IFERROR(maxifs('Trade Log'!U5:U1004,'Trade Log'!I5:I1004,"Straddle"),"—")</f>
        <v>—</v>
      </c>
      <c r="H18" s="128" t="str">
        <f aca="false">IFERROR(maxifs('Trade Log'!T5:T1004,'Trade Log'!I5:I1004,"Straddle"),"—")</f>
        <v>—</v>
      </c>
      <c r="I18" s="129" t="str">
        <f aca="false">IFERROR(AVERAGEIF('Trade Log'!I5:I1004,"Straddle",'Trade Log'!W5:W1004),"—")</f>
        <v>—</v>
      </c>
      <c r="J18" s="130" t="n">
        <f aca="false">IFERROR(SUMIF('Trade Log'!I5:I1004,"Straddle",'Trade Log'!V5:V1004)-SUMIF('Trade Log'!I5:I1004,"Straddle",'Trade Log'!T5:T1004),"—")</f>
        <v>0</v>
      </c>
    </row>
    <row r="19" customFormat="false" ht="19.5" hidden="false" customHeight="true" outlineLevel="0" collapsed="false">
      <c r="A19" s="117" t="s">
        <v>89</v>
      </c>
      <c r="B19" s="118" t="n">
        <f aca="false">COUNTIF('Trade Log'!I5:I1004,"Other")</f>
        <v>0</v>
      </c>
      <c r="C19" s="119" t="n">
        <f aca="false">IFERROR(SUMIF('Trade Log'!I5:I1004,"Other",'Trade Log'!T5:T1004),"—")</f>
        <v>0</v>
      </c>
      <c r="D19" s="120" t="str">
        <f aca="false">IFERROR(COUNTIFS('Trade Log'!I5:I1004,"Other",'Trade Log'!T5:T1004,"&gt;0")/COUNTIF('Trade Log'!I5:I1004,"Other"),"—")</f>
        <v>—</v>
      </c>
      <c r="E19" s="119" t="str">
        <f aca="false">IFERROR(AVERAGEIF('Trade Log'!I5:I1004,"Other",'Trade Log'!T5:T1004),"—")</f>
        <v>—</v>
      </c>
      <c r="F19" s="120" t="str">
        <f aca="false">IFERROR(AVERAGEIF('Trade Log'!I5:I1004,"Other",'Trade Log'!U5:U1004),"—")</f>
        <v>—</v>
      </c>
      <c r="G19" s="120" t="str">
        <f aca="false">IFERROR(maxifs('Trade Log'!U5:U1004,'Trade Log'!I5:I1004,"Other"),"—")</f>
        <v>—</v>
      </c>
      <c r="H19" s="121" t="str">
        <f aca="false">IFERROR(maxifs('Trade Log'!T5:T1004,'Trade Log'!I5:I1004,"Other"),"—")</f>
        <v>—</v>
      </c>
      <c r="I19" s="122" t="str">
        <f aca="false">IFERROR(AVERAGEIF('Trade Log'!I5:I1004,"Other",'Trade Log'!W5:W1004),"—")</f>
        <v>—</v>
      </c>
      <c r="J19" s="123" t="n">
        <f aca="false">IFERROR(SUMIF('Trade Log'!I5:I1004,"Other",'Trade Log'!V5:V1004)-SUMIF('Trade Log'!I5:I1004,"Other",'Trade Log'!T5:T1004),"—")</f>
        <v>0</v>
      </c>
    </row>
    <row r="22" customFormat="false" ht="25.5" hidden="false" customHeight="true" outlineLevel="0" collapsed="false">
      <c r="A22" s="131" t="s">
        <v>90</v>
      </c>
      <c r="B22" s="131"/>
      <c r="C22" s="131"/>
      <c r="D22" s="131"/>
      <c r="E22" s="131"/>
      <c r="F22" s="131"/>
      <c r="G22" s="131"/>
      <c r="H22" s="131"/>
      <c r="I22" s="131"/>
      <c r="J22" s="131"/>
    </row>
    <row r="23" customFormat="false" ht="21.75" hidden="false" customHeight="true" outlineLevel="0" collapsed="false">
      <c r="A23" s="132" t="s">
        <v>11</v>
      </c>
      <c r="B23" s="115" t="s">
        <v>43</v>
      </c>
      <c r="C23" s="115" t="s">
        <v>73</v>
      </c>
      <c r="D23" s="115" t="s">
        <v>74</v>
      </c>
      <c r="E23" s="115" t="s">
        <v>75</v>
      </c>
      <c r="F23" s="115" t="s">
        <v>76</v>
      </c>
      <c r="G23" s="115" t="s">
        <v>91</v>
      </c>
      <c r="H23" s="115" t="s">
        <v>92</v>
      </c>
      <c r="I23" s="115" t="s">
        <v>79</v>
      </c>
      <c r="J23" s="115" t="s">
        <v>77</v>
      </c>
    </row>
    <row r="24" customFormat="false" ht="19.5" hidden="false" customHeight="true" outlineLevel="0" collapsed="false">
      <c r="A24" s="133" t="str">
        <f aca="false">IFERROR(unique(filter('Trade Log'!G5:G1004,'Trade Log'!G5:G1004&lt;&gt;"")),"")</f>
        <v/>
      </c>
      <c r="B24" s="134" t="str">
        <f aca="false">IF(A24&lt;&gt;"",COUNTIF('Trade Log'!G5:G1004,A24),"")</f>
        <v/>
      </c>
      <c r="C24" s="135" t="str">
        <f aca="false">IF(A24&lt;&gt;"",IFERROR(SUMIF('Trade Log'!G5:G1004,A24,'Trade Log'!T5:T1004),"—"),"")</f>
        <v/>
      </c>
      <c r="D24" s="136" t="str">
        <f aca="false">IF(A24&lt;&gt;"",IFERROR(COUNTIFS('Trade Log'!G5:G1004,A24,'Trade Log'!T5:T1004,"&gt;0")/COUNTIF('Trade Log'!G5:G1004,A24),"—"),"")</f>
        <v/>
      </c>
      <c r="E24" s="137" t="str">
        <f aca="false">IF(A24&lt;&gt;"",IFERROR(AVERAGEIF('Trade Log'!G5:G1004,A24,'Trade Log'!T5:T1004),"—"),"")</f>
        <v/>
      </c>
      <c r="F24" s="136" t="str">
        <f aca="false">IF(A24&lt;&gt;"",IFERROR(AVERAGEIF('Trade Log'!G5:G1004,A24,'Trade Log'!U5:U1004),"—"),"")</f>
        <v/>
      </c>
      <c r="G24" s="138" t="str">
        <f aca="false">IF(A24&lt;&gt;"",IFERROR(maxifs('Trade Log'!T5:T1004,'Trade Log'!G5:G1004,A24),"—"),"")</f>
        <v/>
      </c>
      <c r="H24" s="139" t="str">
        <f aca="false">IF(A24&lt;&gt;"",IFERROR(minifs('Trade Log'!T5:T1004,'Trade Log'!G5:G1004,A24),"—"),"")</f>
        <v/>
      </c>
      <c r="I24" s="136" t="str">
        <f aca="false">IF(A24&lt;&gt;"",IFERROR(AVERAGEIF('Trade Log'!G5:G1004,A24,'Trade Log'!W5:W1004),"—"),"")</f>
        <v/>
      </c>
      <c r="J24" s="136" t="str">
        <f aca="false">IF(A24&lt;&gt;"",IFERROR(maxifs('Trade Log'!U5:U1004,'Trade Log'!G5:G1004,A24),"—"),"")</f>
        <v/>
      </c>
    </row>
    <row r="25" customFormat="false" ht="19.5" hidden="false" customHeight="true" outlineLevel="0" collapsed="false">
      <c r="A25" s="140"/>
      <c r="B25" s="141" t="str">
        <f aca="false">IF(A25&lt;&gt;"",COUNTIF('Trade Log'!G5:G1004,A25),"")</f>
        <v/>
      </c>
      <c r="C25" s="142" t="str">
        <f aca="false">IF(A25&lt;&gt;"",IFERROR(SUMIF('Trade Log'!G5:G1004,A25,'Trade Log'!T5:T1004),"—"),"")</f>
        <v/>
      </c>
      <c r="D25" s="143" t="str">
        <f aca="false">IF(A25&lt;&gt;"",IFERROR(COUNTIFS('Trade Log'!G5:G1004,A25,'Trade Log'!T5:T1004,"&gt;0")/COUNTIF('Trade Log'!G5:G1004,A25),"—"),"")</f>
        <v/>
      </c>
      <c r="E25" s="144" t="str">
        <f aca="false">IF(A25&lt;&gt;"",IFERROR(AVERAGEIF('Trade Log'!G5:G1004,A25,'Trade Log'!T5:T1004),"—"),"")</f>
        <v/>
      </c>
      <c r="F25" s="143" t="str">
        <f aca="false">IF(A25&lt;&gt;"",IFERROR(AVERAGEIF('Trade Log'!G5:G1004,A25,'Trade Log'!U5:U1004),"—"),"")</f>
        <v/>
      </c>
      <c r="G25" s="145" t="str">
        <f aca="false">IF(A25&lt;&gt;"",IFERROR(maxifs('Trade Log'!T5:T1004,'Trade Log'!G5:G1004,A25),"—"),"")</f>
        <v/>
      </c>
      <c r="H25" s="146" t="str">
        <f aca="false">IF(A25&lt;&gt;"",IFERROR(minifs('Trade Log'!T5:T1004,'Trade Log'!G5:G1004,A25),"—"),"")</f>
        <v/>
      </c>
      <c r="I25" s="143" t="str">
        <f aca="false">IF(A25&lt;&gt;"",IFERROR(AVERAGEIF('Trade Log'!G5:G1004,A25,'Trade Log'!W5:W1004),"—"),"")</f>
        <v/>
      </c>
      <c r="J25" s="143" t="str">
        <f aca="false">IF(A25&lt;&gt;"",IFERROR(maxifs('Trade Log'!U5:U1004,'Trade Log'!G5:G1004,A25),"—"),"")</f>
        <v/>
      </c>
    </row>
    <row r="26" customFormat="false" ht="19.5" hidden="false" customHeight="true" outlineLevel="0" collapsed="false">
      <c r="A26" s="133"/>
      <c r="B26" s="134" t="str">
        <f aca="false">IF(A26&lt;&gt;"",COUNTIF('Trade Log'!G5:G1004,A26),"")</f>
        <v/>
      </c>
      <c r="C26" s="135" t="str">
        <f aca="false">IF(A26&lt;&gt;"",IFERROR(SUMIF('Trade Log'!G5:G1004,A26,'Trade Log'!T5:T1004),"—"),"")</f>
        <v/>
      </c>
      <c r="D26" s="136" t="str">
        <f aca="false">IF(A26&lt;&gt;"",IFERROR(COUNTIFS('Trade Log'!G5:G1004,A26,'Trade Log'!T5:T1004,"&gt;0")/COUNTIF('Trade Log'!G5:G1004,A26),"—"),"")</f>
        <v/>
      </c>
      <c r="E26" s="137" t="str">
        <f aca="false">IF(A26&lt;&gt;"",IFERROR(AVERAGEIF('Trade Log'!G5:G1004,A26,'Trade Log'!T5:T1004),"—"),"")</f>
        <v/>
      </c>
      <c r="F26" s="136" t="str">
        <f aca="false">IF(A26&lt;&gt;"",IFERROR(AVERAGEIF('Trade Log'!G5:G1004,A26,'Trade Log'!U5:U1004),"—"),"")</f>
        <v/>
      </c>
      <c r="G26" s="138" t="str">
        <f aca="false">IF(A26&lt;&gt;"",IFERROR(maxifs('Trade Log'!T5:T1004,'Trade Log'!G5:G1004,A26),"—"),"")</f>
        <v/>
      </c>
      <c r="H26" s="139" t="str">
        <f aca="false">IF(A26&lt;&gt;"",IFERROR(minifs('Trade Log'!T5:T1004,'Trade Log'!G5:G1004,A26),"—"),"")</f>
        <v/>
      </c>
      <c r="I26" s="136" t="str">
        <f aca="false">IF(A26&lt;&gt;"",IFERROR(AVERAGEIF('Trade Log'!G5:G1004,A26,'Trade Log'!W5:W1004),"—"),"")</f>
        <v/>
      </c>
      <c r="J26" s="136" t="str">
        <f aca="false">IF(A26&lt;&gt;"",IFERROR(maxifs('Trade Log'!U5:U1004,'Trade Log'!G5:G1004,A26),"—"),"")</f>
        <v/>
      </c>
    </row>
    <row r="27" customFormat="false" ht="19.5" hidden="false" customHeight="true" outlineLevel="0" collapsed="false">
      <c r="A27" s="140"/>
      <c r="B27" s="141" t="str">
        <f aca="false">IF(A27&lt;&gt;"",COUNTIF('Trade Log'!G5:G1004,A27),"")</f>
        <v/>
      </c>
      <c r="C27" s="142" t="str">
        <f aca="false">IF(A27&lt;&gt;"",IFERROR(SUMIF('Trade Log'!G5:G1004,A27,'Trade Log'!T5:T1004),"—"),"")</f>
        <v/>
      </c>
      <c r="D27" s="143" t="str">
        <f aca="false">IF(A27&lt;&gt;"",IFERROR(COUNTIFS('Trade Log'!G5:G1004,A27,'Trade Log'!T5:T1004,"&gt;0")/COUNTIF('Trade Log'!G5:G1004,A27),"—"),"")</f>
        <v/>
      </c>
      <c r="E27" s="144" t="str">
        <f aca="false">IF(A27&lt;&gt;"",IFERROR(AVERAGEIF('Trade Log'!G5:G1004,A27,'Trade Log'!T5:T1004),"—"),"")</f>
        <v/>
      </c>
      <c r="F27" s="143" t="str">
        <f aca="false">IF(A27&lt;&gt;"",IFERROR(AVERAGEIF('Trade Log'!G5:G1004,A27,'Trade Log'!U5:U1004),"—"),"")</f>
        <v/>
      </c>
      <c r="G27" s="145" t="str">
        <f aca="false">IF(A27&lt;&gt;"",IFERROR(maxifs('Trade Log'!T5:T1004,'Trade Log'!G5:G1004,A27),"—"),"")</f>
        <v/>
      </c>
      <c r="H27" s="146" t="str">
        <f aca="false">IF(A27&lt;&gt;"",IFERROR(minifs('Trade Log'!T5:T1004,'Trade Log'!G5:G1004,A27),"—"),"")</f>
        <v/>
      </c>
      <c r="I27" s="143" t="str">
        <f aca="false">IF(A27&lt;&gt;"",IFERROR(AVERAGEIF('Trade Log'!G5:G1004,A27,'Trade Log'!W5:W1004),"—"),"")</f>
        <v/>
      </c>
      <c r="J27" s="143" t="str">
        <f aca="false">IF(A27&lt;&gt;"",IFERROR(maxifs('Trade Log'!U5:U1004,'Trade Log'!G5:G1004,A27),"—"),"")</f>
        <v/>
      </c>
    </row>
    <row r="28" customFormat="false" ht="19.5" hidden="false" customHeight="true" outlineLevel="0" collapsed="false">
      <c r="A28" s="133"/>
      <c r="B28" s="134" t="str">
        <f aca="false">IF(A28&lt;&gt;"",COUNTIF('Trade Log'!G5:G1004,A28),"")</f>
        <v/>
      </c>
      <c r="C28" s="135" t="str">
        <f aca="false">IF(A28&lt;&gt;"",IFERROR(SUMIF('Trade Log'!G5:G1004,A28,'Trade Log'!T5:T1004),"—"),"")</f>
        <v/>
      </c>
      <c r="D28" s="136" t="str">
        <f aca="false">IF(A28&lt;&gt;"",IFERROR(COUNTIFS('Trade Log'!G5:G1004,A28,'Trade Log'!T5:T1004,"&gt;0")/COUNTIF('Trade Log'!G5:G1004,A28),"—"),"")</f>
        <v/>
      </c>
      <c r="E28" s="137" t="str">
        <f aca="false">IF(A28&lt;&gt;"",IFERROR(AVERAGEIF('Trade Log'!G5:G1004,A28,'Trade Log'!T5:T1004),"—"),"")</f>
        <v/>
      </c>
      <c r="F28" s="136" t="str">
        <f aca="false">IF(A28&lt;&gt;"",IFERROR(AVERAGEIF('Trade Log'!G5:G1004,A28,'Trade Log'!U5:U1004),"—"),"")</f>
        <v/>
      </c>
      <c r="G28" s="138" t="str">
        <f aca="false">IF(A28&lt;&gt;"",IFERROR(maxifs('Trade Log'!T5:T1004,'Trade Log'!G5:G1004,A28),"—"),"")</f>
        <v/>
      </c>
      <c r="H28" s="139" t="str">
        <f aca="false">IF(A28&lt;&gt;"",IFERROR(minifs('Trade Log'!T5:T1004,'Trade Log'!G5:G1004,A28),"—"),"")</f>
        <v/>
      </c>
      <c r="I28" s="136" t="str">
        <f aca="false">IF(A28&lt;&gt;"",IFERROR(AVERAGEIF('Trade Log'!G5:G1004,A28,'Trade Log'!W5:W1004),"—"),"")</f>
        <v/>
      </c>
      <c r="J28" s="136" t="str">
        <f aca="false">IF(A28&lt;&gt;"",IFERROR(maxifs('Trade Log'!U5:U1004,'Trade Log'!G5:G1004,A28),"—"),"")</f>
        <v/>
      </c>
    </row>
    <row r="29" customFormat="false" ht="19.5" hidden="false" customHeight="true" outlineLevel="0" collapsed="false">
      <c r="A29" s="140"/>
      <c r="B29" s="141" t="str">
        <f aca="false">IF(A29&lt;&gt;"",COUNTIF('Trade Log'!G5:G1004,A29),"")</f>
        <v/>
      </c>
      <c r="C29" s="142" t="str">
        <f aca="false">IF(A29&lt;&gt;"",IFERROR(SUMIF('Trade Log'!G5:G1004,A29,'Trade Log'!T5:T1004),"—"),"")</f>
        <v/>
      </c>
      <c r="D29" s="143" t="str">
        <f aca="false">IF(A29&lt;&gt;"",IFERROR(COUNTIFS('Trade Log'!G5:G1004,A29,'Trade Log'!T5:T1004,"&gt;0")/COUNTIF('Trade Log'!G5:G1004,A29),"—"),"")</f>
        <v/>
      </c>
      <c r="E29" s="144" t="str">
        <f aca="false">IF(A29&lt;&gt;"",IFERROR(AVERAGEIF('Trade Log'!G5:G1004,A29,'Trade Log'!T5:T1004),"—"),"")</f>
        <v/>
      </c>
      <c r="F29" s="143" t="str">
        <f aca="false">IF(A29&lt;&gt;"",IFERROR(AVERAGEIF('Trade Log'!G5:G1004,A29,'Trade Log'!U5:U1004),"—"),"")</f>
        <v/>
      </c>
      <c r="G29" s="145" t="str">
        <f aca="false">IF(A29&lt;&gt;"",IFERROR(maxifs('Trade Log'!T5:T1004,'Trade Log'!G5:G1004,A29),"—"),"")</f>
        <v/>
      </c>
      <c r="H29" s="146" t="str">
        <f aca="false">IF(A29&lt;&gt;"",IFERROR(minifs('Trade Log'!T5:T1004,'Trade Log'!G5:G1004,A29),"—"),"")</f>
        <v/>
      </c>
      <c r="I29" s="143" t="str">
        <f aca="false">IF(A29&lt;&gt;"",IFERROR(AVERAGEIF('Trade Log'!G5:G1004,A29,'Trade Log'!W5:W1004),"—"),"")</f>
        <v/>
      </c>
      <c r="J29" s="143" t="str">
        <f aca="false">IF(A29&lt;&gt;"",IFERROR(maxifs('Trade Log'!U5:U1004,'Trade Log'!G5:G1004,A29),"—"),"")</f>
        <v/>
      </c>
    </row>
    <row r="30" customFormat="false" ht="19.5" hidden="false" customHeight="true" outlineLevel="0" collapsed="false">
      <c r="A30" s="133"/>
      <c r="B30" s="134" t="str">
        <f aca="false">IF(A30&lt;&gt;"",COUNTIF('Trade Log'!G5:G1004,A30),"")</f>
        <v/>
      </c>
      <c r="C30" s="135" t="str">
        <f aca="false">IF(A30&lt;&gt;"",IFERROR(SUMIF('Trade Log'!G5:G1004,A30,'Trade Log'!T5:T1004),"—"),"")</f>
        <v/>
      </c>
      <c r="D30" s="136" t="str">
        <f aca="false">IF(A30&lt;&gt;"",IFERROR(COUNTIFS('Trade Log'!G5:G1004,A30,'Trade Log'!T5:T1004,"&gt;0")/COUNTIF('Trade Log'!G5:G1004,A30),"—"),"")</f>
        <v/>
      </c>
      <c r="E30" s="137" t="str">
        <f aca="false">IF(A30&lt;&gt;"",IFERROR(AVERAGEIF('Trade Log'!G5:G1004,A30,'Trade Log'!T5:T1004),"—"),"")</f>
        <v/>
      </c>
      <c r="F30" s="136" t="str">
        <f aca="false">IF(A30&lt;&gt;"",IFERROR(AVERAGEIF('Trade Log'!G5:G1004,A30,'Trade Log'!U5:U1004),"—"),"")</f>
        <v/>
      </c>
      <c r="G30" s="138" t="str">
        <f aca="false">IF(A30&lt;&gt;"",IFERROR(maxifs('Trade Log'!T5:T1004,'Trade Log'!G5:G1004,A30),"—"),"")</f>
        <v/>
      </c>
      <c r="H30" s="139" t="str">
        <f aca="false">IF(A30&lt;&gt;"",IFERROR(minifs('Trade Log'!T5:T1004,'Trade Log'!G5:G1004,A30),"—"),"")</f>
        <v/>
      </c>
      <c r="I30" s="136" t="str">
        <f aca="false">IF(A30&lt;&gt;"",IFERROR(AVERAGEIF('Trade Log'!G5:G1004,A30,'Trade Log'!W5:W1004),"—"),"")</f>
        <v/>
      </c>
      <c r="J30" s="136" t="str">
        <f aca="false">IF(A30&lt;&gt;"",IFERROR(maxifs('Trade Log'!U5:U1004,'Trade Log'!G5:G1004,A30),"—"),"")</f>
        <v/>
      </c>
    </row>
    <row r="31" customFormat="false" ht="19.5" hidden="false" customHeight="true" outlineLevel="0" collapsed="false">
      <c r="A31" s="140"/>
      <c r="B31" s="141" t="str">
        <f aca="false">IF(A31&lt;&gt;"",COUNTIF('Trade Log'!G5:G1004,A31),"")</f>
        <v/>
      </c>
      <c r="C31" s="142" t="str">
        <f aca="false">IF(A31&lt;&gt;"",IFERROR(SUMIF('Trade Log'!G5:G1004,A31,'Trade Log'!T5:T1004),"—"),"")</f>
        <v/>
      </c>
      <c r="D31" s="143" t="str">
        <f aca="false">IF(A31&lt;&gt;"",IFERROR(COUNTIFS('Trade Log'!G5:G1004,A31,'Trade Log'!T5:T1004,"&gt;0")/COUNTIF('Trade Log'!G5:G1004,A31),"—"),"")</f>
        <v/>
      </c>
      <c r="E31" s="144" t="str">
        <f aca="false">IF(A31&lt;&gt;"",IFERROR(AVERAGEIF('Trade Log'!G5:G1004,A31,'Trade Log'!T5:T1004),"—"),"")</f>
        <v/>
      </c>
      <c r="F31" s="143" t="str">
        <f aca="false">IF(A31&lt;&gt;"",IFERROR(AVERAGEIF('Trade Log'!G5:G1004,A31,'Trade Log'!U5:U1004),"—"),"")</f>
        <v/>
      </c>
      <c r="G31" s="145" t="str">
        <f aca="false">IF(A31&lt;&gt;"",IFERROR(maxifs('Trade Log'!T5:T1004,'Trade Log'!G5:G1004,A31),"—"),"")</f>
        <v/>
      </c>
      <c r="H31" s="146" t="str">
        <f aca="false">IF(A31&lt;&gt;"",IFERROR(minifs('Trade Log'!T5:T1004,'Trade Log'!G5:G1004,A31),"—"),"")</f>
        <v/>
      </c>
      <c r="I31" s="143" t="str">
        <f aca="false">IF(A31&lt;&gt;"",IFERROR(AVERAGEIF('Trade Log'!G5:G1004,A31,'Trade Log'!W5:W1004),"—"),"")</f>
        <v/>
      </c>
      <c r="J31" s="143" t="str">
        <f aca="false">IF(A31&lt;&gt;"",IFERROR(maxifs('Trade Log'!U5:U1004,'Trade Log'!G5:G1004,A31),"—"),"")</f>
        <v/>
      </c>
    </row>
    <row r="32" customFormat="false" ht="19.5" hidden="false" customHeight="true" outlineLevel="0" collapsed="false">
      <c r="A32" s="133"/>
      <c r="B32" s="134" t="str">
        <f aca="false">IF(A32&lt;&gt;"",COUNTIF('Trade Log'!G5:G1004,A32),"")</f>
        <v/>
      </c>
      <c r="C32" s="135" t="str">
        <f aca="false">IF(A32&lt;&gt;"",IFERROR(SUMIF('Trade Log'!G5:G1004,A32,'Trade Log'!T5:T1004),"—"),"")</f>
        <v/>
      </c>
      <c r="D32" s="136" t="str">
        <f aca="false">IF(A32&lt;&gt;"",IFERROR(COUNTIFS('Trade Log'!G5:G1004,A32,'Trade Log'!T5:T1004,"&gt;0")/COUNTIF('Trade Log'!G5:G1004,A32),"—"),"")</f>
        <v/>
      </c>
      <c r="E32" s="137" t="str">
        <f aca="false">IF(A32&lt;&gt;"",IFERROR(AVERAGEIF('Trade Log'!G5:G1004,A32,'Trade Log'!T5:T1004),"—"),"")</f>
        <v/>
      </c>
      <c r="F32" s="136" t="str">
        <f aca="false">IF(A32&lt;&gt;"",IFERROR(AVERAGEIF('Trade Log'!G5:G1004,A32,'Trade Log'!U5:U1004),"—"),"")</f>
        <v/>
      </c>
      <c r="G32" s="138" t="str">
        <f aca="false">IF(A32&lt;&gt;"",IFERROR(maxifs('Trade Log'!T5:T1004,'Trade Log'!G5:G1004,A32),"—"),"")</f>
        <v/>
      </c>
      <c r="H32" s="139" t="str">
        <f aca="false">IF(A32&lt;&gt;"",IFERROR(minifs('Trade Log'!T5:T1004,'Trade Log'!G5:G1004,A32),"—"),"")</f>
        <v/>
      </c>
      <c r="I32" s="136" t="str">
        <f aca="false">IF(A32&lt;&gt;"",IFERROR(AVERAGEIF('Trade Log'!G5:G1004,A32,'Trade Log'!W5:W1004),"—"),"")</f>
        <v/>
      </c>
      <c r="J32" s="136" t="str">
        <f aca="false">IF(A32&lt;&gt;"",IFERROR(maxifs('Trade Log'!U5:U1004,'Trade Log'!G5:G1004,A32),"—"),"")</f>
        <v/>
      </c>
    </row>
    <row r="33" customFormat="false" ht="19.5" hidden="false" customHeight="true" outlineLevel="0" collapsed="false">
      <c r="A33" s="140"/>
      <c r="B33" s="141" t="str">
        <f aca="false">IF(A33&lt;&gt;"",COUNTIF('Trade Log'!G5:G1004,A33),"")</f>
        <v/>
      </c>
      <c r="C33" s="142" t="str">
        <f aca="false">IF(A33&lt;&gt;"",IFERROR(SUMIF('Trade Log'!G5:G1004,A33,'Trade Log'!T5:T1004),"—"),"")</f>
        <v/>
      </c>
      <c r="D33" s="143" t="str">
        <f aca="false">IF(A33&lt;&gt;"",IFERROR(COUNTIFS('Trade Log'!G5:G1004,A33,'Trade Log'!T5:T1004,"&gt;0")/COUNTIF('Trade Log'!G5:G1004,A33),"—"),"")</f>
        <v/>
      </c>
      <c r="E33" s="144" t="str">
        <f aca="false">IF(A33&lt;&gt;"",IFERROR(AVERAGEIF('Trade Log'!G5:G1004,A33,'Trade Log'!T5:T1004),"—"),"")</f>
        <v/>
      </c>
      <c r="F33" s="143" t="str">
        <f aca="false">IF(A33&lt;&gt;"",IFERROR(AVERAGEIF('Trade Log'!G5:G1004,A33,'Trade Log'!U5:U1004),"—"),"")</f>
        <v/>
      </c>
      <c r="G33" s="145" t="str">
        <f aca="false">IF(A33&lt;&gt;"",IFERROR(maxifs('Trade Log'!T5:T1004,'Trade Log'!G5:G1004,A33),"—"),"")</f>
        <v/>
      </c>
      <c r="H33" s="146" t="str">
        <f aca="false">IF(A33&lt;&gt;"",IFERROR(minifs('Trade Log'!T5:T1004,'Trade Log'!G5:G1004,A33),"—"),"")</f>
        <v/>
      </c>
      <c r="I33" s="143" t="str">
        <f aca="false">IF(A33&lt;&gt;"",IFERROR(AVERAGEIF('Trade Log'!G5:G1004,A33,'Trade Log'!W5:W1004),"—"),"")</f>
        <v/>
      </c>
      <c r="J33" s="143" t="str">
        <f aca="false">IF(A33&lt;&gt;"",IFERROR(maxifs('Trade Log'!U5:U1004,'Trade Log'!G5:G1004,A33),"—"),"")</f>
        <v/>
      </c>
    </row>
    <row r="34" customFormat="false" ht="19.5" hidden="false" customHeight="true" outlineLevel="0" collapsed="false">
      <c r="A34" s="133"/>
      <c r="B34" s="134" t="str">
        <f aca="false">IF(A34&lt;&gt;"",COUNTIF('Trade Log'!G5:G1004,A34),"")</f>
        <v/>
      </c>
      <c r="C34" s="135" t="str">
        <f aca="false">IF(A34&lt;&gt;"",IFERROR(SUMIF('Trade Log'!G5:G1004,A34,'Trade Log'!T5:T1004),"—"),"")</f>
        <v/>
      </c>
      <c r="D34" s="136" t="str">
        <f aca="false">IF(A34&lt;&gt;"",IFERROR(COUNTIFS('Trade Log'!G5:G1004,A34,'Trade Log'!T5:T1004,"&gt;0")/COUNTIF('Trade Log'!G5:G1004,A34),"—"),"")</f>
        <v/>
      </c>
      <c r="E34" s="137" t="str">
        <f aca="false">IF(A34&lt;&gt;"",IFERROR(AVERAGEIF('Trade Log'!G5:G1004,A34,'Trade Log'!T5:T1004),"—"),"")</f>
        <v/>
      </c>
      <c r="F34" s="136" t="str">
        <f aca="false">IF(A34&lt;&gt;"",IFERROR(AVERAGEIF('Trade Log'!G5:G1004,A34,'Trade Log'!U5:U1004),"—"),"")</f>
        <v/>
      </c>
      <c r="G34" s="138" t="str">
        <f aca="false">IF(A34&lt;&gt;"",IFERROR(maxifs('Trade Log'!T5:T1004,'Trade Log'!G5:G1004,A34),"—"),"")</f>
        <v/>
      </c>
      <c r="H34" s="139" t="str">
        <f aca="false">IF(A34&lt;&gt;"",IFERROR(minifs('Trade Log'!T5:T1004,'Trade Log'!G5:G1004,A34),"—"),"")</f>
        <v/>
      </c>
      <c r="I34" s="136" t="str">
        <f aca="false">IF(A34&lt;&gt;"",IFERROR(AVERAGEIF('Trade Log'!G5:G1004,A34,'Trade Log'!W5:W1004),"—"),"")</f>
        <v/>
      </c>
      <c r="J34" s="136" t="str">
        <f aca="false">IF(A34&lt;&gt;"",IFERROR(maxifs('Trade Log'!U5:U1004,'Trade Log'!G5:G1004,A34),"—"),"")</f>
        <v/>
      </c>
    </row>
    <row r="35" customFormat="false" ht="19.5" hidden="false" customHeight="true" outlineLevel="0" collapsed="false">
      <c r="A35" s="140"/>
      <c r="B35" s="141" t="str">
        <f aca="false">IF(A35&lt;&gt;"",COUNTIF('Trade Log'!G5:G1004,A35),"")</f>
        <v/>
      </c>
      <c r="C35" s="142" t="str">
        <f aca="false">IF(A35&lt;&gt;"",IFERROR(SUMIF('Trade Log'!G5:G1004,A35,'Trade Log'!T5:T1004),"—"),"")</f>
        <v/>
      </c>
      <c r="D35" s="143" t="str">
        <f aca="false">IF(A35&lt;&gt;"",IFERROR(COUNTIFS('Trade Log'!G5:G1004,A35,'Trade Log'!T5:T1004,"&gt;0")/COUNTIF('Trade Log'!G5:G1004,A35),"—"),"")</f>
        <v/>
      </c>
      <c r="E35" s="144" t="str">
        <f aca="false">IF(A35&lt;&gt;"",IFERROR(AVERAGEIF('Trade Log'!G5:G1004,A35,'Trade Log'!T5:T1004),"—"),"")</f>
        <v/>
      </c>
      <c r="F35" s="143" t="str">
        <f aca="false">IF(A35&lt;&gt;"",IFERROR(AVERAGEIF('Trade Log'!G5:G1004,A35,'Trade Log'!U5:U1004),"—"),"")</f>
        <v/>
      </c>
      <c r="G35" s="145" t="str">
        <f aca="false">IF(A35&lt;&gt;"",IFERROR(maxifs('Trade Log'!T5:T1004,'Trade Log'!G5:G1004,A35),"—"),"")</f>
        <v/>
      </c>
      <c r="H35" s="146" t="str">
        <f aca="false">IF(A35&lt;&gt;"",IFERROR(minifs('Trade Log'!T5:T1004,'Trade Log'!G5:G1004,A35),"—"),"")</f>
        <v/>
      </c>
      <c r="I35" s="143" t="str">
        <f aca="false">IF(A35&lt;&gt;"",IFERROR(AVERAGEIF('Trade Log'!G5:G1004,A35,'Trade Log'!W5:W1004),"—"),"")</f>
        <v/>
      </c>
      <c r="J35" s="143" t="str">
        <f aca="false">IF(A35&lt;&gt;"",IFERROR(maxifs('Trade Log'!U5:U1004,'Trade Log'!G5:G1004,A35),"—"),"")</f>
        <v/>
      </c>
    </row>
    <row r="36" customFormat="false" ht="19.5" hidden="false" customHeight="true" outlineLevel="0" collapsed="false">
      <c r="A36" s="133"/>
      <c r="B36" s="134" t="str">
        <f aca="false">IF(A36&lt;&gt;"",COUNTIF('Trade Log'!G5:G1004,A36),"")</f>
        <v/>
      </c>
      <c r="C36" s="135" t="str">
        <f aca="false">IF(A36&lt;&gt;"",IFERROR(SUMIF('Trade Log'!G5:G1004,A36,'Trade Log'!T5:T1004),"—"),"")</f>
        <v/>
      </c>
      <c r="D36" s="136" t="str">
        <f aca="false">IF(A36&lt;&gt;"",IFERROR(COUNTIFS('Trade Log'!G5:G1004,A36,'Trade Log'!T5:T1004,"&gt;0")/COUNTIF('Trade Log'!G5:G1004,A36),"—"),"")</f>
        <v/>
      </c>
      <c r="E36" s="137" t="str">
        <f aca="false">IF(A36&lt;&gt;"",IFERROR(AVERAGEIF('Trade Log'!G5:G1004,A36,'Trade Log'!T5:T1004),"—"),"")</f>
        <v/>
      </c>
      <c r="F36" s="136" t="str">
        <f aca="false">IF(A36&lt;&gt;"",IFERROR(AVERAGEIF('Trade Log'!G5:G1004,A36,'Trade Log'!U5:U1004),"—"),"")</f>
        <v/>
      </c>
      <c r="G36" s="138" t="str">
        <f aca="false">IF(A36&lt;&gt;"",IFERROR(maxifs('Trade Log'!T5:T1004,'Trade Log'!G5:G1004,A36),"—"),"")</f>
        <v/>
      </c>
      <c r="H36" s="139" t="str">
        <f aca="false">IF(A36&lt;&gt;"",IFERROR(minifs('Trade Log'!T5:T1004,'Trade Log'!G5:G1004,A36),"—"),"")</f>
        <v/>
      </c>
      <c r="I36" s="136" t="str">
        <f aca="false">IF(A36&lt;&gt;"",IFERROR(AVERAGEIF('Trade Log'!G5:G1004,A36,'Trade Log'!W5:W1004),"—"),"")</f>
        <v/>
      </c>
      <c r="J36" s="136" t="str">
        <f aca="false">IF(A36&lt;&gt;"",IFERROR(maxifs('Trade Log'!U5:U1004,'Trade Log'!G5:G1004,A36),"—"),"")</f>
        <v/>
      </c>
    </row>
    <row r="37" customFormat="false" ht="19.5" hidden="false" customHeight="true" outlineLevel="0" collapsed="false">
      <c r="A37" s="140"/>
      <c r="B37" s="141" t="str">
        <f aca="false">IF(A37&lt;&gt;"",COUNTIF('Trade Log'!G5:G1004,A37),"")</f>
        <v/>
      </c>
      <c r="C37" s="142" t="str">
        <f aca="false">IF(A37&lt;&gt;"",IFERROR(SUMIF('Trade Log'!G5:G1004,A37,'Trade Log'!T5:T1004),"—"),"")</f>
        <v/>
      </c>
      <c r="D37" s="143" t="str">
        <f aca="false">IF(A37&lt;&gt;"",IFERROR(COUNTIFS('Trade Log'!G5:G1004,A37,'Trade Log'!T5:T1004,"&gt;0")/COUNTIF('Trade Log'!G5:G1004,A37),"—"),"")</f>
        <v/>
      </c>
      <c r="E37" s="144" t="str">
        <f aca="false">IF(A37&lt;&gt;"",IFERROR(AVERAGEIF('Trade Log'!G5:G1004,A37,'Trade Log'!T5:T1004),"—"),"")</f>
        <v/>
      </c>
      <c r="F37" s="143" t="str">
        <f aca="false">IF(A37&lt;&gt;"",IFERROR(AVERAGEIF('Trade Log'!G5:G1004,A37,'Trade Log'!U5:U1004),"—"),"")</f>
        <v/>
      </c>
      <c r="G37" s="145" t="str">
        <f aca="false">IF(A37&lt;&gt;"",IFERROR(maxifs('Trade Log'!T5:T1004,'Trade Log'!G5:G1004,A37),"—"),"")</f>
        <v/>
      </c>
      <c r="H37" s="146" t="str">
        <f aca="false">IF(A37&lt;&gt;"",IFERROR(minifs('Trade Log'!T5:T1004,'Trade Log'!G5:G1004,A37),"—"),"")</f>
        <v/>
      </c>
      <c r="I37" s="143" t="str">
        <f aca="false">IF(A37&lt;&gt;"",IFERROR(AVERAGEIF('Trade Log'!G5:G1004,A37,'Trade Log'!W5:W1004),"—"),"")</f>
        <v/>
      </c>
      <c r="J37" s="143" t="str">
        <f aca="false">IF(A37&lt;&gt;"",IFERROR(maxifs('Trade Log'!U5:U1004,'Trade Log'!G5:G1004,A37),"—"),"")</f>
        <v/>
      </c>
    </row>
    <row r="38" customFormat="false" ht="19.5" hidden="false" customHeight="true" outlineLevel="0" collapsed="false">
      <c r="A38" s="133"/>
      <c r="B38" s="134" t="str">
        <f aca="false">IF(A38&lt;&gt;"",COUNTIF('Trade Log'!G5:G1004,A38),"")</f>
        <v/>
      </c>
      <c r="C38" s="135" t="str">
        <f aca="false">IF(A38&lt;&gt;"",IFERROR(SUMIF('Trade Log'!G5:G1004,A38,'Trade Log'!T5:T1004),"—"),"")</f>
        <v/>
      </c>
      <c r="D38" s="136" t="str">
        <f aca="false">IF(A38&lt;&gt;"",IFERROR(COUNTIFS('Trade Log'!G5:G1004,A38,'Trade Log'!T5:T1004,"&gt;0")/COUNTIF('Trade Log'!G5:G1004,A38),"—"),"")</f>
        <v/>
      </c>
      <c r="E38" s="137" t="str">
        <f aca="false">IF(A38&lt;&gt;"",IFERROR(AVERAGEIF('Trade Log'!G5:G1004,A38,'Trade Log'!T5:T1004),"—"),"")</f>
        <v/>
      </c>
      <c r="F38" s="136" t="str">
        <f aca="false">IF(A38&lt;&gt;"",IFERROR(AVERAGEIF('Trade Log'!G5:G1004,A38,'Trade Log'!U5:U1004),"—"),"")</f>
        <v/>
      </c>
      <c r="G38" s="138" t="str">
        <f aca="false">IF(A38&lt;&gt;"",IFERROR(maxifs('Trade Log'!T5:T1004,'Trade Log'!G5:G1004,A38),"—"),"")</f>
        <v/>
      </c>
      <c r="H38" s="139" t="str">
        <f aca="false">IF(A38&lt;&gt;"",IFERROR(minifs('Trade Log'!T5:T1004,'Trade Log'!G5:G1004,A38),"—"),"")</f>
        <v/>
      </c>
      <c r="I38" s="136" t="str">
        <f aca="false">IF(A38&lt;&gt;"",IFERROR(AVERAGEIF('Trade Log'!G5:G1004,A38,'Trade Log'!W5:W1004),"—"),"")</f>
        <v/>
      </c>
      <c r="J38" s="136" t="str">
        <f aca="false">IF(A38&lt;&gt;"",IFERROR(maxifs('Trade Log'!U5:U1004,'Trade Log'!G5:G1004,A38),"—"),"")</f>
        <v/>
      </c>
    </row>
    <row r="39" customFormat="false" ht="19.5" hidden="false" customHeight="true" outlineLevel="0" collapsed="false">
      <c r="A39" s="140"/>
      <c r="B39" s="141" t="str">
        <f aca="false">IF(A39&lt;&gt;"",COUNTIF('Trade Log'!G5:G1004,A39),"")</f>
        <v/>
      </c>
      <c r="C39" s="142" t="str">
        <f aca="false">IF(A39&lt;&gt;"",IFERROR(SUMIF('Trade Log'!G5:G1004,A39,'Trade Log'!T5:T1004),"—"),"")</f>
        <v/>
      </c>
      <c r="D39" s="143" t="str">
        <f aca="false">IF(A39&lt;&gt;"",IFERROR(COUNTIFS('Trade Log'!G5:G1004,A39,'Trade Log'!T5:T1004,"&gt;0")/COUNTIF('Trade Log'!G5:G1004,A39),"—"),"")</f>
        <v/>
      </c>
      <c r="E39" s="144" t="str">
        <f aca="false">IF(A39&lt;&gt;"",IFERROR(AVERAGEIF('Trade Log'!G5:G1004,A39,'Trade Log'!T5:T1004),"—"),"")</f>
        <v/>
      </c>
      <c r="F39" s="143" t="str">
        <f aca="false">IF(A39&lt;&gt;"",IFERROR(AVERAGEIF('Trade Log'!G5:G1004,A39,'Trade Log'!U5:U1004),"—"),"")</f>
        <v/>
      </c>
      <c r="G39" s="145" t="str">
        <f aca="false">IF(A39&lt;&gt;"",IFERROR(maxifs('Trade Log'!T5:T1004,'Trade Log'!G5:G1004,A39),"—"),"")</f>
        <v/>
      </c>
      <c r="H39" s="146" t="str">
        <f aca="false">IF(A39&lt;&gt;"",IFERROR(minifs('Trade Log'!T5:T1004,'Trade Log'!G5:G1004,A39),"—"),"")</f>
        <v/>
      </c>
      <c r="I39" s="143" t="str">
        <f aca="false">IF(A39&lt;&gt;"",IFERROR(AVERAGEIF('Trade Log'!G5:G1004,A39,'Trade Log'!W5:W1004),"—"),"")</f>
        <v/>
      </c>
      <c r="J39" s="143" t="str">
        <f aca="false">IF(A39&lt;&gt;"",IFERROR(maxifs('Trade Log'!U5:U1004,'Trade Log'!G5:G1004,A39),"—"),"")</f>
        <v/>
      </c>
    </row>
    <row r="40" customFormat="false" ht="19.5" hidden="false" customHeight="true" outlineLevel="0" collapsed="false">
      <c r="A40" s="133"/>
      <c r="B40" s="134" t="str">
        <f aca="false">IF(A40&lt;&gt;"",COUNTIF('Trade Log'!G5:G1004,A40),"")</f>
        <v/>
      </c>
      <c r="C40" s="135" t="str">
        <f aca="false">IF(A40&lt;&gt;"",IFERROR(SUMIF('Trade Log'!G5:G1004,A40,'Trade Log'!T5:T1004),"—"),"")</f>
        <v/>
      </c>
      <c r="D40" s="136" t="str">
        <f aca="false">IF(A40&lt;&gt;"",IFERROR(COUNTIFS('Trade Log'!G5:G1004,A40,'Trade Log'!T5:T1004,"&gt;0")/COUNTIF('Trade Log'!G5:G1004,A40),"—"),"")</f>
        <v/>
      </c>
      <c r="E40" s="137" t="str">
        <f aca="false">IF(A40&lt;&gt;"",IFERROR(AVERAGEIF('Trade Log'!G5:G1004,A40,'Trade Log'!T5:T1004),"—"),"")</f>
        <v/>
      </c>
      <c r="F40" s="136" t="str">
        <f aca="false">IF(A40&lt;&gt;"",IFERROR(AVERAGEIF('Trade Log'!G5:G1004,A40,'Trade Log'!U5:U1004),"—"),"")</f>
        <v/>
      </c>
      <c r="G40" s="138" t="str">
        <f aca="false">IF(A40&lt;&gt;"",IFERROR(maxifs('Trade Log'!T5:T1004,'Trade Log'!G5:G1004,A40),"—"),"")</f>
        <v/>
      </c>
      <c r="H40" s="139" t="str">
        <f aca="false">IF(A40&lt;&gt;"",IFERROR(minifs('Trade Log'!T5:T1004,'Trade Log'!G5:G1004,A40),"—"),"")</f>
        <v/>
      </c>
      <c r="I40" s="136" t="str">
        <f aca="false">IF(A40&lt;&gt;"",IFERROR(AVERAGEIF('Trade Log'!G5:G1004,A40,'Trade Log'!W5:W1004),"—"),"")</f>
        <v/>
      </c>
      <c r="J40" s="136" t="str">
        <f aca="false">IF(A40&lt;&gt;"",IFERROR(maxifs('Trade Log'!U5:U1004,'Trade Log'!G5:G1004,A40),"—"),"")</f>
        <v/>
      </c>
    </row>
    <row r="41" customFormat="false" ht="19.5" hidden="false" customHeight="true" outlineLevel="0" collapsed="false">
      <c r="A41" s="140"/>
      <c r="B41" s="141" t="str">
        <f aca="false">IF(A41&lt;&gt;"",COUNTIF('Trade Log'!G5:G1004,A41),"")</f>
        <v/>
      </c>
      <c r="C41" s="142" t="str">
        <f aca="false">IF(A41&lt;&gt;"",IFERROR(SUMIF('Trade Log'!G5:G1004,A41,'Trade Log'!T5:T1004),"—"),"")</f>
        <v/>
      </c>
      <c r="D41" s="143" t="str">
        <f aca="false">IF(A41&lt;&gt;"",IFERROR(COUNTIFS('Trade Log'!G5:G1004,A41,'Trade Log'!T5:T1004,"&gt;0")/COUNTIF('Trade Log'!G5:G1004,A41),"—"),"")</f>
        <v/>
      </c>
      <c r="E41" s="144" t="str">
        <f aca="false">IF(A41&lt;&gt;"",IFERROR(AVERAGEIF('Trade Log'!G5:G1004,A41,'Trade Log'!T5:T1004),"—"),"")</f>
        <v/>
      </c>
      <c r="F41" s="143" t="str">
        <f aca="false">IF(A41&lt;&gt;"",IFERROR(AVERAGEIF('Trade Log'!G5:G1004,A41,'Trade Log'!U5:U1004),"—"),"")</f>
        <v/>
      </c>
      <c r="G41" s="145" t="str">
        <f aca="false">IF(A41&lt;&gt;"",IFERROR(maxifs('Trade Log'!T5:T1004,'Trade Log'!G5:G1004,A41),"—"),"")</f>
        <v/>
      </c>
      <c r="H41" s="146" t="str">
        <f aca="false">IF(A41&lt;&gt;"",IFERROR(minifs('Trade Log'!T5:T1004,'Trade Log'!G5:G1004,A41),"—"),"")</f>
        <v/>
      </c>
      <c r="I41" s="143" t="str">
        <f aca="false">IF(A41&lt;&gt;"",IFERROR(AVERAGEIF('Trade Log'!G5:G1004,A41,'Trade Log'!W5:W1004),"—"),"")</f>
        <v/>
      </c>
      <c r="J41" s="143" t="str">
        <f aca="false">IF(A41&lt;&gt;"",IFERROR(maxifs('Trade Log'!U5:U1004,'Trade Log'!G5:G1004,A41),"—"),"")</f>
        <v/>
      </c>
    </row>
    <row r="42" customFormat="false" ht="19.5" hidden="false" customHeight="true" outlineLevel="0" collapsed="false">
      <c r="A42" s="133"/>
      <c r="B42" s="134" t="str">
        <f aca="false">IF(A42&lt;&gt;"",COUNTIF('Trade Log'!G5:G1004,A42),"")</f>
        <v/>
      </c>
      <c r="C42" s="135" t="str">
        <f aca="false">IF(A42&lt;&gt;"",IFERROR(SUMIF('Trade Log'!G5:G1004,A42,'Trade Log'!T5:T1004),"—"),"")</f>
        <v/>
      </c>
      <c r="D42" s="136" t="str">
        <f aca="false">IF(A42&lt;&gt;"",IFERROR(COUNTIFS('Trade Log'!G5:G1004,A42,'Trade Log'!T5:T1004,"&gt;0")/COUNTIF('Trade Log'!G5:G1004,A42),"—"),"")</f>
        <v/>
      </c>
      <c r="E42" s="137" t="str">
        <f aca="false">IF(A42&lt;&gt;"",IFERROR(AVERAGEIF('Trade Log'!G5:G1004,A42,'Trade Log'!T5:T1004),"—"),"")</f>
        <v/>
      </c>
      <c r="F42" s="136" t="str">
        <f aca="false">IF(A42&lt;&gt;"",IFERROR(AVERAGEIF('Trade Log'!G5:G1004,A42,'Trade Log'!U5:U1004),"—"),"")</f>
        <v/>
      </c>
      <c r="G42" s="138" t="str">
        <f aca="false">IF(A42&lt;&gt;"",IFERROR(maxifs('Trade Log'!T5:T1004,'Trade Log'!G5:G1004,A42),"—"),"")</f>
        <v/>
      </c>
      <c r="H42" s="139" t="str">
        <f aca="false">IF(A42&lt;&gt;"",IFERROR(minifs('Trade Log'!T5:T1004,'Trade Log'!G5:G1004,A42),"—"),"")</f>
        <v/>
      </c>
      <c r="I42" s="136" t="str">
        <f aca="false">IF(A42&lt;&gt;"",IFERROR(AVERAGEIF('Trade Log'!G5:G1004,A42,'Trade Log'!W5:W1004),"—"),"")</f>
        <v/>
      </c>
      <c r="J42" s="136" t="str">
        <f aca="false">IF(A42&lt;&gt;"",IFERROR(maxifs('Trade Log'!U5:U1004,'Trade Log'!G5:G1004,A42),"—"),"")</f>
        <v/>
      </c>
    </row>
    <row r="43" customFormat="false" ht="19.5" hidden="false" customHeight="true" outlineLevel="0" collapsed="false">
      <c r="A43" s="140"/>
      <c r="B43" s="141" t="str">
        <f aca="false">IF(A43&lt;&gt;"",COUNTIF('Trade Log'!G5:G1004,A43),"")</f>
        <v/>
      </c>
      <c r="C43" s="142" t="str">
        <f aca="false">IF(A43&lt;&gt;"",IFERROR(SUMIF('Trade Log'!G5:G1004,A43,'Trade Log'!T5:T1004),"—"),"")</f>
        <v/>
      </c>
      <c r="D43" s="143" t="str">
        <f aca="false">IF(A43&lt;&gt;"",IFERROR(COUNTIFS('Trade Log'!G5:G1004,A43,'Trade Log'!T5:T1004,"&gt;0")/COUNTIF('Trade Log'!G5:G1004,A43),"—"),"")</f>
        <v/>
      </c>
      <c r="E43" s="144" t="str">
        <f aca="false">IF(A43&lt;&gt;"",IFERROR(AVERAGEIF('Trade Log'!G5:G1004,A43,'Trade Log'!T5:T1004),"—"),"")</f>
        <v/>
      </c>
      <c r="F43" s="143" t="str">
        <f aca="false">IF(A43&lt;&gt;"",IFERROR(AVERAGEIF('Trade Log'!G5:G1004,A43,'Trade Log'!U5:U1004),"—"),"")</f>
        <v/>
      </c>
      <c r="G43" s="145" t="str">
        <f aca="false">IF(A43&lt;&gt;"",IFERROR(maxifs('Trade Log'!T5:T1004,'Trade Log'!G5:G1004,A43),"—"),"")</f>
        <v/>
      </c>
      <c r="H43" s="146" t="str">
        <f aca="false">IF(A43&lt;&gt;"",IFERROR(minifs('Trade Log'!T5:T1004,'Trade Log'!G5:G1004,A43),"—"),"")</f>
        <v/>
      </c>
      <c r="I43" s="143" t="str">
        <f aca="false">IF(A43&lt;&gt;"",IFERROR(AVERAGEIF('Trade Log'!G5:G1004,A43,'Trade Log'!W5:W1004),"—"),"")</f>
        <v/>
      </c>
      <c r="J43" s="143" t="str">
        <f aca="false">IF(A43&lt;&gt;"",IFERROR(maxifs('Trade Log'!U5:U1004,'Trade Log'!G5:G1004,A43),"—"),"")</f>
        <v/>
      </c>
    </row>
    <row r="44" customFormat="false" ht="19.5" hidden="false" customHeight="true" outlineLevel="0" collapsed="false">
      <c r="A44" s="133"/>
      <c r="B44" s="134" t="str">
        <f aca="false">IF(A44&lt;&gt;"",COUNTIF('Trade Log'!G5:G1004,A44),"")</f>
        <v/>
      </c>
      <c r="C44" s="135" t="str">
        <f aca="false">IF(A44&lt;&gt;"",IFERROR(SUMIF('Trade Log'!G5:G1004,A44,'Trade Log'!T5:T1004),"—"),"")</f>
        <v/>
      </c>
      <c r="D44" s="136" t="str">
        <f aca="false">IF(A44&lt;&gt;"",IFERROR(COUNTIFS('Trade Log'!G5:G1004,A44,'Trade Log'!T5:T1004,"&gt;0")/COUNTIF('Trade Log'!G5:G1004,A44),"—"),"")</f>
        <v/>
      </c>
      <c r="E44" s="137" t="str">
        <f aca="false">IF(A44&lt;&gt;"",IFERROR(AVERAGEIF('Trade Log'!G5:G1004,A44,'Trade Log'!T5:T1004),"—"),"")</f>
        <v/>
      </c>
      <c r="F44" s="136" t="str">
        <f aca="false">IF(A44&lt;&gt;"",IFERROR(AVERAGEIF('Trade Log'!G5:G1004,A44,'Trade Log'!U5:U1004),"—"),"")</f>
        <v/>
      </c>
      <c r="G44" s="138" t="str">
        <f aca="false">IF(A44&lt;&gt;"",IFERROR(maxifs('Trade Log'!T5:T1004,'Trade Log'!G5:G1004,A44),"—"),"")</f>
        <v/>
      </c>
      <c r="H44" s="139" t="str">
        <f aca="false">IF(A44&lt;&gt;"",IFERROR(minifs('Trade Log'!T5:T1004,'Trade Log'!G5:G1004,A44),"—"),"")</f>
        <v/>
      </c>
      <c r="I44" s="136" t="str">
        <f aca="false">IF(A44&lt;&gt;"",IFERROR(AVERAGEIF('Trade Log'!G5:G1004,A44,'Trade Log'!W5:W1004),"—"),"")</f>
        <v/>
      </c>
      <c r="J44" s="136" t="str">
        <f aca="false">IF(A44&lt;&gt;"",IFERROR(maxifs('Trade Log'!U5:U1004,'Trade Log'!G5:G1004,A44),"—"),"")</f>
        <v/>
      </c>
    </row>
    <row r="45" customFormat="false" ht="19.5" hidden="false" customHeight="true" outlineLevel="0" collapsed="false">
      <c r="A45" s="140"/>
      <c r="B45" s="141" t="str">
        <f aca="false">IF(A45&lt;&gt;"",COUNTIF('Trade Log'!G5:G1004,A45),"")</f>
        <v/>
      </c>
      <c r="C45" s="142" t="str">
        <f aca="false">IF(A45&lt;&gt;"",IFERROR(SUMIF('Trade Log'!G5:G1004,A45,'Trade Log'!T5:T1004),"—"),"")</f>
        <v/>
      </c>
      <c r="D45" s="143" t="str">
        <f aca="false">IF(A45&lt;&gt;"",IFERROR(COUNTIFS('Trade Log'!G5:G1004,A45,'Trade Log'!T5:T1004,"&gt;0")/COUNTIF('Trade Log'!G5:G1004,A45),"—"),"")</f>
        <v/>
      </c>
      <c r="E45" s="144" t="str">
        <f aca="false">IF(A45&lt;&gt;"",IFERROR(AVERAGEIF('Trade Log'!G5:G1004,A45,'Trade Log'!T5:T1004),"—"),"")</f>
        <v/>
      </c>
      <c r="F45" s="143" t="str">
        <f aca="false">IF(A45&lt;&gt;"",IFERROR(AVERAGEIF('Trade Log'!G5:G1004,A45,'Trade Log'!U5:U1004),"—"),"")</f>
        <v/>
      </c>
      <c r="G45" s="145" t="str">
        <f aca="false">IF(A45&lt;&gt;"",IFERROR(maxifs('Trade Log'!T5:T1004,'Trade Log'!G5:G1004,A45),"—"),"")</f>
        <v/>
      </c>
      <c r="H45" s="146" t="str">
        <f aca="false">IF(A45&lt;&gt;"",IFERROR(minifs('Trade Log'!T5:T1004,'Trade Log'!G5:G1004,A45),"—"),"")</f>
        <v/>
      </c>
      <c r="I45" s="143" t="str">
        <f aca="false">IF(A45&lt;&gt;"",IFERROR(AVERAGEIF('Trade Log'!G5:G1004,A45,'Trade Log'!W5:W1004),"—"),"")</f>
        <v/>
      </c>
      <c r="J45" s="143" t="str">
        <f aca="false">IF(A45&lt;&gt;"",IFERROR(maxifs('Trade Log'!U5:U1004,'Trade Log'!G5:G1004,A45),"—"),"")</f>
        <v/>
      </c>
    </row>
    <row r="46" customFormat="false" ht="19.5" hidden="false" customHeight="true" outlineLevel="0" collapsed="false">
      <c r="A46" s="133"/>
      <c r="B46" s="134" t="str">
        <f aca="false">IF(A46&lt;&gt;"",COUNTIF('Trade Log'!G5:G1004,A46),"")</f>
        <v/>
      </c>
      <c r="C46" s="135" t="str">
        <f aca="false">IF(A46&lt;&gt;"",IFERROR(SUMIF('Trade Log'!G5:G1004,A46,'Trade Log'!T5:T1004),"—"),"")</f>
        <v/>
      </c>
      <c r="D46" s="136" t="str">
        <f aca="false">IF(A46&lt;&gt;"",IFERROR(COUNTIFS('Trade Log'!G5:G1004,A46,'Trade Log'!T5:T1004,"&gt;0")/COUNTIF('Trade Log'!G5:G1004,A46),"—"),"")</f>
        <v/>
      </c>
      <c r="E46" s="137" t="str">
        <f aca="false">IF(A46&lt;&gt;"",IFERROR(AVERAGEIF('Trade Log'!G5:G1004,A46,'Trade Log'!T5:T1004),"—"),"")</f>
        <v/>
      </c>
      <c r="F46" s="136" t="str">
        <f aca="false">IF(A46&lt;&gt;"",IFERROR(AVERAGEIF('Trade Log'!G5:G1004,A46,'Trade Log'!U5:U1004),"—"),"")</f>
        <v/>
      </c>
      <c r="G46" s="138" t="str">
        <f aca="false">IF(A46&lt;&gt;"",IFERROR(maxifs('Trade Log'!T5:T1004,'Trade Log'!G5:G1004,A46),"—"),"")</f>
        <v/>
      </c>
      <c r="H46" s="139" t="str">
        <f aca="false">IF(A46&lt;&gt;"",IFERROR(minifs('Trade Log'!T5:T1004,'Trade Log'!G5:G1004,A46),"—"),"")</f>
        <v/>
      </c>
      <c r="I46" s="136" t="str">
        <f aca="false">IF(A46&lt;&gt;"",IFERROR(AVERAGEIF('Trade Log'!G5:G1004,A46,'Trade Log'!W5:W1004),"—"),"")</f>
        <v/>
      </c>
      <c r="J46" s="136" t="str">
        <f aca="false">IF(A46&lt;&gt;"",IFERROR(maxifs('Trade Log'!U5:U1004,'Trade Log'!G5:G1004,A46),"—"),"")</f>
        <v/>
      </c>
    </row>
    <row r="47" customFormat="false" ht="19.5" hidden="false" customHeight="true" outlineLevel="0" collapsed="false">
      <c r="A47" s="140"/>
      <c r="B47" s="141" t="str">
        <f aca="false">IF(A47&lt;&gt;"",COUNTIF('Trade Log'!G5:G1004,A47),"")</f>
        <v/>
      </c>
      <c r="C47" s="142" t="str">
        <f aca="false">IF(A47&lt;&gt;"",IFERROR(SUMIF('Trade Log'!G5:G1004,A47,'Trade Log'!T5:T1004),"—"),"")</f>
        <v/>
      </c>
      <c r="D47" s="143" t="str">
        <f aca="false">IF(A47&lt;&gt;"",IFERROR(COUNTIFS('Trade Log'!G5:G1004,A47,'Trade Log'!T5:T1004,"&gt;0")/COUNTIF('Trade Log'!G5:G1004,A47),"—"),"")</f>
        <v/>
      </c>
      <c r="E47" s="144" t="str">
        <f aca="false">IF(A47&lt;&gt;"",IFERROR(AVERAGEIF('Trade Log'!G5:G1004,A47,'Trade Log'!T5:T1004),"—"),"")</f>
        <v/>
      </c>
      <c r="F47" s="143" t="str">
        <f aca="false">IF(A47&lt;&gt;"",IFERROR(AVERAGEIF('Trade Log'!G5:G1004,A47,'Trade Log'!U5:U1004),"—"),"")</f>
        <v/>
      </c>
      <c r="G47" s="145" t="str">
        <f aca="false">IF(A47&lt;&gt;"",IFERROR(maxifs('Trade Log'!T5:T1004,'Trade Log'!G5:G1004,A47),"—"),"")</f>
        <v/>
      </c>
      <c r="H47" s="146" t="str">
        <f aca="false">IF(A47&lt;&gt;"",IFERROR(minifs('Trade Log'!T5:T1004,'Trade Log'!G5:G1004,A47),"—"),"")</f>
        <v/>
      </c>
      <c r="I47" s="143" t="str">
        <f aca="false">IF(A47&lt;&gt;"",IFERROR(AVERAGEIF('Trade Log'!G5:G1004,A47,'Trade Log'!W5:W1004),"—"),"")</f>
        <v/>
      </c>
      <c r="J47" s="143" t="str">
        <f aca="false">IF(A47&lt;&gt;"",IFERROR(maxifs('Trade Log'!U5:U1004,'Trade Log'!G5:G1004,A47),"—"),"")</f>
        <v/>
      </c>
    </row>
    <row r="48" customFormat="false" ht="19.5" hidden="false" customHeight="true" outlineLevel="0" collapsed="false">
      <c r="A48" s="133"/>
      <c r="B48" s="134" t="str">
        <f aca="false">IF(A48&lt;&gt;"",COUNTIF('Trade Log'!G5:G1004,A48),"")</f>
        <v/>
      </c>
      <c r="C48" s="135" t="str">
        <f aca="false">IF(A48&lt;&gt;"",IFERROR(SUMIF('Trade Log'!G5:G1004,A48,'Trade Log'!T5:T1004),"—"),"")</f>
        <v/>
      </c>
      <c r="D48" s="136" t="str">
        <f aca="false">IF(A48&lt;&gt;"",IFERROR(COUNTIFS('Trade Log'!G5:G1004,A48,'Trade Log'!T5:T1004,"&gt;0")/COUNTIF('Trade Log'!G5:G1004,A48),"—"),"")</f>
        <v/>
      </c>
      <c r="E48" s="137" t="str">
        <f aca="false">IF(A48&lt;&gt;"",IFERROR(AVERAGEIF('Trade Log'!G5:G1004,A48,'Trade Log'!T5:T1004),"—"),"")</f>
        <v/>
      </c>
      <c r="F48" s="136" t="str">
        <f aca="false">IF(A48&lt;&gt;"",IFERROR(AVERAGEIF('Trade Log'!G5:G1004,A48,'Trade Log'!U5:U1004),"—"),"")</f>
        <v/>
      </c>
      <c r="G48" s="138" t="str">
        <f aca="false">IF(A48&lt;&gt;"",IFERROR(maxifs('Trade Log'!T5:T1004,'Trade Log'!G5:G1004,A48),"—"),"")</f>
        <v/>
      </c>
      <c r="H48" s="139" t="str">
        <f aca="false">IF(A48&lt;&gt;"",IFERROR(minifs('Trade Log'!T5:T1004,'Trade Log'!G5:G1004,A48),"—"),"")</f>
        <v/>
      </c>
      <c r="I48" s="136" t="str">
        <f aca="false">IF(A48&lt;&gt;"",IFERROR(AVERAGEIF('Trade Log'!G5:G1004,A48,'Trade Log'!W5:W1004),"—"),"")</f>
        <v/>
      </c>
      <c r="J48" s="136" t="str">
        <f aca="false">IF(A48&lt;&gt;"",IFERROR(maxifs('Trade Log'!U5:U1004,'Trade Log'!G5:G1004,A48),"—"),"")</f>
        <v/>
      </c>
    </row>
    <row r="49" customFormat="false" ht="19.5" hidden="false" customHeight="true" outlineLevel="0" collapsed="false">
      <c r="A49" s="140"/>
      <c r="B49" s="141" t="str">
        <f aca="false">IF(A49&lt;&gt;"",COUNTIF('Trade Log'!G5:G1004,A49),"")</f>
        <v/>
      </c>
      <c r="C49" s="142" t="str">
        <f aca="false">IF(A49&lt;&gt;"",IFERROR(SUMIF('Trade Log'!G5:G1004,A49,'Trade Log'!T5:T1004),"—"),"")</f>
        <v/>
      </c>
      <c r="D49" s="143" t="str">
        <f aca="false">IF(A49&lt;&gt;"",IFERROR(COUNTIFS('Trade Log'!G5:G1004,A49,'Trade Log'!T5:T1004,"&gt;0")/COUNTIF('Trade Log'!G5:G1004,A49),"—"),"")</f>
        <v/>
      </c>
      <c r="E49" s="144" t="str">
        <f aca="false">IF(A49&lt;&gt;"",IFERROR(AVERAGEIF('Trade Log'!G5:G1004,A49,'Trade Log'!T5:T1004),"—"),"")</f>
        <v/>
      </c>
      <c r="F49" s="143" t="str">
        <f aca="false">IF(A49&lt;&gt;"",IFERROR(AVERAGEIF('Trade Log'!G5:G1004,A49,'Trade Log'!U5:U1004),"—"),"")</f>
        <v/>
      </c>
      <c r="G49" s="145" t="str">
        <f aca="false">IF(A49&lt;&gt;"",IFERROR(maxifs('Trade Log'!T5:T1004,'Trade Log'!G5:G1004,A49),"—"),"")</f>
        <v/>
      </c>
      <c r="H49" s="146" t="str">
        <f aca="false">IF(A49&lt;&gt;"",IFERROR(minifs('Trade Log'!T5:T1004,'Trade Log'!G5:G1004,A49),"—"),"")</f>
        <v/>
      </c>
      <c r="I49" s="143" t="str">
        <f aca="false">IF(A49&lt;&gt;"",IFERROR(AVERAGEIF('Trade Log'!G5:G1004,A49,'Trade Log'!W5:W1004),"—"),"")</f>
        <v/>
      </c>
      <c r="J49" s="143" t="str">
        <f aca="false">IF(A49&lt;&gt;"",IFERROR(maxifs('Trade Log'!U5:U1004,'Trade Log'!G5:G1004,A49),"—"),"")</f>
        <v/>
      </c>
    </row>
    <row r="50" customFormat="false" ht="19.5" hidden="false" customHeight="true" outlineLevel="0" collapsed="false">
      <c r="A50" s="133"/>
      <c r="B50" s="134" t="str">
        <f aca="false">IF(A50&lt;&gt;"",COUNTIF('Trade Log'!G5:G1004,A50),"")</f>
        <v/>
      </c>
      <c r="C50" s="135" t="str">
        <f aca="false">IF(A50&lt;&gt;"",IFERROR(SUMIF('Trade Log'!G5:G1004,A50,'Trade Log'!T5:T1004),"—"),"")</f>
        <v/>
      </c>
      <c r="D50" s="136" t="str">
        <f aca="false">IF(A50&lt;&gt;"",IFERROR(COUNTIFS('Trade Log'!G5:G1004,A50,'Trade Log'!T5:T1004,"&gt;0")/COUNTIF('Trade Log'!G5:G1004,A50),"—"),"")</f>
        <v/>
      </c>
      <c r="E50" s="137" t="str">
        <f aca="false">IF(A50&lt;&gt;"",IFERROR(AVERAGEIF('Trade Log'!G5:G1004,A50,'Trade Log'!T5:T1004),"—"),"")</f>
        <v/>
      </c>
      <c r="F50" s="136" t="str">
        <f aca="false">IF(A50&lt;&gt;"",IFERROR(AVERAGEIF('Trade Log'!G5:G1004,A50,'Trade Log'!U5:U1004),"—"),"")</f>
        <v/>
      </c>
      <c r="G50" s="138" t="str">
        <f aca="false">IF(A50&lt;&gt;"",IFERROR(maxifs('Trade Log'!T5:T1004,'Trade Log'!G5:G1004,A50),"—"),"")</f>
        <v/>
      </c>
      <c r="H50" s="139" t="str">
        <f aca="false">IF(A50&lt;&gt;"",IFERROR(minifs('Trade Log'!T5:T1004,'Trade Log'!G5:G1004,A50),"—"),"")</f>
        <v/>
      </c>
      <c r="I50" s="136" t="str">
        <f aca="false">IF(A50&lt;&gt;"",IFERROR(AVERAGEIF('Trade Log'!G5:G1004,A50,'Trade Log'!W5:W1004),"—"),"")</f>
        <v/>
      </c>
      <c r="J50" s="136" t="str">
        <f aca="false">IF(A50&lt;&gt;"",IFERROR(maxifs('Trade Log'!U5:U1004,'Trade Log'!G5:G1004,A50),"—"),"")</f>
        <v/>
      </c>
    </row>
    <row r="51" customFormat="false" ht="19.5" hidden="false" customHeight="true" outlineLevel="0" collapsed="false">
      <c r="A51" s="140"/>
      <c r="B51" s="141" t="str">
        <f aca="false">IF(A51&lt;&gt;"",COUNTIF('Trade Log'!G5:G1004,A51),"")</f>
        <v/>
      </c>
      <c r="C51" s="142" t="str">
        <f aca="false">IF(A51&lt;&gt;"",IFERROR(SUMIF('Trade Log'!G5:G1004,A51,'Trade Log'!T5:T1004),"—"),"")</f>
        <v/>
      </c>
      <c r="D51" s="143" t="str">
        <f aca="false">IF(A51&lt;&gt;"",IFERROR(COUNTIFS('Trade Log'!G5:G1004,A51,'Trade Log'!T5:T1004,"&gt;0")/COUNTIF('Trade Log'!G5:G1004,A51),"—"),"")</f>
        <v/>
      </c>
      <c r="E51" s="144" t="str">
        <f aca="false">IF(A51&lt;&gt;"",IFERROR(AVERAGEIF('Trade Log'!G5:G1004,A51,'Trade Log'!T5:T1004),"—"),"")</f>
        <v/>
      </c>
      <c r="F51" s="143" t="str">
        <f aca="false">IF(A51&lt;&gt;"",IFERROR(AVERAGEIF('Trade Log'!G5:G1004,A51,'Trade Log'!U5:U1004),"—"),"")</f>
        <v/>
      </c>
      <c r="G51" s="145" t="str">
        <f aca="false">IF(A51&lt;&gt;"",IFERROR(maxifs('Trade Log'!T5:T1004,'Trade Log'!G5:G1004,A51),"—"),"")</f>
        <v/>
      </c>
      <c r="H51" s="146" t="str">
        <f aca="false">IF(A51&lt;&gt;"",IFERROR(minifs('Trade Log'!T5:T1004,'Trade Log'!G5:G1004,A51),"—"),"")</f>
        <v/>
      </c>
      <c r="I51" s="143" t="str">
        <f aca="false">IF(A51&lt;&gt;"",IFERROR(AVERAGEIF('Trade Log'!G5:G1004,A51,'Trade Log'!W5:W1004),"—"),"")</f>
        <v/>
      </c>
      <c r="J51" s="143" t="str">
        <f aca="false">IF(A51&lt;&gt;"",IFERROR(maxifs('Trade Log'!U5:U1004,'Trade Log'!G5:G1004,A51),"—"),"")</f>
        <v/>
      </c>
    </row>
    <row r="52" customFormat="false" ht="19.5" hidden="false" customHeight="true" outlineLevel="0" collapsed="false">
      <c r="A52" s="133"/>
      <c r="B52" s="134" t="str">
        <f aca="false">IF(A52&lt;&gt;"",COUNTIF('Trade Log'!G5:G1004,A52),"")</f>
        <v/>
      </c>
      <c r="C52" s="135" t="str">
        <f aca="false">IF(A52&lt;&gt;"",IFERROR(SUMIF('Trade Log'!G5:G1004,A52,'Trade Log'!T5:T1004),"—"),"")</f>
        <v/>
      </c>
      <c r="D52" s="136" t="str">
        <f aca="false">IF(A52&lt;&gt;"",IFERROR(COUNTIFS('Trade Log'!G5:G1004,A52,'Trade Log'!T5:T1004,"&gt;0")/COUNTIF('Trade Log'!G5:G1004,A52),"—"),"")</f>
        <v/>
      </c>
      <c r="E52" s="137" t="str">
        <f aca="false">IF(A52&lt;&gt;"",IFERROR(AVERAGEIF('Trade Log'!G5:G1004,A52,'Trade Log'!T5:T1004),"—"),"")</f>
        <v/>
      </c>
      <c r="F52" s="136" t="str">
        <f aca="false">IF(A52&lt;&gt;"",IFERROR(AVERAGEIF('Trade Log'!G5:G1004,A52,'Trade Log'!U5:U1004),"—"),"")</f>
        <v/>
      </c>
      <c r="G52" s="138" t="str">
        <f aca="false">IF(A52&lt;&gt;"",IFERROR(maxifs('Trade Log'!T5:T1004,'Trade Log'!G5:G1004,A52),"—"),"")</f>
        <v/>
      </c>
      <c r="H52" s="139" t="str">
        <f aca="false">IF(A52&lt;&gt;"",IFERROR(minifs('Trade Log'!T5:T1004,'Trade Log'!G5:G1004,A52),"—"),"")</f>
        <v/>
      </c>
      <c r="I52" s="136" t="str">
        <f aca="false">IF(A52&lt;&gt;"",IFERROR(AVERAGEIF('Trade Log'!G5:G1004,A52,'Trade Log'!W5:W1004),"—"),"")</f>
        <v/>
      </c>
      <c r="J52" s="136" t="str">
        <f aca="false">IF(A52&lt;&gt;"",IFERROR(maxifs('Trade Log'!U5:U1004,'Trade Log'!G5:G1004,A52),"—"),"")</f>
        <v/>
      </c>
    </row>
    <row r="53" customFormat="false" ht="19.5" hidden="false" customHeight="true" outlineLevel="0" collapsed="false">
      <c r="A53" s="140"/>
      <c r="B53" s="141" t="str">
        <f aca="false">IF(A53&lt;&gt;"",COUNTIF('Trade Log'!G5:G1004,A53),"")</f>
        <v/>
      </c>
      <c r="C53" s="142" t="str">
        <f aca="false">IF(A53&lt;&gt;"",IFERROR(SUMIF('Trade Log'!G5:G1004,A53,'Trade Log'!T5:T1004),"—"),"")</f>
        <v/>
      </c>
      <c r="D53" s="143" t="str">
        <f aca="false">IF(A53&lt;&gt;"",IFERROR(COUNTIFS('Trade Log'!G5:G1004,A53,'Trade Log'!T5:T1004,"&gt;0")/COUNTIF('Trade Log'!G5:G1004,A53),"—"),"")</f>
        <v/>
      </c>
      <c r="E53" s="144" t="str">
        <f aca="false">IF(A53&lt;&gt;"",IFERROR(AVERAGEIF('Trade Log'!G5:G1004,A53,'Trade Log'!T5:T1004),"—"),"")</f>
        <v/>
      </c>
      <c r="F53" s="143" t="str">
        <f aca="false">IF(A53&lt;&gt;"",IFERROR(AVERAGEIF('Trade Log'!G5:G1004,A53,'Trade Log'!U5:U1004),"—"),"")</f>
        <v/>
      </c>
      <c r="G53" s="145" t="str">
        <f aca="false">IF(A53&lt;&gt;"",IFERROR(maxifs('Trade Log'!T5:T1004,'Trade Log'!G5:G1004,A53),"—"),"")</f>
        <v/>
      </c>
      <c r="H53" s="146" t="str">
        <f aca="false">IF(A53&lt;&gt;"",IFERROR(minifs('Trade Log'!T5:T1004,'Trade Log'!G5:G1004,A53),"—"),"")</f>
        <v/>
      </c>
      <c r="I53" s="143" t="str">
        <f aca="false">IF(A53&lt;&gt;"",IFERROR(AVERAGEIF('Trade Log'!G5:G1004,A53,'Trade Log'!W5:W1004),"—"),"")</f>
        <v/>
      </c>
      <c r="J53" s="143" t="str">
        <f aca="false">IF(A53&lt;&gt;"",IFERROR(maxifs('Trade Log'!U5:U1004,'Trade Log'!G5:G1004,A53),"—"),"")</f>
        <v/>
      </c>
    </row>
    <row r="54" customFormat="false" ht="19.5" hidden="false" customHeight="true" outlineLevel="0" collapsed="false">
      <c r="A54" s="133"/>
      <c r="B54" s="134" t="str">
        <f aca="false">IF(A54&lt;&gt;"",COUNTIF('Trade Log'!G5:G1004,A54),"")</f>
        <v/>
      </c>
      <c r="C54" s="135" t="str">
        <f aca="false">IF(A54&lt;&gt;"",IFERROR(SUMIF('Trade Log'!G5:G1004,A54,'Trade Log'!T5:T1004),"—"),"")</f>
        <v/>
      </c>
      <c r="D54" s="136" t="str">
        <f aca="false">IF(A54&lt;&gt;"",IFERROR(COUNTIFS('Trade Log'!G5:G1004,A54,'Trade Log'!T5:T1004,"&gt;0")/COUNTIF('Trade Log'!G5:G1004,A54),"—"),"")</f>
        <v/>
      </c>
      <c r="E54" s="137" t="str">
        <f aca="false">IF(A54&lt;&gt;"",IFERROR(AVERAGEIF('Trade Log'!G5:G1004,A54,'Trade Log'!T5:T1004),"—"),"")</f>
        <v/>
      </c>
      <c r="F54" s="136" t="str">
        <f aca="false">IF(A54&lt;&gt;"",IFERROR(AVERAGEIF('Trade Log'!G5:G1004,A54,'Trade Log'!U5:U1004),"—"),"")</f>
        <v/>
      </c>
      <c r="G54" s="138" t="str">
        <f aca="false">IF(A54&lt;&gt;"",IFERROR(maxifs('Trade Log'!T5:T1004,'Trade Log'!G5:G1004,A54),"—"),"")</f>
        <v/>
      </c>
      <c r="H54" s="139" t="str">
        <f aca="false">IF(A54&lt;&gt;"",IFERROR(minifs('Trade Log'!T5:T1004,'Trade Log'!G5:G1004,A54),"—"),"")</f>
        <v/>
      </c>
      <c r="I54" s="136" t="str">
        <f aca="false">IF(A54&lt;&gt;"",IFERROR(AVERAGEIF('Trade Log'!G5:G1004,A54,'Trade Log'!W5:W1004),"—"),"")</f>
        <v/>
      </c>
      <c r="J54" s="136" t="str">
        <f aca="false">IF(A54&lt;&gt;"",IFERROR(maxifs('Trade Log'!U5:U1004,'Trade Log'!G5:G1004,A54),"—"),"")</f>
        <v/>
      </c>
    </row>
    <row r="55" customFormat="false" ht="19.5" hidden="false" customHeight="true" outlineLevel="0" collapsed="false">
      <c r="A55" s="140"/>
      <c r="B55" s="141" t="str">
        <f aca="false">IF(A55&lt;&gt;"",COUNTIF('Trade Log'!G5:G1004,A55),"")</f>
        <v/>
      </c>
      <c r="C55" s="142" t="str">
        <f aca="false">IF(A55&lt;&gt;"",IFERROR(SUMIF('Trade Log'!G5:G1004,A55,'Trade Log'!T5:T1004),"—"),"")</f>
        <v/>
      </c>
      <c r="D55" s="143" t="str">
        <f aca="false">IF(A55&lt;&gt;"",IFERROR(COUNTIFS('Trade Log'!G5:G1004,A55,'Trade Log'!T5:T1004,"&gt;0")/COUNTIF('Trade Log'!G5:G1004,A55),"—"),"")</f>
        <v/>
      </c>
      <c r="E55" s="144" t="str">
        <f aca="false">IF(A55&lt;&gt;"",IFERROR(AVERAGEIF('Trade Log'!G5:G1004,A55,'Trade Log'!T5:T1004),"—"),"")</f>
        <v/>
      </c>
      <c r="F55" s="143" t="str">
        <f aca="false">IF(A55&lt;&gt;"",IFERROR(AVERAGEIF('Trade Log'!G5:G1004,A55,'Trade Log'!U5:U1004),"—"),"")</f>
        <v/>
      </c>
      <c r="G55" s="145" t="str">
        <f aca="false">IF(A55&lt;&gt;"",IFERROR(maxifs('Trade Log'!T5:T1004,'Trade Log'!G5:G1004,A55),"—"),"")</f>
        <v/>
      </c>
      <c r="H55" s="146" t="str">
        <f aca="false">IF(A55&lt;&gt;"",IFERROR(minifs('Trade Log'!T5:T1004,'Trade Log'!G5:G1004,A55),"—"),"")</f>
        <v/>
      </c>
      <c r="I55" s="143" t="str">
        <f aca="false">IF(A55&lt;&gt;"",IFERROR(AVERAGEIF('Trade Log'!G5:G1004,A55,'Trade Log'!W5:W1004),"—"),"")</f>
        <v/>
      </c>
      <c r="J55" s="143" t="str">
        <f aca="false">IF(A55&lt;&gt;"",IFERROR(maxifs('Trade Log'!U5:U1004,'Trade Log'!G5:G1004,A55),"—"),"")</f>
        <v/>
      </c>
    </row>
    <row r="56" customFormat="false" ht="19.5" hidden="false" customHeight="true" outlineLevel="0" collapsed="false">
      <c r="A56" s="133"/>
      <c r="B56" s="134" t="str">
        <f aca="false">IF(A56&lt;&gt;"",COUNTIF('Trade Log'!G5:G1004,A56),"")</f>
        <v/>
      </c>
      <c r="C56" s="135" t="str">
        <f aca="false">IF(A56&lt;&gt;"",IFERROR(SUMIF('Trade Log'!G5:G1004,A56,'Trade Log'!T5:T1004),"—"),"")</f>
        <v/>
      </c>
      <c r="D56" s="136" t="str">
        <f aca="false">IF(A56&lt;&gt;"",IFERROR(COUNTIFS('Trade Log'!G5:G1004,A56,'Trade Log'!T5:T1004,"&gt;0")/COUNTIF('Trade Log'!G5:G1004,A56),"—"),"")</f>
        <v/>
      </c>
      <c r="E56" s="137" t="str">
        <f aca="false">IF(A56&lt;&gt;"",IFERROR(AVERAGEIF('Trade Log'!G5:G1004,A56,'Trade Log'!T5:T1004),"—"),"")</f>
        <v/>
      </c>
      <c r="F56" s="136" t="str">
        <f aca="false">IF(A56&lt;&gt;"",IFERROR(AVERAGEIF('Trade Log'!G5:G1004,A56,'Trade Log'!U5:U1004),"—"),"")</f>
        <v/>
      </c>
      <c r="G56" s="138" t="str">
        <f aca="false">IF(A56&lt;&gt;"",IFERROR(maxifs('Trade Log'!T5:T1004,'Trade Log'!G5:G1004,A56),"—"),"")</f>
        <v/>
      </c>
      <c r="H56" s="139" t="str">
        <f aca="false">IF(A56&lt;&gt;"",IFERROR(minifs('Trade Log'!T5:T1004,'Trade Log'!G5:G1004,A56),"—"),"")</f>
        <v/>
      </c>
      <c r="I56" s="136" t="str">
        <f aca="false">IF(A56&lt;&gt;"",IFERROR(AVERAGEIF('Trade Log'!G5:G1004,A56,'Trade Log'!W5:W1004),"—"),"")</f>
        <v/>
      </c>
      <c r="J56" s="136" t="str">
        <f aca="false">IF(A56&lt;&gt;"",IFERROR(maxifs('Trade Log'!U5:U1004,'Trade Log'!G5:G1004,A56),"—"),"")</f>
        <v/>
      </c>
    </row>
    <row r="57" customFormat="false" ht="19.5" hidden="false" customHeight="true" outlineLevel="0" collapsed="false">
      <c r="A57" s="140"/>
      <c r="B57" s="141" t="str">
        <f aca="false">IF(A57&lt;&gt;"",COUNTIF('Trade Log'!G5:G1004,A57),"")</f>
        <v/>
      </c>
      <c r="C57" s="142" t="str">
        <f aca="false">IF(A57&lt;&gt;"",IFERROR(SUMIF('Trade Log'!G5:G1004,A57,'Trade Log'!T5:T1004),"—"),"")</f>
        <v/>
      </c>
      <c r="D57" s="143" t="str">
        <f aca="false">IF(A57&lt;&gt;"",IFERROR(COUNTIFS('Trade Log'!G5:G1004,A57,'Trade Log'!T5:T1004,"&gt;0")/COUNTIF('Trade Log'!G5:G1004,A57),"—"),"")</f>
        <v/>
      </c>
      <c r="E57" s="144" t="str">
        <f aca="false">IF(A57&lt;&gt;"",IFERROR(AVERAGEIF('Trade Log'!G5:G1004,A57,'Trade Log'!T5:T1004),"—"),"")</f>
        <v/>
      </c>
      <c r="F57" s="143" t="str">
        <f aca="false">IF(A57&lt;&gt;"",IFERROR(AVERAGEIF('Trade Log'!G5:G1004,A57,'Trade Log'!U5:U1004),"—"),"")</f>
        <v/>
      </c>
      <c r="G57" s="145" t="str">
        <f aca="false">IF(A57&lt;&gt;"",IFERROR(maxifs('Trade Log'!T5:T1004,'Trade Log'!G5:G1004,A57),"—"),"")</f>
        <v/>
      </c>
      <c r="H57" s="146" t="str">
        <f aca="false">IF(A57&lt;&gt;"",IFERROR(minifs('Trade Log'!T5:T1004,'Trade Log'!G5:G1004,A57),"—"),"")</f>
        <v/>
      </c>
      <c r="I57" s="143" t="str">
        <f aca="false">IF(A57&lt;&gt;"",IFERROR(AVERAGEIF('Trade Log'!G5:G1004,A57,'Trade Log'!W5:W1004),"—"),"")</f>
        <v/>
      </c>
      <c r="J57" s="143" t="str">
        <f aca="false">IF(A57&lt;&gt;"",IFERROR(maxifs('Trade Log'!U5:U1004,'Trade Log'!G5:G1004,A57),"—"),"")</f>
        <v/>
      </c>
    </row>
    <row r="58" customFormat="false" ht="19.5" hidden="false" customHeight="true" outlineLevel="0" collapsed="false">
      <c r="A58" s="133"/>
      <c r="B58" s="134" t="str">
        <f aca="false">IF(A58&lt;&gt;"",COUNTIF('Trade Log'!G5:G1004,A58),"")</f>
        <v/>
      </c>
      <c r="C58" s="135" t="str">
        <f aca="false">IF(A58&lt;&gt;"",IFERROR(SUMIF('Trade Log'!G5:G1004,A58,'Trade Log'!T5:T1004),"—"),"")</f>
        <v/>
      </c>
      <c r="D58" s="136" t="str">
        <f aca="false">IF(A58&lt;&gt;"",IFERROR(COUNTIFS('Trade Log'!G5:G1004,A58,'Trade Log'!T5:T1004,"&gt;0")/COUNTIF('Trade Log'!G5:G1004,A58),"—"),"")</f>
        <v/>
      </c>
      <c r="E58" s="137" t="str">
        <f aca="false">IF(A58&lt;&gt;"",IFERROR(AVERAGEIF('Trade Log'!G5:G1004,A58,'Trade Log'!T5:T1004),"—"),"")</f>
        <v/>
      </c>
      <c r="F58" s="136" t="str">
        <f aca="false">IF(A58&lt;&gt;"",IFERROR(AVERAGEIF('Trade Log'!G5:G1004,A58,'Trade Log'!U5:U1004),"—"),"")</f>
        <v/>
      </c>
      <c r="G58" s="138" t="str">
        <f aca="false">IF(A58&lt;&gt;"",IFERROR(maxifs('Trade Log'!T5:T1004,'Trade Log'!G5:G1004,A58),"—"),"")</f>
        <v/>
      </c>
      <c r="H58" s="139" t="str">
        <f aca="false">IF(A58&lt;&gt;"",IFERROR(minifs('Trade Log'!T5:T1004,'Trade Log'!G5:G1004,A58),"—"),"")</f>
        <v/>
      </c>
      <c r="I58" s="136" t="str">
        <f aca="false">IF(A58&lt;&gt;"",IFERROR(AVERAGEIF('Trade Log'!G5:G1004,A58,'Trade Log'!W5:W1004),"—"),"")</f>
        <v/>
      </c>
      <c r="J58" s="136" t="str">
        <f aca="false">IF(A58&lt;&gt;"",IFERROR(maxifs('Trade Log'!U5:U1004,'Trade Log'!G5:G1004,A58),"—"),"")</f>
        <v/>
      </c>
    </row>
    <row r="59" customFormat="false" ht="19.5" hidden="false" customHeight="true" outlineLevel="0" collapsed="false">
      <c r="A59" s="140"/>
      <c r="B59" s="141" t="str">
        <f aca="false">IF(A59&lt;&gt;"",COUNTIF('Trade Log'!G5:G1004,A59),"")</f>
        <v/>
      </c>
      <c r="C59" s="142" t="str">
        <f aca="false">IF(A59&lt;&gt;"",IFERROR(SUMIF('Trade Log'!G5:G1004,A59,'Trade Log'!T5:T1004),"—"),"")</f>
        <v/>
      </c>
      <c r="D59" s="143" t="str">
        <f aca="false">IF(A59&lt;&gt;"",IFERROR(COUNTIFS('Trade Log'!G5:G1004,A59,'Trade Log'!T5:T1004,"&gt;0")/COUNTIF('Trade Log'!G5:G1004,A59),"—"),"")</f>
        <v/>
      </c>
      <c r="E59" s="144" t="str">
        <f aca="false">IF(A59&lt;&gt;"",IFERROR(AVERAGEIF('Trade Log'!G5:G1004,A59,'Trade Log'!T5:T1004),"—"),"")</f>
        <v/>
      </c>
      <c r="F59" s="143" t="str">
        <f aca="false">IF(A59&lt;&gt;"",IFERROR(AVERAGEIF('Trade Log'!G5:G1004,A59,'Trade Log'!U5:U1004),"—"),"")</f>
        <v/>
      </c>
      <c r="G59" s="145" t="str">
        <f aca="false">IF(A59&lt;&gt;"",IFERROR(maxifs('Trade Log'!T5:T1004,'Trade Log'!G5:G1004,A59),"—"),"")</f>
        <v/>
      </c>
      <c r="H59" s="146" t="str">
        <f aca="false">IF(A59&lt;&gt;"",IFERROR(minifs('Trade Log'!T5:T1004,'Trade Log'!G5:G1004,A59),"—"),"")</f>
        <v/>
      </c>
      <c r="I59" s="143" t="str">
        <f aca="false">IF(A59&lt;&gt;"",IFERROR(AVERAGEIF('Trade Log'!G5:G1004,A59,'Trade Log'!W5:W1004),"—"),"")</f>
        <v/>
      </c>
      <c r="J59" s="143" t="str">
        <f aca="false">IF(A59&lt;&gt;"",IFERROR(maxifs('Trade Log'!U5:U1004,'Trade Log'!G5:G1004,A59),"—"),"")</f>
        <v/>
      </c>
    </row>
    <row r="60" customFormat="false" ht="19.5" hidden="false" customHeight="true" outlineLevel="0" collapsed="false">
      <c r="A60" s="133"/>
      <c r="B60" s="134" t="str">
        <f aca="false">IF(A60&lt;&gt;"",COUNTIF('Trade Log'!G5:G1004,A60),"")</f>
        <v/>
      </c>
      <c r="C60" s="135" t="str">
        <f aca="false">IF(A60&lt;&gt;"",IFERROR(SUMIF('Trade Log'!G5:G1004,A60,'Trade Log'!T5:T1004),"—"),"")</f>
        <v/>
      </c>
      <c r="D60" s="136" t="str">
        <f aca="false">IF(A60&lt;&gt;"",IFERROR(COUNTIFS('Trade Log'!G5:G1004,A60,'Trade Log'!T5:T1004,"&gt;0")/COUNTIF('Trade Log'!G5:G1004,A60),"—"),"")</f>
        <v/>
      </c>
      <c r="E60" s="137" t="str">
        <f aca="false">IF(A60&lt;&gt;"",IFERROR(AVERAGEIF('Trade Log'!G5:G1004,A60,'Trade Log'!T5:T1004),"—"),"")</f>
        <v/>
      </c>
      <c r="F60" s="136" t="str">
        <f aca="false">IF(A60&lt;&gt;"",IFERROR(AVERAGEIF('Trade Log'!G5:G1004,A60,'Trade Log'!U5:U1004),"—"),"")</f>
        <v/>
      </c>
      <c r="G60" s="138" t="str">
        <f aca="false">IF(A60&lt;&gt;"",IFERROR(maxifs('Trade Log'!T5:T1004,'Trade Log'!G5:G1004,A60),"—"),"")</f>
        <v/>
      </c>
      <c r="H60" s="139" t="str">
        <f aca="false">IF(A60&lt;&gt;"",IFERROR(minifs('Trade Log'!T5:T1004,'Trade Log'!G5:G1004,A60),"—"),"")</f>
        <v/>
      </c>
      <c r="I60" s="136" t="str">
        <f aca="false">IF(A60&lt;&gt;"",IFERROR(AVERAGEIF('Trade Log'!G5:G1004,A60,'Trade Log'!W5:W1004),"—"),"")</f>
        <v/>
      </c>
      <c r="J60" s="136" t="str">
        <f aca="false">IF(A60&lt;&gt;"",IFERROR(maxifs('Trade Log'!U5:U1004,'Trade Log'!G5:G1004,A60),"—"),"")</f>
        <v/>
      </c>
    </row>
    <row r="61" customFormat="false" ht="19.5" hidden="false" customHeight="true" outlineLevel="0" collapsed="false">
      <c r="A61" s="140"/>
      <c r="B61" s="141" t="str">
        <f aca="false">IF(A61&lt;&gt;"",COUNTIF('Trade Log'!G5:G1004,A61),"")</f>
        <v/>
      </c>
      <c r="C61" s="142" t="str">
        <f aca="false">IF(A61&lt;&gt;"",IFERROR(SUMIF('Trade Log'!G5:G1004,A61,'Trade Log'!T5:T1004),"—"),"")</f>
        <v/>
      </c>
      <c r="D61" s="143" t="str">
        <f aca="false">IF(A61&lt;&gt;"",IFERROR(COUNTIFS('Trade Log'!G5:G1004,A61,'Trade Log'!T5:T1004,"&gt;0")/COUNTIF('Trade Log'!G5:G1004,A61),"—"),"")</f>
        <v/>
      </c>
      <c r="E61" s="144" t="str">
        <f aca="false">IF(A61&lt;&gt;"",IFERROR(AVERAGEIF('Trade Log'!G5:G1004,A61,'Trade Log'!T5:T1004),"—"),"")</f>
        <v/>
      </c>
      <c r="F61" s="143" t="str">
        <f aca="false">IF(A61&lt;&gt;"",IFERROR(AVERAGEIF('Trade Log'!G5:G1004,A61,'Trade Log'!U5:U1004),"—"),"")</f>
        <v/>
      </c>
      <c r="G61" s="145" t="str">
        <f aca="false">IF(A61&lt;&gt;"",IFERROR(maxifs('Trade Log'!T5:T1004,'Trade Log'!G5:G1004,A61),"—"),"")</f>
        <v/>
      </c>
      <c r="H61" s="146" t="str">
        <f aca="false">IF(A61&lt;&gt;"",IFERROR(minifs('Trade Log'!T5:T1004,'Trade Log'!G5:G1004,A61),"—"),"")</f>
        <v/>
      </c>
      <c r="I61" s="143" t="str">
        <f aca="false">IF(A61&lt;&gt;"",IFERROR(AVERAGEIF('Trade Log'!G5:G1004,A61,'Trade Log'!W5:W1004),"—"),"")</f>
        <v/>
      </c>
      <c r="J61" s="143" t="str">
        <f aca="false">IF(A61&lt;&gt;"",IFERROR(maxifs('Trade Log'!U5:U1004,'Trade Log'!G5:G1004,A61),"—"),"")</f>
        <v/>
      </c>
    </row>
    <row r="62" customFormat="false" ht="19.5" hidden="false" customHeight="true" outlineLevel="0" collapsed="false">
      <c r="A62" s="133"/>
      <c r="B62" s="134" t="str">
        <f aca="false">IF(A62&lt;&gt;"",COUNTIF('Trade Log'!G5:G1004,A62),"")</f>
        <v/>
      </c>
      <c r="C62" s="135" t="str">
        <f aca="false">IF(A62&lt;&gt;"",IFERROR(SUMIF('Trade Log'!G5:G1004,A62,'Trade Log'!T5:T1004),"—"),"")</f>
        <v/>
      </c>
      <c r="D62" s="136" t="str">
        <f aca="false">IF(A62&lt;&gt;"",IFERROR(COUNTIFS('Trade Log'!G5:G1004,A62,'Trade Log'!T5:T1004,"&gt;0")/COUNTIF('Trade Log'!G5:G1004,A62),"—"),"")</f>
        <v/>
      </c>
      <c r="E62" s="137" t="str">
        <f aca="false">IF(A62&lt;&gt;"",IFERROR(AVERAGEIF('Trade Log'!G5:G1004,A62,'Trade Log'!T5:T1004),"—"),"")</f>
        <v/>
      </c>
      <c r="F62" s="136" t="str">
        <f aca="false">IF(A62&lt;&gt;"",IFERROR(AVERAGEIF('Trade Log'!G5:G1004,A62,'Trade Log'!U5:U1004),"—"),"")</f>
        <v/>
      </c>
      <c r="G62" s="138" t="str">
        <f aca="false">IF(A62&lt;&gt;"",IFERROR(maxifs('Trade Log'!T5:T1004,'Trade Log'!G5:G1004,A62),"—"),"")</f>
        <v/>
      </c>
      <c r="H62" s="139" t="str">
        <f aca="false">IF(A62&lt;&gt;"",IFERROR(minifs('Trade Log'!T5:T1004,'Trade Log'!G5:G1004,A62),"—"),"")</f>
        <v/>
      </c>
      <c r="I62" s="136" t="str">
        <f aca="false">IF(A62&lt;&gt;"",IFERROR(AVERAGEIF('Trade Log'!G5:G1004,A62,'Trade Log'!W5:W1004),"—"),"")</f>
        <v/>
      </c>
      <c r="J62" s="136" t="str">
        <f aca="false">IF(A62&lt;&gt;"",IFERROR(maxifs('Trade Log'!U5:U1004,'Trade Log'!G5:G1004,A62),"—"),"")</f>
        <v/>
      </c>
    </row>
    <row r="63" customFormat="false" ht="19.5" hidden="false" customHeight="true" outlineLevel="0" collapsed="false">
      <c r="A63" s="140"/>
      <c r="B63" s="141" t="str">
        <f aca="false">IF(A63&lt;&gt;"",COUNTIF('Trade Log'!G5:G1004,A63),"")</f>
        <v/>
      </c>
      <c r="C63" s="142" t="str">
        <f aca="false">IF(A63&lt;&gt;"",IFERROR(SUMIF('Trade Log'!G5:G1004,A63,'Trade Log'!T5:T1004),"—"),"")</f>
        <v/>
      </c>
      <c r="D63" s="143" t="str">
        <f aca="false">IF(A63&lt;&gt;"",IFERROR(COUNTIFS('Trade Log'!G5:G1004,A63,'Trade Log'!T5:T1004,"&gt;0")/COUNTIF('Trade Log'!G5:G1004,A63),"—"),"")</f>
        <v/>
      </c>
      <c r="E63" s="144" t="str">
        <f aca="false">IF(A63&lt;&gt;"",IFERROR(AVERAGEIF('Trade Log'!G5:G1004,A63,'Trade Log'!T5:T1004),"—"),"")</f>
        <v/>
      </c>
      <c r="F63" s="143" t="str">
        <f aca="false">IF(A63&lt;&gt;"",IFERROR(AVERAGEIF('Trade Log'!G5:G1004,A63,'Trade Log'!U5:U1004),"—"),"")</f>
        <v/>
      </c>
      <c r="G63" s="145" t="str">
        <f aca="false">IF(A63&lt;&gt;"",IFERROR(maxifs('Trade Log'!T5:T1004,'Trade Log'!G5:G1004,A63),"—"),"")</f>
        <v/>
      </c>
      <c r="H63" s="146" t="str">
        <f aca="false">IF(A63&lt;&gt;"",IFERROR(minifs('Trade Log'!T5:T1004,'Trade Log'!G5:G1004,A63),"—"),"")</f>
        <v/>
      </c>
      <c r="I63" s="143" t="str">
        <f aca="false">IF(A63&lt;&gt;"",IFERROR(AVERAGEIF('Trade Log'!G5:G1004,A63,'Trade Log'!W5:W1004),"—"),"")</f>
        <v/>
      </c>
      <c r="J63" s="143" t="str">
        <f aca="false">IF(A63&lt;&gt;"",IFERROR(maxifs('Trade Log'!U5:U1004,'Trade Log'!G5:G1004,A63),"—"),"")</f>
        <v/>
      </c>
    </row>
    <row r="64" customFormat="false" ht="19.5" hidden="false" customHeight="true" outlineLevel="0" collapsed="false">
      <c r="A64" s="133"/>
      <c r="B64" s="134" t="str">
        <f aca="false">IF(A64&lt;&gt;"",COUNTIF('Trade Log'!G5:G1004,A64),"")</f>
        <v/>
      </c>
      <c r="C64" s="135" t="str">
        <f aca="false">IF(A64&lt;&gt;"",IFERROR(SUMIF('Trade Log'!G5:G1004,A64,'Trade Log'!T5:T1004),"—"),"")</f>
        <v/>
      </c>
      <c r="D64" s="136" t="str">
        <f aca="false">IF(A64&lt;&gt;"",IFERROR(COUNTIFS('Trade Log'!G5:G1004,A64,'Trade Log'!T5:T1004,"&gt;0")/COUNTIF('Trade Log'!G5:G1004,A64),"—"),"")</f>
        <v/>
      </c>
      <c r="E64" s="137" t="str">
        <f aca="false">IF(A64&lt;&gt;"",IFERROR(AVERAGEIF('Trade Log'!G5:G1004,A64,'Trade Log'!T5:T1004),"—"),"")</f>
        <v/>
      </c>
      <c r="F64" s="136" t="str">
        <f aca="false">IF(A64&lt;&gt;"",IFERROR(AVERAGEIF('Trade Log'!G5:G1004,A64,'Trade Log'!U5:U1004),"—"),"")</f>
        <v/>
      </c>
      <c r="G64" s="138" t="str">
        <f aca="false">IF(A64&lt;&gt;"",IFERROR(maxifs('Trade Log'!T5:T1004,'Trade Log'!G5:G1004,A64),"—"),"")</f>
        <v/>
      </c>
      <c r="H64" s="139" t="str">
        <f aca="false">IF(A64&lt;&gt;"",IFERROR(minifs('Trade Log'!T5:T1004,'Trade Log'!G5:G1004,A64),"—"),"")</f>
        <v/>
      </c>
      <c r="I64" s="136" t="str">
        <f aca="false">IF(A64&lt;&gt;"",IFERROR(AVERAGEIF('Trade Log'!G5:G1004,A64,'Trade Log'!W5:W1004),"—"),"")</f>
        <v/>
      </c>
      <c r="J64" s="136" t="str">
        <f aca="false">IF(A64&lt;&gt;"",IFERROR(maxifs('Trade Log'!U5:U1004,'Trade Log'!G5:G1004,A64),"—"),"")</f>
        <v/>
      </c>
    </row>
    <row r="65" customFormat="false" ht="19.5" hidden="false" customHeight="true" outlineLevel="0" collapsed="false">
      <c r="A65" s="140"/>
      <c r="B65" s="141" t="str">
        <f aca="false">IF(A65&lt;&gt;"",COUNTIF('Trade Log'!G5:G1004,A65),"")</f>
        <v/>
      </c>
      <c r="C65" s="142" t="str">
        <f aca="false">IF(A65&lt;&gt;"",IFERROR(SUMIF('Trade Log'!G5:G1004,A65,'Trade Log'!T5:T1004),"—"),"")</f>
        <v/>
      </c>
      <c r="D65" s="143" t="str">
        <f aca="false">IF(A65&lt;&gt;"",IFERROR(COUNTIFS('Trade Log'!G5:G1004,A65,'Trade Log'!T5:T1004,"&gt;0")/COUNTIF('Trade Log'!G5:G1004,A65),"—"),"")</f>
        <v/>
      </c>
      <c r="E65" s="144" t="str">
        <f aca="false">IF(A65&lt;&gt;"",IFERROR(AVERAGEIF('Trade Log'!G5:G1004,A65,'Trade Log'!T5:T1004),"—"),"")</f>
        <v/>
      </c>
      <c r="F65" s="143" t="str">
        <f aca="false">IF(A65&lt;&gt;"",IFERROR(AVERAGEIF('Trade Log'!G5:G1004,A65,'Trade Log'!U5:U1004),"—"),"")</f>
        <v/>
      </c>
      <c r="G65" s="145" t="str">
        <f aca="false">IF(A65&lt;&gt;"",IFERROR(maxifs('Trade Log'!T5:T1004,'Trade Log'!G5:G1004,A65),"—"),"")</f>
        <v/>
      </c>
      <c r="H65" s="146" t="str">
        <f aca="false">IF(A65&lt;&gt;"",IFERROR(minifs('Trade Log'!T5:T1004,'Trade Log'!G5:G1004,A65),"—"),"")</f>
        <v/>
      </c>
      <c r="I65" s="143" t="str">
        <f aca="false">IF(A65&lt;&gt;"",IFERROR(AVERAGEIF('Trade Log'!G5:G1004,A65,'Trade Log'!W5:W1004),"—"),"")</f>
        <v/>
      </c>
      <c r="J65" s="143" t="str">
        <f aca="false">IF(A65&lt;&gt;"",IFERROR(maxifs('Trade Log'!U5:U1004,'Trade Log'!G5:G1004,A65),"—"),"")</f>
        <v/>
      </c>
    </row>
    <row r="66" customFormat="false" ht="19.5" hidden="false" customHeight="true" outlineLevel="0" collapsed="false">
      <c r="A66" s="133"/>
      <c r="B66" s="134" t="str">
        <f aca="false">IF(A66&lt;&gt;"",COUNTIF('Trade Log'!G5:G1004,A66),"")</f>
        <v/>
      </c>
      <c r="C66" s="135" t="str">
        <f aca="false">IF(A66&lt;&gt;"",IFERROR(SUMIF('Trade Log'!G5:G1004,A66,'Trade Log'!T5:T1004),"—"),"")</f>
        <v/>
      </c>
      <c r="D66" s="136" t="str">
        <f aca="false">IF(A66&lt;&gt;"",IFERROR(COUNTIFS('Trade Log'!G5:G1004,A66,'Trade Log'!T5:T1004,"&gt;0")/COUNTIF('Trade Log'!G5:G1004,A66),"—"),"")</f>
        <v/>
      </c>
      <c r="E66" s="137" t="str">
        <f aca="false">IF(A66&lt;&gt;"",IFERROR(AVERAGEIF('Trade Log'!G5:G1004,A66,'Trade Log'!T5:T1004),"—"),"")</f>
        <v/>
      </c>
      <c r="F66" s="136" t="str">
        <f aca="false">IF(A66&lt;&gt;"",IFERROR(AVERAGEIF('Trade Log'!G5:G1004,A66,'Trade Log'!U5:U1004),"—"),"")</f>
        <v/>
      </c>
      <c r="G66" s="138" t="str">
        <f aca="false">IF(A66&lt;&gt;"",IFERROR(maxifs('Trade Log'!T5:T1004,'Trade Log'!G5:G1004,A66),"—"),"")</f>
        <v/>
      </c>
      <c r="H66" s="139" t="str">
        <f aca="false">IF(A66&lt;&gt;"",IFERROR(minifs('Trade Log'!T5:T1004,'Trade Log'!G5:G1004,A66),"—"),"")</f>
        <v/>
      </c>
      <c r="I66" s="136" t="str">
        <f aca="false">IF(A66&lt;&gt;"",IFERROR(AVERAGEIF('Trade Log'!G5:G1004,A66,'Trade Log'!W5:W1004),"—"),"")</f>
        <v/>
      </c>
      <c r="J66" s="136" t="str">
        <f aca="false">IF(A66&lt;&gt;"",IFERROR(maxifs('Trade Log'!U5:U1004,'Trade Log'!G5:G1004,A66),"—"),"")</f>
        <v/>
      </c>
    </row>
    <row r="67" customFormat="false" ht="19.5" hidden="false" customHeight="true" outlineLevel="0" collapsed="false">
      <c r="A67" s="140"/>
      <c r="B67" s="141" t="str">
        <f aca="false">IF(A67&lt;&gt;"",COUNTIF('Trade Log'!G5:G1004,A67),"")</f>
        <v/>
      </c>
      <c r="C67" s="142" t="str">
        <f aca="false">IF(A67&lt;&gt;"",IFERROR(SUMIF('Trade Log'!G5:G1004,A67,'Trade Log'!T5:T1004),"—"),"")</f>
        <v/>
      </c>
      <c r="D67" s="143" t="str">
        <f aca="false">IF(A67&lt;&gt;"",IFERROR(COUNTIFS('Trade Log'!G5:G1004,A67,'Trade Log'!T5:T1004,"&gt;0")/COUNTIF('Trade Log'!G5:G1004,A67),"—"),"")</f>
        <v/>
      </c>
      <c r="E67" s="144" t="str">
        <f aca="false">IF(A67&lt;&gt;"",IFERROR(AVERAGEIF('Trade Log'!G5:G1004,A67,'Trade Log'!T5:T1004),"—"),"")</f>
        <v/>
      </c>
      <c r="F67" s="143" t="str">
        <f aca="false">IF(A67&lt;&gt;"",IFERROR(AVERAGEIF('Trade Log'!G5:G1004,A67,'Trade Log'!U5:U1004),"—"),"")</f>
        <v/>
      </c>
      <c r="G67" s="145" t="str">
        <f aca="false">IF(A67&lt;&gt;"",IFERROR(maxifs('Trade Log'!T5:T1004,'Trade Log'!G5:G1004,A67),"—"),"")</f>
        <v/>
      </c>
      <c r="H67" s="146" t="str">
        <f aca="false">IF(A67&lt;&gt;"",IFERROR(minifs('Trade Log'!T5:T1004,'Trade Log'!G5:G1004,A67),"—"),"")</f>
        <v/>
      </c>
      <c r="I67" s="143" t="str">
        <f aca="false">IF(A67&lt;&gt;"",IFERROR(AVERAGEIF('Trade Log'!G5:G1004,A67,'Trade Log'!W5:W1004),"—"),"")</f>
        <v/>
      </c>
      <c r="J67" s="143" t="str">
        <f aca="false">IF(A67&lt;&gt;"",IFERROR(maxifs('Trade Log'!U5:U1004,'Trade Log'!G5:G1004,A67),"—"),"")</f>
        <v/>
      </c>
    </row>
    <row r="68" customFormat="false" ht="19.5" hidden="false" customHeight="true" outlineLevel="0" collapsed="false">
      <c r="A68" s="133"/>
      <c r="B68" s="134" t="str">
        <f aca="false">IF(A68&lt;&gt;"",COUNTIF('Trade Log'!G5:G1004,A68),"")</f>
        <v/>
      </c>
      <c r="C68" s="135" t="str">
        <f aca="false">IF(A68&lt;&gt;"",IFERROR(SUMIF('Trade Log'!G5:G1004,A68,'Trade Log'!T5:T1004),"—"),"")</f>
        <v/>
      </c>
      <c r="D68" s="136" t="str">
        <f aca="false">IF(A68&lt;&gt;"",IFERROR(COUNTIFS('Trade Log'!G5:G1004,A68,'Trade Log'!T5:T1004,"&gt;0")/COUNTIF('Trade Log'!G5:G1004,A68),"—"),"")</f>
        <v/>
      </c>
      <c r="E68" s="137" t="str">
        <f aca="false">IF(A68&lt;&gt;"",IFERROR(AVERAGEIF('Trade Log'!G5:G1004,A68,'Trade Log'!T5:T1004),"—"),"")</f>
        <v/>
      </c>
      <c r="F68" s="136" t="str">
        <f aca="false">IF(A68&lt;&gt;"",IFERROR(AVERAGEIF('Trade Log'!G5:G1004,A68,'Trade Log'!U5:U1004),"—"),"")</f>
        <v/>
      </c>
      <c r="G68" s="138" t="str">
        <f aca="false">IF(A68&lt;&gt;"",IFERROR(maxifs('Trade Log'!T5:T1004,'Trade Log'!G5:G1004,A68),"—"),"")</f>
        <v/>
      </c>
      <c r="H68" s="139" t="str">
        <f aca="false">IF(A68&lt;&gt;"",IFERROR(minifs('Trade Log'!T5:T1004,'Trade Log'!G5:G1004,A68),"—"),"")</f>
        <v/>
      </c>
      <c r="I68" s="136" t="str">
        <f aca="false">IF(A68&lt;&gt;"",IFERROR(AVERAGEIF('Trade Log'!G5:G1004,A68,'Trade Log'!W5:W1004),"—"),"")</f>
        <v/>
      </c>
      <c r="J68" s="136" t="str">
        <f aca="false">IF(A68&lt;&gt;"",IFERROR(maxifs('Trade Log'!U5:U1004,'Trade Log'!G5:G1004,A68),"—"),"")</f>
        <v/>
      </c>
    </row>
    <row r="69" customFormat="false" ht="19.5" hidden="false" customHeight="true" outlineLevel="0" collapsed="false">
      <c r="A69" s="140"/>
      <c r="B69" s="141" t="str">
        <f aca="false">IF(A69&lt;&gt;"",COUNTIF('Trade Log'!G5:G1004,A69),"")</f>
        <v/>
      </c>
      <c r="C69" s="142" t="str">
        <f aca="false">IF(A69&lt;&gt;"",IFERROR(SUMIF('Trade Log'!G5:G1004,A69,'Trade Log'!T5:T1004),"—"),"")</f>
        <v/>
      </c>
      <c r="D69" s="143" t="str">
        <f aca="false">IF(A69&lt;&gt;"",IFERROR(COUNTIFS('Trade Log'!G5:G1004,A69,'Trade Log'!T5:T1004,"&gt;0")/COUNTIF('Trade Log'!G5:G1004,A69),"—"),"")</f>
        <v/>
      </c>
      <c r="E69" s="144" t="str">
        <f aca="false">IF(A69&lt;&gt;"",IFERROR(AVERAGEIF('Trade Log'!G5:G1004,A69,'Trade Log'!T5:T1004),"—"),"")</f>
        <v/>
      </c>
      <c r="F69" s="143" t="str">
        <f aca="false">IF(A69&lt;&gt;"",IFERROR(AVERAGEIF('Trade Log'!G5:G1004,A69,'Trade Log'!U5:U1004),"—"),"")</f>
        <v/>
      </c>
      <c r="G69" s="145" t="str">
        <f aca="false">IF(A69&lt;&gt;"",IFERROR(maxifs('Trade Log'!T5:T1004,'Trade Log'!G5:G1004,A69),"—"),"")</f>
        <v/>
      </c>
      <c r="H69" s="146" t="str">
        <f aca="false">IF(A69&lt;&gt;"",IFERROR(minifs('Trade Log'!T5:T1004,'Trade Log'!G5:G1004,A69),"—"),"")</f>
        <v/>
      </c>
      <c r="I69" s="143" t="str">
        <f aca="false">IF(A69&lt;&gt;"",IFERROR(AVERAGEIF('Trade Log'!G5:G1004,A69,'Trade Log'!W5:W1004),"—"),"")</f>
        <v/>
      </c>
      <c r="J69" s="143" t="str">
        <f aca="false">IF(A69&lt;&gt;"",IFERROR(maxifs('Trade Log'!U5:U1004,'Trade Log'!G5:G1004,A69),"—"),"")</f>
        <v/>
      </c>
    </row>
    <row r="70" customFormat="false" ht="19.5" hidden="false" customHeight="true" outlineLevel="0" collapsed="false">
      <c r="A70" s="133"/>
      <c r="B70" s="134" t="str">
        <f aca="false">IF(A70&lt;&gt;"",COUNTIF('Trade Log'!G5:G1004,A70),"")</f>
        <v/>
      </c>
      <c r="C70" s="135" t="str">
        <f aca="false">IF(A70&lt;&gt;"",IFERROR(SUMIF('Trade Log'!G5:G1004,A70,'Trade Log'!T5:T1004),"—"),"")</f>
        <v/>
      </c>
      <c r="D70" s="136" t="str">
        <f aca="false">IF(A70&lt;&gt;"",IFERROR(COUNTIFS('Trade Log'!G5:G1004,A70,'Trade Log'!T5:T1004,"&gt;0")/COUNTIF('Trade Log'!G5:G1004,A70),"—"),"")</f>
        <v/>
      </c>
      <c r="E70" s="137" t="str">
        <f aca="false">IF(A70&lt;&gt;"",IFERROR(AVERAGEIF('Trade Log'!G5:G1004,A70,'Trade Log'!T5:T1004),"—"),"")</f>
        <v/>
      </c>
      <c r="F70" s="136" t="str">
        <f aca="false">IF(A70&lt;&gt;"",IFERROR(AVERAGEIF('Trade Log'!G5:G1004,A70,'Trade Log'!U5:U1004),"—"),"")</f>
        <v/>
      </c>
      <c r="G70" s="138" t="str">
        <f aca="false">IF(A70&lt;&gt;"",IFERROR(maxifs('Trade Log'!T5:T1004,'Trade Log'!G5:G1004,A70),"—"),"")</f>
        <v/>
      </c>
      <c r="H70" s="139" t="str">
        <f aca="false">IF(A70&lt;&gt;"",IFERROR(minifs('Trade Log'!T5:T1004,'Trade Log'!G5:G1004,A70),"—"),"")</f>
        <v/>
      </c>
      <c r="I70" s="136" t="str">
        <f aca="false">IF(A70&lt;&gt;"",IFERROR(AVERAGEIF('Trade Log'!G5:G1004,A70,'Trade Log'!W5:W1004),"—"),"")</f>
        <v/>
      </c>
      <c r="J70" s="136" t="str">
        <f aca="false">IF(A70&lt;&gt;"",IFERROR(maxifs('Trade Log'!U5:U1004,'Trade Log'!G5:G1004,A70),"—"),"")</f>
        <v/>
      </c>
    </row>
    <row r="71" customFormat="false" ht="19.5" hidden="false" customHeight="true" outlineLevel="0" collapsed="false">
      <c r="A71" s="140"/>
      <c r="B71" s="141" t="str">
        <f aca="false">IF(A71&lt;&gt;"",COUNTIF('Trade Log'!G5:G1004,A71),"")</f>
        <v/>
      </c>
      <c r="C71" s="142" t="str">
        <f aca="false">IF(A71&lt;&gt;"",IFERROR(SUMIF('Trade Log'!G5:G1004,A71,'Trade Log'!T5:T1004),"—"),"")</f>
        <v/>
      </c>
      <c r="D71" s="143" t="str">
        <f aca="false">IF(A71&lt;&gt;"",IFERROR(COUNTIFS('Trade Log'!G5:G1004,A71,'Trade Log'!T5:T1004,"&gt;0")/COUNTIF('Trade Log'!G5:G1004,A71),"—"),"")</f>
        <v/>
      </c>
      <c r="E71" s="144" t="str">
        <f aca="false">IF(A71&lt;&gt;"",IFERROR(AVERAGEIF('Trade Log'!G5:G1004,A71,'Trade Log'!T5:T1004),"—"),"")</f>
        <v/>
      </c>
      <c r="F71" s="143" t="str">
        <f aca="false">IF(A71&lt;&gt;"",IFERROR(AVERAGEIF('Trade Log'!G5:G1004,A71,'Trade Log'!U5:U1004),"—"),"")</f>
        <v/>
      </c>
      <c r="G71" s="145" t="str">
        <f aca="false">IF(A71&lt;&gt;"",IFERROR(maxifs('Trade Log'!T5:T1004,'Trade Log'!G5:G1004,A71),"—"),"")</f>
        <v/>
      </c>
      <c r="H71" s="146" t="str">
        <f aca="false">IF(A71&lt;&gt;"",IFERROR(minifs('Trade Log'!T5:T1004,'Trade Log'!G5:G1004,A71),"—"),"")</f>
        <v/>
      </c>
      <c r="I71" s="143" t="str">
        <f aca="false">IF(A71&lt;&gt;"",IFERROR(AVERAGEIF('Trade Log'!G5:G1004,A71,'Trade Log'!W5:W1004),"—"),"")</f>
        <v/>
      </c>
      <c r="J71" s="143" t="str">
        <f aca="false">IF(A71&lt;&gt;"",IFERROR(maxifs('Trade Log'!U5:U1004,'Trade Log'!G5:G1004,A71),"—"),"")</f>
        <v/>
      </c>
    </row>
    <row r="72" customFormat="false" ht="19.5" hidden="false" customHeight="true" outlineLevel="0" collapsed="false">
      <c r="A72" s="133"/>
      <c r="B72" s="134" t="str">
        <f aca="false">IF(A72&lt;&gt;"",COUNTIF('Trade Log'!G5:G1004,A72),"")</f>
        <v/>
      </c>
      <c r="C72" s="135" t="str">
        <f aca="false">IF(A72&lt;&gt;"",IFERROR(SUMIF('Trade Log'!G5:G1004,A72,'Trade Log'!T5:T1004),"—"),"")</f>
        <v/>
      </c>
      <c r="D72" s="136" t="str">
        <f aca="false">IF(A72&lt;&gt;"",IFERROR(COUNTIFS('Trade Log'!G5:G1004,A72,'Trade Log'!T5:T1004,"&gt;0")/COUNTIF('Trade Log'!G5:G1004,A72),"—"),"")</f>
        <v/>
      </c>
      <c r="E72" s="137" t="str">
        <f aca="false">IF(A72&lt;&gt;"",IFERROR(AVERAGEIF('Trade Log'!G5:G1004,A72,'Trade Log'!T5:T1004),"—"),"")</f>
        <v/>
      </c>
      <c r="F72" s="136" t="str">
        <f aca="false">IF(A72&lt;&gt;"",IFERROR(AVERAGEIF('Trade Log'!G5:G1004,A72,'Trade Log'!U5:U1004),"—"),"")</f>
        <v/>
      </c>
      <c r="G72" s="138" t="str">
        <f aca="false">IF(A72&lt;&gt;"",IFERROR(maxifs('Trade Log'!T5:T1004,'Trade Log'!G5:G1004,A72),"—"),"")</f>
        <v/>
      </c>
      <c r="H72" s="139" t="str">
        <f aca="false">IF(A72&lt;&gt;"",IFERROR(minifs('Trade Log'!T5:T1004,'Trade Log'!G5:G1004,A72),"—"),"")</f>
        <v/>
      </c>
      <c r="I72" s="136" t="str">
        <f aca="false">IF(A72&lt;&gt;"",IFERROR(AVERAGEIF('Trade Log'!G5:G1004,A72,'Trade Log'!W5:W1004),"—"),"")</f>
        <v/>
      </c>
      <c r="J72" s="136" t="str">
        <f aca="false">IF(A72&lt;&gt;"",IFERROR(maxifs('Trade Log'!U5:U1004,'Trade Log'!G5:G1004,A72),"—"),"")</f>
        <v/>
      </c>
    </row>
    <row r="73" customFormat="false" ht="19.5" hidden="false" customHeight="true" outlineLevel="0" collapsed="false">
      <c r="A73" s="140"/>
      <c r="B73" s="141" t="str">
        <f aca="false">IF(A73&lt;&gt;"",COUNTIF('Trade Log'!G5:G1004,A73),"")</f>
        <v/>
      </c>
      <c r="C73" s="142" t="str">
        <f aca="false">IF(A73&lt;&gt;"",IFERROR(SUMIF('Trade Log'!G5:G1004,A73,'Trade Log'!T5:T1004),"—"),"")</f>
        <v/>
      </c>
      <c r="D73" s="143" t="str">
        <f aca="false">IF(A73&lt;&gt;"",IFERROR(COUNTIFS('Trade Log'!G5:G1004,A73,'Trade Log'!T5:T1004,"&gt;0")/COUNTIF('Trade Log'!G5:G1004,A73),"—"),"")</f>
        <v/>
      </c>
      <c r="E73" s="144" t="str">
        <f aca="false">IF(A73&lt;&gt;"",IFERROR(AVERAGEIF('Trade Log'!G5:G1004,A73,'Trade Log'!T5:T1004),"—"),"")</f>
        <v/>
      </c>
      <c r="F73" s="143" t="str">
        <f aca="false">IF(A73&lt;&gt;"",IFERROR(AVERAGEIF('Trade Log'!G5:G1004,A73,'Trade Log'!U5:U1004),"—"),"")</f>
        <v/>
      </c>
      <c r="G73" s="145" t="str">
        <f aca="false">IF(A73&lt;&gt;"",IFERROR(maxifs('Trade Log'!T5:T1004,'Trade Log'!G5:G1004,A73),"—"),"")</f>
        <v/>
      </c>
      <c r="H73" s="146" t="str">
        <f aca="false">IF(A73&lt;&gt;"",IFERROR(minifs('Trade Log'!T5:T1004,'Trade Log'!G5:G1004,A73),"—"),"")</f>
        <v/>
      </c>
      <c r="I73" s="143" t="str">
        <f aca="false">IF(A73&lt;&gt;"",IFERROR(AVERAGEIF('Trade Log'!G5:G1004,A73,'Trade Log'!W5:W1004),"—"),"")</f>
        <v/>
      </c>
      <c r="J73" s="143" t="str">
        <f aca="false">IF(A73&lt;&gt;"",IFERROR(maxifs('Trade Log'!U5:U1004,'Trade Log'!G5:G1004,A73),"—"),"")</f>
        <v/>
      </c>
    </row>
    <row r="74" customFormat="false" ht="19.5" hidden="false" customHeight="true" outlineLevel="0" collapsed="false">
      <c r="A74" s="133"/>
      <c r="B74" s="134" t="str">
        <f aca="false">IF(A74&lt;&gt;"",COUNTIF('Trade Log'!G5:G1004,A74),"")</f>
        <v/>
      </c>
      <c r="C74" s="135" t="str">
        <f aca="false">IF(A74&lt;&gt;"",IFERROR(SUMIF('Trade Log'!G5:G1004,A74,'Trade Log'!T5:T1004),"—"),"")</f>
        <v/>
      </c>
      <c r="D74" s="136" t="str">
        <f aca="false">IF(A74&lt;&gt;"",IFERROR(COUNTIFS('Trade Log'!G5:G1004,A74,'Trade Log'!T5:T1004,"&gt;0")/COUNTIF('Trade Log'!G5:G1004,A74),"—"),"")</f>
        <v/>
      </c>
      <c r="E74" s="137" t="str">
        <f aca="false">IF(A74&lt;&gt;"",IFERROR(AVERAGEIF('Trade Log'!G5:G1004,A74,'Trade Log'!T5:T1004),"—"),"")</f>
        <v/>
      </c>
      <c r="F74" s="136" t="str">
        <f aca="false">IF(A74&lt;&gt;"",IFERROR(AVERAGEIF('Trade Log'!G5:G1004,A74,'Trade Log'!U5:U1004),"—"),"")</f>
        <v/>
      </c>
      <c r="G74" s="138" t="str">
        <f aca="false">IF(A74&lt;&gt;"",IFERROR(maxifs('Trade Log'!T5:T1004,'Trade Log'!G5:G1004,A74),"—"),"")</f>
        <v/>
      </c>
      <c r="H74" s="139" t="str">
        <f aca="false">IF(A74&lt;&gt;"",IFERROR(minifs('Trade Log'!T5:T1004,'Trade Log'!G5:G1004,A74),"—"),"")</f>
        <v/>
      </c>
      <c r="I74" s="136" t="str">
        <f aca="false">IF(A74&lt;&gt;"",IFERROR(AVERAGEIF('Trade Log'!G5:G1004,A74,'Trade Log'!W5:W1004),"—"),"")</f>
        <v/>
      </c>
      <c r="J74" s="136" t="str">
        <f aca="false">IF(A74&lt;&gt;"",IFERROR(maxifs('Trade Log'!U5:U1004,'Trade Log'!G5:G1004,A74),"—"),"")</f>
        <v/>
      </c>
    </row>
    <row r="75" customFormat="false" ht="19.5" hidden="false" customHeight="true" outlineLevel="0" collapsed="false">
      <c r="A75" s="140"/>
      <c r="B75" s="141" t="str">
        <f aca="false">IF(A75&lt;&gt;"",COUNTIF('Trade Log'!G5:G1004,A75),"")</f>
        <v/>
      </c>
      <c r="C75" s="142" t="str">
        <f aca="false">IF(A75&lt;&gt;"",IFERROR(SUMIF('Trade Log'!G5:G1004,A75,'Trade Log'!T5:T1004),"—"),"")</f>
        <v/>
      </c>
      <c r="D75" s="143" t="str">
        <f aca="false">IF(A75&lt;&gt;"",IFERROR(COUNTIFS('Trade Log'!G5:G1004,A75,'Trade Log'!T5:T1004,"&gt;0")/COUNTIF('Trade Log'!G5:G1004,A75),"—"),"")</f>
        <v/>
      </c>
      <c r="E75" s="144" t="str">
        <f aca="false">IF(A75&lt;&gt;"",IFERROR(AVERAGEIF('Trade Log'!G5:G1004,A75,'Trade Log'!T5:T1004),"—"),"")</f>
        <v/>
      </c>
      <c r="F75" s="143" t="str">
        <f aca="false">IF(A75&lt;&gt;"",IFERROR(AVERAGEIF('Trade Log'!G5:G1004,A75,'Trade Log'!U5:U1004),"—"),"")</f>
        <v/>
      </c>
      <c r="G75" s="145" t="str">
        <f aca="false">IF(A75&lt;&gt;"",IFERROR(maxifs('Trade Log'!T5:T1004,'Trade Log'!G5:G1004,A75),"—"),"")</f>
        <v/>
      </c>
      <c r="H75" s="146" t="str">
        <f aca="false">IF(A75&lt;&gt;"",IFERROR(minifs('Trade Log'!T5:T1004,'Trade Log'!G5:G1004,A75),"—"),"")</f>
        <v/>
      </c>
      <c r="I75" s="143" t="str">
        <f aca="false">IF(A75&lt;&gt;"",IFERROR(AVERAGEIF('Trade Log'!G5:G1004,A75,'Trade Log'!W5:W1004),"—"),"")</f>
        <v/>
      </c>
      <c r="J75" s="143" t="str">
        <f aca="false">IF(A75&lt;&gt;"",IFERROR(maxifs('Trade Log'!U5:U1004,'Trade Log'!G5:G1004,A75),"—"),"")</f>
        <v/>
      </c>
    </row>
    <row r="76" customFormat="false" ht="19.5" hidden="false" customHeight="true" outlineLevel="0" collapsed="false">
      <c r="A76" s="133"/>
      <c r="B76" s="134" t="str">
        <f aca="false">IF(A76&lt;&gt;"",COUNTIF('Trade Log'!G5:G1004,A76),"")</f>
        <v/>
      </c>
      <c r="C76" s="135" t="str">
        <f aca="false">IF(A76&lt;&gt;"",IFERROR(SUMIF('Trade Log'!G5:G1004,A76,'Trade Log'!T5:T1004),"—"),"")</f>
        <v/>
      </c>
      <c r="D76" s="136" t="str">
        <f aca="false">IF(A76&lt;&gt;"",IFERROR(COUNTIFS('Trade Log'!G5:G1004,A76,'Trade Log'!T5:T1004,"&gt;0")/COUNTIF('Trade Log'!G5:G1004,A76),"—"),"")</f>
        <v/>
      </c>
      <c r="E76" s="137" t="str">
        <f aca="false">IF(A76&lt;&gt;"",IFERROR(AVERAGEIF('Trade Log'!G5:G1004,A76,'Trade Log'!T5:T1004),"—"),"")</f>
        <v/>
      </c>
      <c r="F76" s="136" t="str">
        <f aca="false">IF(A76&lt;&gt;"",IFERROR(AVERAGEIF('Trade Log'!G5:G1004,A76,'Trade Log'!U5:U1004),"—"),"")</f>
        <v/>
      </c>
      <c r="G76" s="138" t="str">
        <f aca="false">IF(A76&lt;&gt;"",IFERROR(maxifs('Trade Log'!T5:T1004,'Trade Log'!G5:G1004,A76),"—"),"")</f>
        <v/>
      </c>
      <c r="H76" s="139" t="str">
        <f aca="false">IF(A76&lt;&gt;"",IFERROR(minifs('Trade Log'!T5:T1004,'Trade Log'!G5:G1004,A76),"—"),"")</f>
        <v/>
      </c>
      <c r="I76" s="136" t="str">
        <f aca="false">IF(A76&lt;&gt;"",IFERROR(AVERAGEIF('Trade Log'!G5:G1004,A76,'Trade Log'!W5:W1004),"—"),"")</f>
        <v/>
      </c>
      <c r="J76" s="136" t="str">
        <f aca="false">IF(A76&lt;&gt;"",IFERROR(maxifs('Trade Log'!U5:U1004,'Trade Log'!G5:G1004,A76),"—"),"")</f>
        <v/>
      </c>
    </row>
    <row r="77" customFormat="false" ht="19.5" hidden="false" customHeight="true" outlineLevel="0" collapsed="false">
      <c r="A77" s="140"/>
      <c r="B77" s="141" t="str">
        <f aca="false">IF(A77&lt;&gt;"",COUNTIF('Trade Log'!G5:G1004,A77),"")</f>
        <v/>
      </c>
      <c r="C77" s="142" t="str">
        <f aca="false">IF(A77&lt;&gt;"",IFERROR(SUMIF('Trade Log'!G5:G1004,A77,'Trade Log'!T5:T1004),"—"),"")</f>
        <v/>
      </c>
      <c r="D77" s="143" t="str">
        <f aca="false">IF(A77&lt;&gt;"",IFERROR(COUNTIFS('Trade Log'!G5:G1004,A77,'Trade Log'!T5:T1004,"&gt;0")/COUNTIF('Trade Log'!G5:G1004,A77),"—"),"")</f>
        <v/>
      </c>
      <c r="E77" s="144" t="str">
        <f aca="false">IF(A77&lt;&gt;"",IFERROR(AVERAGEIF('Trade Log'!G5:G1004,A77,'Trade Log'!T5:T1004),"—"),"")</f>
        <v/>
      </c>
      <c r="F77" s="143" t="str">
        <f aca="false">IF(A77&lt;&gt;"",IFERROR(AVERAGEIF('Trade Log'!G5:G1004,A77,'Trade Log'!U5:U1004),"—"),"")</f>
        <v/>
      </c>
      <c r="G77" s="145" t="str">
        <f aca="false">IF(A77&lt;&gt;"",IFERROR(maxifs('Trade Log'!T5:T1004,'Trade Log'!G5:G1004,A77),"—"),"")</f>
        <v/>
      </c>
      <c r="H77" s="146" t="str">
        <f aca="false">IF(A77&lt;&gt;"",IFERROR(minifs('Trade Log'!T5:T1004,'Trade Log'!G5:G1004,A77),"—"),"")</f>
        <v/>
      </c>
      <c r="I77" s="143" t="str">
        <f aca="false">IF(A77&lt;&gt;"",IFERROR(AVERAGEIF('Trade Log'!G5:G1004,A77,'Trade Log'!W5:W1004),"—"),"")</f>
        <v/>
      </c>
      <c r="J77" s="143" t="str">
        <f aca="false">IF(A77&lt;&gt;"",IFERROR(maxifs('Trade Log'!U5:U1004,'Trade Log'!G5:G1004,A77),"—"),"")</f>
        <v/>
      </c>
    </row>
    <row r="78" customFormat="false" ht="19.5" hidden="false" customHeight="true" outlineLevel="0" collapsed="false">
      <c r="A78" s="133"/>
      <c r="B78" s="134" t="str">
        <f aca="false">IF(A78&lt;&gt;"",COUNTIF('Trade Log'!G5:G1004,A78),"")</f>
        <v/>
      </c>
      <c r="C78" s="135" t="str">
        <f aca="false">IF(A78&lt;&gt;"",IFERROR(SUMIF('Trade Log'!G5:G1004,A78,'Trade Log'!T5:T1004),"—"),"")</f>
        <v/>
      </c>
      <c r="D78" s="136" t="str">
        <f aca="false">IF(A78&lt;&gt;"",IFERROR(COUNTIFS('Trade Log'!G5:G1004,A78,'Trade Log'!T5:T1004,"&gt;0")/COUNTIF('Trade Log'!G5:G1004,A78),"—"),"")</f>
        <v/>
      </c>
      <c r="E78" s="137" t="str">
        <f aca="false">IF(A78&lt;&gt;"",IFERROR(AVERAGEIF('Trade Log'!G5:G1004,A78,'Trade Log'!T5:T1004),"—"),"")</f>
        <v/>
      </c>
      <c r="F78" s="136" t="str">
        <f aca="false">IF(A78&lt;&gt;"",IFERROR(AVERAGEIF('Trade Log'!G5:G1004,A78,'Trade Log'!U5:U1004),"—"),"")</f>
        <v/>
      </c>
      <c r="G78" s="138" t="str">
        <f aca="false">IF(A78&lt;&gt;"",IFERROR(maxifs('Trade Log'!T5:T1004,'Trade Log'!G5:G1004,A78),"—"),"")</f>
        <v/>
      </c>
      <c r="H78" s="139" t="str">
        <f aca="false">IF(A78&lt;&gt;"",IFERROR(minifs('Trade Log'!T5:T1004,'Trade Log'!G5:G1004,A78),"—"),"")</f>
        <v/>
      </c>
      <c r="I78" s="136" t="str">
        <f aca="false">IF(A78&lt;&gt;"",IFERROR(AVERAGEIF('Trade Log'!G5:G1004,A78,'Trade Log'!W5:W1004),"—"),"")</f>
        <v/>
      </c>
      <c r="J78" s="136" t="str">
        <f aca="false">IF(A78&lt;&gt;"",IFERROR(maxifs('Trade Log'!U5:U1004,'Trade Log'!G5:G1004,A78),"—"),"")</f>
        <v/>
      </c>
    </row>
    <row r="79" customFormat="false" ht="19.5" hidden="false" customHeight="true" outlineLevel="0" collapsed="false">
      <c r="A79" s="140"/>
      <c r="B79" s="141" t="str">
        <f aca="false">IF(A79&lt;&gt;"",COUNTIF('Trade Log'!G5:G1004,A79),"")</f>
        <v/>
      </c>
      <c r="C79" s="142" t="str">
        <f aca="false">IF(A79&lt;&gt;"",IFERROR(SUMIF('Trade Log'!G5:G1004,A79,'Trade Log'!T5:T1004),"—"),"")</f>
        <v/>
      </c>
      <c r="D79" s="143" t="str">
        <f aca="false">IF(A79&lt;&gt;"",IFERROR(COUNTIFS('Trade Log'!G5:G1004,A79,'Trade Log'!T5:T1004,"&gt;0")/COUNTIF('Trade Log'!G5:G1004,A79),"—"),"")</f>
        <v/>
      </c>
      <c r="E79" s="144" t="str">
        <f aca="false">IF(A79&lt;&gt;"",IFERROR(AVERAGEIF('Trade Log'!G5:G1004,A79,'Trade Log'!T5:T1004),"—"),"")</f>
        <v/>
      </c>
      <c r="F79" s="143" t="str">
        <f aca="false">IF(A79&lt;&gt;"",IFERROR(AVERAGEIF('Trade Log'!G5:G1004,A79,'Trade Log'!U5:U1004),"—"),"")</f>
        <v/>
      </c>
      <c r="G79" s="145" t="str">
        <f aca="false">IF(A79&lt;&gt;"",IFERROR(maxifs('Trade Log'!T5:T1004,'Trade Log'!G5:G1004,A79),"—"),"")</f>
        <v/>
      </c>
      <c r="H79" s="146" t="str">
        <f aca="false">IF(A79&lt;&gt;"",IFERROR(minifs('Trade Log'!T5:T1004,'Trade Log'!G5:G1004,A79),"—"),"")</f>
        <v/>
      </c>
      <c r="I79" s="143" t="str">
        <f aca="false">IF(A79&lt;&gt;"",IFERROR(AVERAGEIF('Trade Log'!G5:G1004,A79,'Trade Log'!W5:W1004),"—"),"")</f>
        <v/>
      </c>
      <c r="J79" s="143" t="str">
        <f aca="false">IF(A79&lt;&gt;"",IFERROR(maxifs('Trade Log'!U5:U1004,'Trade Log'!G5:G1004,A79),"—"),"")</f>
        <v/>
      </c>
    </row>
    <row r="80" customFormat="false" ht="19.5" hidden="false" customHeight="true" outlineLevel="0" collapsed="false">
      <c r="A80" s="133"/>
      <c r="B80" s="134" t="str">
        <f aca="false">IF(A80&lt;&gt;"",COUNTIF('Trade Log'!G5:G1004,A80),"")</f>
        <v/>
      </c>
      <c r="C80" s="135" t="str">
        <f aca="false">IF(A80&lt;&gt;"",IFERROR(SUMIF('Trade Log'!G5:G1004,A80,'Trade Log'!T5:T1004),"—"),"")</f>
        <v/>
      </c>
      <c r="D80" s="136" t="str">
        <f aca="false">IF(A80&lt;&gt;"",IFERROR(COUNTIFS('Trade Log'!G5:G1004,A80,'Trade Log'!T5:T1004,"&gt;0")/COUNTIF('Trade Log'!G5:G1004,A80),"—"),"")</f>
        <v/>
      </c>
      <c r="E80" s="137" t="str">
        <f aca="false">IF(A80&lt;&gt;"",IFERROR(AVERAGEIF('Trade Log'!G5:G1004,A80,'Trade Log'!T5:T1004),"—"),"")</f>
        <v/>
      </c>
      <c r="F80" s="136" t="str">
        <f aca="false">IF(A80&lt;&gt;"",IFERROR(AVERAGEIF('Trade Log'!G5:G1004,A80,'Trade Log'!U5:U1004),"—"),"")</f>
        <v/>
      </c>
      <c r="G80" s="138" t="str">
        <f aca="false">IF(A80&lt;&gt;"",IFERROR(maxifs('Trade Log'!T5:T1004,'Trade Log'!G5:G1004,A80),"—"),"")</f>
        <v/>
      </c>
      <c r="H80" s="139" t="str">
        <f aca="false">IF(A80&lt;&gt;"",IFERROR(minifs('Trade Log'!T5:T1004,'Trade Log'!G5:G1004,A80),"—"),"")</f>
        <v/>
      </c>
      <c r="I80" s="136" t="str">
        <f aca="false">IF(A80&lt;&gt;"",IFERROR(AVERAGEIF('Trade Log'!G5:G1004,A80,'Trade Log'!W5:W1004),"—"),"")</f>
        <v/>
      </c>
      <c r="J80" s="136" t="str">
        <f aca="false">IF(A80&lt;&gt;"",IFERROR(maxifs('Trade Log'!U5:U1004,'Trade Log'!G5:G1004,A80),"—"),"")</f>
        <v/>
      </c>
    </row>
    <row r="81" customFormat="false" ht="19.5" hidden="false" customHeight="true" outlineLevel="0" collapsed="false">
      <c r="A81" s="140"/>
      <c r="B81" s="141" t="str">
        <f aca="false">IF(A81&lt;&gt;"",COUNTIF('Trade Log'!G5:G1004,A81),"")</f>
        <v/>
      </c>
      <c r="C81" s="142" t="str">
        <f aca="false">IF(A81&lt;&gt;"",IFERROR(SUMIF('Trade Log'!G5:G1004,A81,'Trade Log'!T5:T1004),"—"),"")</f>
        <v/>
      </c>
      <c r="D81" s="143" t="str">
        <f aca="false">IF(A81&lt;&gt;"",IFERROR(COUNTIFS('Trade Log'!G5:G1004,A81,'Trade Log'!T5:T1004,"&gt;0")/COUNTIF('Trade Log'!G5:G1004,A81),"—"),"")</f>
        <v/>
      </c>
      <c r="E81" s="144" t="str">
        <f aca="false">IF(A81&lt;&gt;"",IFERROR(AVERAGEIF('Trade Log'!G5:G1004,A81,'Trade Log'!T5:T1004),"—"),"")</f>
        <v/>
      </c>
      <c r="F81" s="143" t="str">
        <f aca="false">IF(A81&lt;&gt;"",IFERROR(AVERAGEIF('Trade Log'!G5:G1004,A81,'Trade Log'!U5:U1004),"—"),"")</f>
        <v/>
      </c>
      <c r="G81" s="145" t="str">
        <f aca="false">IF(A81&lt;&gt;"",IFERROR(maxifs('Trade Log'!T5:T1004,'Trade Log'!G5:G1004,A81),"—"),"")</f>
        <v/>
      </c>
      <c r="H81" s="146" t="str">
        <f aca="false">IF(A81&lt;&gt;"",IFERROR(minifs('Trade Log'!T5:T1004,'Trade Log'!G5:G1004,A81),"—"),"")</f>
        <v/>
      </c>
      <c r="I81" s="143" t="str">
        <f aca="false">IF(A81&lt;&gt;"",IFERROR(AVERAGEIF('Trade Log'!G5:G1004,A81,'Trade Log'!W5:W1004),"—"),"")</f>
        <v/>
      </c>
      <c r="J81" s="143" t="str">
        <f aca="false">IF(A81&lt;&gt;"",IFERROR(maxifs('Trade Log'!U5:U1004,'Trade Log'!G5:G1004,A81),"—"),"")</f>
        <v/>
      </c>
    </row>
    <row r="82" customFormat="false" ht="19.5" hidden="false" customHeight="true" outlineLevel="0" collapsed="false">
      <c r="A82" s="133"/>
      <c r="B82" s="134" t="str">
        <f aca="false">IF(A82&lt;&gt;"",COUNTIF('Trade Log'!G5:G1004,A82),"")</f>
        <v/>
      </c>
      <c r="C82" s="135" t="str">
        <f aca="false">IF(A82&lt;&gt;"",IFERROR(SUMIF('Trade Log'!G5:G1004,A82,'Trade Log'!T5:T1004),"—"),"")</f>
        <v/>
      </c>
      <c r="D82" s="136" t="str">
        <f aca="false">IF(A82&lt;&gt;"",IFERROR(COUNTIFS('Trade Log'!G5:G1004,A82,'Trade Log'!T5:T1004,"&gt;0")/COUNTIF('Trade Log'!G5:G1004,A82),"—"),"")</f>
        <v/>
      </c>
      <c r="E82" s="137" t="str">
        <f aca="false">IF(A82&lt;&gt;"",IFERROR(AVERAGEIF('Trade Log'!G5:G1004,A82,'Trade Log'!T5:T1004),"—"),"")</f>
        <v/>
      </c>
      <c r="F82" s="136" t="str">
        <f aca="false">IF(A82&lt;&gt;"",IFERROR(AVERAGEIF('Trade Log'!G5:G1004,A82,'Trade Log'!U5:U1004),"—"),"")</f>
        <v/>
      </c>
      <c r="G82" s="138" t="str">
        <f aca="false">IF(A82&lt;&gt;"",IFERROR(maxifs('Trade Log'!T5:T1004,'Trade Log'!G5:G1004,A82),"—"),"")</f>
        <v/>
      </c>
      <c r="H82" s="139" t="str">
        <f aca="false">IF(A82&lt;&gt;"",IFERROR(minifs('Trade Log'!T5:T1004,'Trade Log'!G5:G1004,A82),"—"),"")</f>
        <v/>
      </c>
      <c r="I82" s="136" t="str">
        <f aca="false">IF(A82&lt;&gt;"",IFERROR(AVERAGEIF('Trade Log'!G5:G1004,A82,'Trade Log'!W5:W1004),"—"),"")</f>
        <v/>
      </c>
      <c r="J82" s="136" t="str">
        <f aca="false">IF(A82&lt;&gt;"",IFERROR(maxifs('Trade Log'!U5:U1004,'Trade Log'!G5:G1004,A82),"—"),"")</f>
        <v/>
      </c>
    </row>
    <row r="83" customFormat="false" ht="19.5" hidden="false" customHeight="true" outlineLevel="0" collapsed="false">
      <c r="A83" s="140"/>
      <c r="B83" s="141" t="str">
        <f aca="false">IF(A83&lt;&gt;"",COUNTIF('Trade Log'!G5:G1004,A83),"")</f>
        <v/>
      </c>
      <c r="C83" s="142" t="str">
        <f aca="false">IF(A83&lt;&gt;"",IFERROR(SUMIF('Trade Log'!G5:G1004,A83,'Trade Log'!T5:T1004),"—"),"")</f>
        <v/>
      </c>
      <c r="D83" s="143" t="str">
        <f aca="false">IF(A83&lt;&gt;"",IFERROR(COUNTIFS('Trade Log'!G5:G1004,A83,'Trade Log'!T5:T1004,"&gt;0")/COUNTIF('Trade Log'!G5:G1004,A83),"—"),"")</f>
        <v/>
      </c>
      <c r="E83" s="144" t="str">
        <f aca="false">IF(A83&lt;&gt;"",IFERROR(AVERAGEIF('Trade Log'!G5:G1004,A83,'Trade Log'!T5:T1004),"—"),"")</f>
        <v/>
      </c>
      <c r="F83" s="143" t="str">
        <f aca="false">IF(A83&lt;&gt;"",IFERROR(AVERAGEIF('Trade Log'!G5:G1004,A83,'Trade Log'!U5:U1004),"—"),"")</f>
        <v/>
      </c>
      <c r="G83" s="145" t="str">
        <f aca="false">IF(A83&lt;&gt;"",IFERROR(maxifs('Trade Log'!T5:T1004,'Trade Log'!G5:G1004,A83),"—"),"")</f>
        <v/>
      </c>
      <c r="H83" s="146" t="str">
        <f aca="false">IF(A83&lt;&gt;"",IFERROR(minifs('Trade Log'!T5:T1004,'Trade Log'!G5:G1004,A83),"—"),"")</f>
        <v/>
      </c>
      <c r="I83" s="143" t="str">
        <f aca="false">IF(A83&lt;&gt;"",IFERROR(AVERAGEIF('Trade Log'!G5:G1004,A83,'Trade Log'!W5:W1004),"—"),"")</f>
        <v/>
      </c>
      <c r="J83" s="143" t="str">
        <f aca="false">IF(A83&lt;&gt;"",IFERROR(maxifs('Trade Log'!U5:U1004,'Trade Log'!G5:G1004,A83),"—"),"")</f>
        <v/>
      </c>
    </row>
    <row r="84" customFormat="false" ht="19.5" hidden="false" customHeight="true" outlineLevel="0" collapsed="false">
      <c r="A84" s="133"/>
      <c r="B84" s="134" t="str">
        <f aca="false">IF(A84&lt;&gt;"",COUNTIF('Trade Log'!G5:G1004,A84),"")</f>
        <v/>
      </c>
      <c r="C84" s="135" t="str">
        <f aca="false">IF(A84&lt;&gt;"",IFERROR(SUMIF('Trade Log'!G5:G1004,A84,'Trade Log'!T5:T1004),"—"),"")</f>
        <v/>
      </c>
      <c r="D84" s="136" t="str">
        <f aca="false">IF(A84&lt;&gt;"",IFERROR(COUNTIFS('Trade Log'!G5:G1004,A84,'Trade Log'!T5:T1004,"&gt;0")/COUNTIF('Trade Log'!G5:G1004,A84),"—"),"")</f>
        <v/>
      </c>
      <c r="E84" s="137" t="str">
        <f aca="false">IF(A84&lt;&gt;"",IFERROR(AVERAGEIF('Trade Log'!G5:G1004,A84,'Trade Log'!T5:T1004),"—"),"")</f>
        <v/>
      </c>
      <c r="F84" s="136" t="str">
        <f aca="false">IF(A84&lt;&gt;"",IFERROR(AVERAGEIF('Trade Log'!G5:G1004,A84,'Trade Log'!U5:U1004),"—"),"")</f>
        <v/>
      </c>
      <c r="G84" s="138" t="str">
        <f aca="false">IF(A84&lt;&gt;"",IFERROR(maxifs('Trade Log'!T5:T1004,'Trade Log'!G5:G1004,A84),"—"),"")</f>
        <v/>
      </c>
      <c r="H84" s="139" t="str">
        <f aca="false">IF(A84&lt;&gt;"",IFERROR(minifs('Trade Log'!T5:T1004,'Trade Log'!G5:G1004,A84),"—"),"")</f>
        <v/>
      </c>
      <c r="I84" s="136" t="str">
        <f aca="false">IF(A84&lt;&gt;"",IFERROR(AVERAGEIF('Trade Log'!G5:G1004,A84,'Trade Log'!W5:W1004),"—"),"")</f>
        <v/>
      </c>
      <c r="J84" s="136" t="str">
        <f aca="false">IF(A84&lt;&gt;"",IFERROR(maxifs('Trade Log'!U5:U1004,'Trade Log'!G5:G1004,A84),"—"),"")</f>
        <v/>
      </c>
    </row>
    <row r="85" customFormat="false" ht="19.5" hidden="false" customHeight="true" outlineLevel="0" collapsed="false">
      <c r="A85" s="140"/>
      <c r="B85" s="141" t="str">
        <f aca="false">IF(A85&lt;&gt;"",COUNTIF('Trade Log'!G5:G1004,A85),"")</f>
        <v/>
      </c>
      <c r="C85" s="142" t="str">
        <f aca="false">IF(A85&lt;&gt;"",IFERROR(SUMIF('Trade Log'!G5:G1004,A85,'Trade Log'!T5:T1004),"—"),"")</f>
        <v/>
      </c>
      <c r="D85" s="143" t="str">
        <f aca="false">IF(A85&lt;&gt;"",IFERROR(COUNTIFS('Trade Log'!G5:G1004,A85,'Trade Log'!T5:T1004,"&gt;0")/COUNTIF('Trade Log'!G5:G1004,A85),"—"),"")</f>
        <v/>
      </c>
      <c r="E85" s="144" t="str">
        <f aca="false">IF(A85&lt;&gt;"",IFERROR(AVERAGEIF('Trade Log'!G5:G1004,A85,'Trade Log'!T5:T1004),"—"),"")</f>
        <v/>
      </c>
      <c r="F85" s="143" t="str">
        <f aca="false">IF(A85&lt;&gt;"",IFERROR(AVERAGEIF('Trade Log'!G5:G1004,A85,'Trade Log'!U5:U1004),"—"),"")</f>
        <v/>
      </c>
      <c r="G85" s="145" t="str">
        <f aca="false">IF(A85&lt;&gt;"",IFERROR(maxifs('Trade Log'!T5:T1004,'Trade Log'!G5:G1004,A85),"—"),"")</f>
        <v/>
      </c>
      <c r="H85" s="146" t="str">
        <f aca="false">IF(A85&lt;&gt;"",IFERROR(minifs('Trade Log'!T5:T1004,'Trade Log'!G5:G1004,A85),"—"),"")</f>
        <v/>
      </c>
      <c r="I85" s="143" t="str">
        <f aca="false">IF(A85&lt;&gt;"",IFERROR(AVERAGEIF('Trade Log'!G5:G1004,A85,'Trade Log'!W5:W1004),"—"),"")</f>
        <v/>
      </c>
      <c r="J85" s="143" t="str">
        <f aca="false">IF(A85&lt;&gt;"",IFERROR(maxifs('Trade Log'!U5:U1004,'Trade Log'!G5:G1004,A85),"—"),"")</f>
        <v/>
      </c>
    </row>
    <row r="86" customFormat="false" ht="19.5" hidden="false" customHeight="true" outlineLevel="0" collapsed="false">
      <c r="A86" s="133"/>
      <c r="B86" s="134" t="str">
        <f aca="false">IF(A86&lt;&gt;"",COUNTIF('Trade Log'!G5:G1004,A86),"")</f>
        <v/>
      </c>
      <c r="C86" s="135" t="str">
        <f aca="false">IF(A86&lt;&gt;"",IFERROR(SUMIF('Trade Log'!G5:G1004,A86,'Trade Log'!T5:T1004),"—"),"")</f>
        <v/>
      </c>
      <c r="D86" s="136" t="str">
        <f aca="false">IF(A86&lt;&gt;"",IFERROR(COUNTIFS('Trade Log'!G5:G1004,A86,'Trade Log'!T5:T1004,"&gt;0")/COUNTIF('Trade Log'!G5:G1004,A86),"—"),"")</f>
        <v/>
      </c>
      <c r="E86" s="137" t="str">
        <f aca="false">IF(A86&lt;&gt;"",IFERROR(AVERAGEIF('Trade Log'!G5:G1004,A86,'Trade Log'!T5:T1004),"—"),"")</f>
        <v/>
      </c>
      <c r="F86" s="136" t="str">
        <f aca="false">IF(A86&lt;&gt;"",IFERROR(AVERAGEIF('Trade Log'!G5:G1004,A86,'Trade Log'!U5:U1004),"—"),"")</f>
        <v/>
      </c>
      <c r="G86" s="138" t="str">
        <f aca="false">IF(A86&lt;&gt;"",IFERROR(maxifs('Trade Log'!T5:T1004,'Trade Log'!G5:G1004,A86),"—"),"")</f>
        <v/>
      </c>
      <c r="H86" s="139" t="str">
        <f aca="false">IF(A86&lt;&gt;"",IFERROR(minifs('Trade Log'!T5:T1004,'Trade Log'!G5:G1004,A86),"—"),"")</f>
        <v/>
      </c>
      <c r="I86" s="136" t="str">
        <f aca="false">IF(A86&lt;&gt;"",IFERROR(AVERAGEIF('Trade Log'!G5:G1004,A86,'Trade Log'!W5:W1004),"—"),"")</f>
        <v/>
      </c>
      <c r="J86" s="136" t="str">
        <f aca="false">IF(A86&lt;&gt;"",IFERROR(maxifs('Trade Log'!U5:U1004,'Trade Log'!G5:G1004,A86),"—"),"")</f>
        <v/>
      </c>
    </row>
    <row r="87" customFormat="false" ht="19.5" hidden="false" customHeight="true" outlineLevel="0" collapsed="false">
      <c r="A87" s="140"/>
      <c r="B87" s="141" t="str">
        <f aca="false">IF(A87&lt;&gt;"",COUNTIF('Trade Log'!G5:G1004,A87),"")</f>
        <v/>
      </c>
      <c r="C87" s="142" t="str">
        <f aca="false">IF(A87&lt;&gt;"",IFERROR(SUMIF('Trade Log'!G5:G1004,A87,'Trade Log'!T5:T1004),"—"),"")</f>
        <v/>
      </c>
      <c r="D87" s="143" t="str">
        <f aca="false">IF(A87&lt;&gt;"",IFERROR(COUNTIFS('Trade Log'!G5:G1004,A87,'Trade Log'!T5:T1004,"&gt;0")/COUNTIF('Trade Log'!G5:G1004,A87),"—"),"")</f>
        <v/>
      </c>
      <c r="E87" s="144" t="str">
        <f aca="false">IF(A87&lt;&gt;"",IFERROR(AVERAGEIF('Trade Log'!G5:G1004,A87,'Trade Log'!T5:T1004),"—"),"")</f>
        <v/>
      </c>
      <c r="F87" s="143" t="str">
        <f aca="false">IF(A87&lt;&gt;"",IFERROR(AVERAGEIF('Trade Log'!G5:G1004,A87,'Trade Log'!U5:U1004),"—"),"")</f>
        <v/>
      </c>
      <c r="G87" s="145" t="str">
        <f aca="false">IF(A87&lt;&gt;"",IFERROR(maxifs('Trade Log'!T5:T1004,'Trade Log'!G5:G1004,A87),"—"),"")</f>
        <v/>
      </c>
      <c r="H87" s="146" t="str">
        <f aca="false">IF(A87&lt;&gt;"",IFERROR(minifs('Trade Log'!T5:T1004,'Trade Log'!G5:G1004,A87),"—"),"")</f>
        <v/>
      </c>
      <c r="I87" s="143" t="str">
        <f aca="false">IF(A87&lt;&gt;"",IFERROR(AVERAGEIF('Trade Log'!G5:G1004,A87,'Trade Log'!W5:W1004),"—"),"")</f>
        <v/>
      </c>
      <c r="J87" s="143" t="str">
        <f aca="false">IF(A87&lt;&gt;"",IFERROR(maxifs('Trade Log'!U5:U1004,'Trade Log'!G5:G1004,A87),"—"),"")</f>
        <v/>
      </c>
    </row>
    <row r="88" customFormat="false" ht="19.5" hidden="false" customHeight="true" outlineLevel="0" collapsed="false">
      <c r="A88" s="133"/>
      <c r="B88" s="134" t="str">
        <f aca="false">IF(A88&lt;&gt;"",COUNTIF('Trade Log'!G5:G1004,A88),"")</f>
        <v/>
      </c>
      <c r="C88" s="135" t="str">
        <f aca="false">IF(A88&lt;&gt;"",IFERROR(SUMIF('Trade Log'!G5:G1004,A88,'Trade Log'!T5:T1004),"—"),"")</f>
        <v/>
      </c>
      <c r="D88" s="136" t="str">
        <f aca="false">IF(A88&lt;&gt;"",IFERROR(COUNTIFS('Trade Log'!G5:G1004,A88,'Trade Log'!T5:T1004,"&gt;0")/COUNTIF('Trade Log'!G5:G1004,A88),"—"),"")</f>
        <v/>
      </c>
      <c r="E88" s="137" t="str">
        <f aca="false">IF(A88&lt;&gt;"",IFERROR(AVERAGEIF('Trade Log'!G5:G1004,A88,'Trade Log'!T5:T1004),"—"),"")</f>
        <v/>
      </c>
      <c r="F88" s="136" t="str">
        <f aca="false">IF(A88&lt;&gt;"",IFERROR(AVERAGEIF('Trade Log'!G5:G1004,A88,'Trade Log'!U5:U1004),"—"),"")</f>
        <v/>
      </c>
      <c r="G88" s="138" t="str">
        <f aca="false">IF(A88&lt;&gt;"",IFERROR(maxifs('Trade Log'!T5:T1004,'Trade Log'!G5:G1004,A88),"—"),"")</f>
        <v/>
      </c>
      <c r="H88" s="139" t="str">
        <f aca="false">IF(A88&lt;&gt;"",IFERROR(minifs('Trade Log'!T5:T1004,'Trade Log'!G5:G1004,A88),"—"),"")</f>
        <v/>
      </c>
      <c r="I88" s="136" t="str">
        <f aca="false">IF(A88&lt;&gt;"",IFERROR(AVERAGEIF('Trade Log'!G5:G1004,A88,'Trade Log'!W5:W1004),"—"),"")</f>
        <v/>
      </c>
      <c r="J88" s="136" t="str">
        <f aca="false">IF(A88&lt;&gt;"",IFERROR(maxifs('Trade Log'!U5:U1004,'Trade Log'!G5:G1004,A88),"—"),"")</f>
        <v/>
      </c>
    </row>
    <row r="89" customFormat="false" ht="19.5" hidden="false" customHeight="true" outlineLevel="0" collapsed="false">
      <c r="A89" s="140"/>
      <c r="B89" s="141" t="str">
        <f aca="false">IF(A89&lt;&gt;"",COUNTIF('Trade Log'!G5:G1004,A89),"")</f>
        <v/>
      </c>
      <c r="C89" s="142" t="str">
        <f aca="false">IF(A89&lt;&gt;"",IFERROR(SUMIF('Trade Log'!G5:G1004,A89,'Trade Log'!T5:T1004),"—"),"")</f>
        <v/>
      </c>
      <c r="D89" s="143" t="str">
        <f aca="false">IF(A89&lt;&gt;"",IFERROR(COUNTIFS('Trade Log'!G5:G1004,A89,'Trade Log'!T5:T1004,"&gt;0")/COUNTIF('Trade Log'!G5:G1004,A89),"—"),"")</f>
        <v/>
      </c>
      <c r="E89" s="144" t="str">
        <f aca="false">IF(A89&lt;&gt;"",IFERROR(AVERAGEIF('Trade Log'!G5:G1004,A89,'Trade Log'!T5:T1004),"—"),"")</f>
        <v/>
      </c>
      <c r="F89" s="143" t="str">
        <f aca="false">IF(A89&lt;&gt;"",IFERROR(AVERAGEIF('Trade Log'!G5:G1004,A89,'Trade Log'!U5:U1004),"—"),"")</f>
        <v/>
      </c>
      <c r="G89" s="145" t="str">
        <f aca="false">IF(A89&lt;&gt;"",IFERROR(maxifs('Trade Log'!T5:T1004,'Trade Log'!G5:G1004,A89),"—"),"")</f>
        <v/>
      </c>
      <c r="H89" s="146" t="str">
        <f aca="false">IF(A89&lt;&gt;"",IFERROR(minifs('Trade Log'!T5:T1004,'Trade Log'!G5:G1004,A89),"—"),"")</f>
        <v/>
      </c>
      <c r="I89" s="143" t="str">
        <f aca="false">IF(A89&lt;&gt;"",IFERROR(AVERAGEIF('Trade Log'!G5:G1004,A89,'Trade Log'!W5:W1004),"—"),"")</f>
        <v/>
      </c>
      <c r="J89" s="143" t="str">
        <f aca="false">IF(A89&lt;&gt;"",IFERROR(maxifs('Trade Log'!U5:U1004,'Trade Log'!G5:G1004,A89),"—"),"")</f>
        <v/>
      </c>
    </row>
    <row r="90" customFormat="false" ht="19.5" hidden="false" customHeight="true" outlineLevel="0" collapsed="false">
      <c r="A90" s="133"/>
      <c r="B90" s="134" t="str">
        <f aca="false">IF(A90&lt;&gt;"",COUNTIF('Trade Log'!G5:G1004,A90),"")</f>
        <v/>
      </c>
      <c r="C90" s="135" t="str">
        <f aca="false">IF(A90&lt;&gt;"",IFERROR(SUMIF('Trade Log'!G5:G1004,A90,'Trade Log'!T5:T1004),"—"),"")</f>
        <v/>
      </c>
      <c r="D90" s="136" t="str">
        <f aca="false">IF(A90&lt;&gt;"",IFERROR(COUNTIFS('Trade Log'!G5:G1004,A90,'Trade Log'!T5:T1004,"&gt;0")/COUNTIF('Trade Log'!G5:G1004,A90),"—"),"")</f>
        <v/>
      </c>
      <c r="E90" s="137" t="str">
        <f aca="false">IF(A90&lt;&gt;"",IFERROR(AVERAGEIF('Trade Log'!G5:G1004,A90,'Trade Log'!T5:T1004),"—"),"")</f>
        <v/>
      </c>
      <c r="F90" s="136" t="str">
        <f aca="false">IF(A90&lt;&gt;"",IFERROR(AVERAGEIF('Trade Log'!G5:G1004,A90,'Trade Log'!U5:U1004),"—"),"")</f>
        <v/>
      </c>
      <c r="G90" s="138" t="str">
        <f aca="false">IF(A90&lt;&gt;"",IFERROR(maxifs('Trade Log'!T5:T1004,'Trade Log'!G5:G1004,A90),"—"),"")</f>
        <v/>
      </c>
      <c r="H90" s="139" t="str">
        <f aca="false">IF(A90&lt;&gt;"",IFERROR(minifs('Trade Log'!T5:T1004,'Trade Log'!G5:G1004,A90),"—"),"")</f>
        <v/>
      </c>
      <c r="I90" s="136" t="str">
        <f aca="false">IF(A90&lt;&gt;"",IFERROR(AVERAGEIF('Trade Log'!G5:G1004,A90,'Trade Log'!W5:W1004),"—"),"")</f>
        <v/>
      </c>
      <c r="J90" s="136" t="str">
        <f aca="false">IF(A90&lt;&gt;"",IFERROR(maxifs('Trade Log'!U5:U1004,'Trade Log'!G5:G1004,A90),"—"),"")</f>
        <v/>
      </c>
    </row>
    <row r="91" customFormat="false" ht="19.5" hidden="false" customHeight="true" outlineLevel="0" collapsed="false">
      <c r="A91" s="140"/>
      <c r="B91" s="141" t="str">
        <f aca="false">IF(A91&lt;&gt;"",COUNTIF('Trade Log'!G5:G1004,A91),"")</f>
        <v/>
      </c>
      <c r="C91" s="142" t="str">
        <f aca="false">IF(A91&lt;&gt;"",IFERROR(SUMIF('Trade Log'!G5:G1004,A91,'Trade Log'!T5:T1004),"—"),"")</f>
        <v/>
      </c>
      <c r="D91" s="143" t="str">
        <f aca="false">IF(A91&lt;&gt;"",IFERROR(COUNTIFS('Trade Log'!G5:G1004,A91,'Trade Log'!T5:T1004,"&gt;0")/COUNTIF('Trade Log'!G5:G1004,A91),"—"),"")</f>
        <v/>
      </c>
      <c r="E91" s="144" t="str">
        <f aca="false">IF(A91&lt;&gt;"",IFERROR(AVERAGEIF('Trade Log'!G5:G1004,A91,'Trade Log'!T5:T1004),"—"),"")</f>
        <v/>
      </c>
      <c r="F91" s="143" t="str">
        <f aca="false">IF(A91&lt;&gt;"",IFERROR(AVERAGEIF('Trade Log'!G5:G1004,A91,'Trade Log'!U5:U1004),"—"),"")</f>
        <v/>
      </c>
      <c r="G91" s="145" t="str">
        <f aca="false">IF(A91&lt;&gt;"",IFERROR(maxifs('Trade Log'!T5:T1004,'Trade Log'!G5:G1004,A91),"—"),"")</f>
        <v/>
      </c>
      <c r="H91" s="146" t="str">
        <f aca="false">IF(A91&lt;&gt;"",IFERROR(minifs('Trade Log'!T5:T1004,'Trade Log'!G5:G1004,A91),"—"),"")</f>
        <v/>
      </c>
      <c r="I91" s="143" t="str">
        <f aca="false">IF(A91&lt;&gt;"",IFERROR(AVERAGEIF('Trade Log'!G5:G1004,A91,'Trade Log'!W5:W1004),"—"),"")</f>
        <v/>
      </c>
      <c r="J91" s="143" t="str">
        <f aca="false">IF(A91&lt;&gt;"",IFERROR(maxifs('Trade Log'!U5:U1004,'Trade Log'!G5:G1004,A91),"—"),"")</f>
        <v/>
      </c>
    </row>
    <row r="92" customFormat="false" ht="19.5" hidden="false" customHeight="true" outlineLevel="0" collapsed="false">
      <c r="A92" s="133"/>
      <c r="B92" s="134" t="str">
        <f aca="false">IF(A92&lt;&gt;"",COUNTIF('Trade Log'!G5:G1004,A92),"")</f>
        <v/>
      </c>
      <c r="C92" s="135" t="str">
        <f aca="false">IF(A92&lt;&gt;"",IFERROR(SUMIF('Trade Log'!G5:G1004,A92,'Trade Log'!T5:T1004),"—"),"")</f>
        <v/>
      </c>
      <c r="D92" s="136" t="str">
        <f aca="false">IF(A92&lt;&gt;"",IFERROR(COUNTIFS('Trade Log'!G5:G1004,A92,'Trade Log'!T5:T1004,"&gt;0")/COUNTIF('Trade Log'!G5:G1004,A92),"—"),"")</f>
        <v/>
      </c>
      <c r="E92" s="137" t="str">
        <f aca="false">IF(A92&lt;&gt;"",IFERROR(AVERAGEIF('Trade Log'!G5:G1004,A92,'Trade Log'!T5:T1004),"—"),"")</f>
        <v/>
      </c>
      <c r="F92" s="136" t="str">
        <f aca="false">IF(A92&lt;&gt;"",IFERROR(AVERAGEIF('Trade Log'!G5:G1004,A92,'Trade Log'!U5:U1004),"—"),"")</f>
        <v/>
      </c>
      <c r="G92" s="138" t="str">
        <f aca="false">IF(A92&lt;&gt;"",IFERROR(maxifs('Trade Log'!T5:T1004,'Trade Log'!G5:G1004,A92),"—"),"")</f>
        <v/>
      </c>
      <c r="H92" s="139" t="str">
        <f aca="false">IF(A92&lt;&gt;"",IFERROR(minifs('Trade Log'!T5:T1004,'Trade Log'!G5:G1004,A92),"—"),"")</f>
        <v/>
      </c>
      <c r="I92" s="136" t="str">
        <f aca="false">IF(A92&lt;&gt;"",IFERROR(AVERAGEIF('Trade Log'!G5:G1004,A92,'Trade Log'!W5:W1004),"—"),"")</f>
        <v/>
      </c>
      <c r="J92" s="136" t="str">
        <f aca="false">IF(A92&lt;&gt;"",IFERROR(maxifs('Trade Log'!U5:U1004,'Trade Log'!G5:G1004,A92),"—"),"")</f>
        <v/>
      </c>
    </row>
    <row r="93" customFormat="false" ht="19.5" hidden="false" customHeight="true" outlineLevel="0" collapsed="false">
      <c r="A93" s="140"/>
      <c r="B93" s="141" t="str">
        <f aca="false">IF(A93&lt;&gt;"",COUNTIF('Trade Log'!G5:G1004,A93),"")</f>
        <v/>
      </c>
      <c r="C93" s="142" t="str">
        <f aca="false">IF(A93&lt;&gt;"",IFERROR(SUMIF('Trade Log'!G5:G1004,A93,'Trade Log'!T5:T1004),"—"),"")</f>
        <v/>
      </c>
      <c r="D93" s="143" t="str">
        <f aca="false">IF(A93&lt;&gt;"",IFERROR(COUNTIFS('Trade Log'!G5:G1004,A93,'Trade Log'!T5:T1004,"&gt;0")/COUNTIF('Trade Log'!G5:G1004,A93),"—"),"")</f>
        <v/>
      </c>
      <c r="E93" s="144" t="str">
        <f aca="false">IF(A93&lt;&gt;"",IFERROR(AVERAGEIF('Trade Log'!G5:G1004,A93,'Trade Log'!T5:T1004),"—"),"")</f>
        <v/>
      </c>
      <c r="F93" s="143" t="str">
        <f aca="false">IF(A93&lt;&gt;"",IFERROR(AVERAGEIF('Trade Log'!G5:G1004,A93,'Trade Log'!U5:U1004),"—"),"")</f>
        <v/>
      </c>
      <c r="G93" s="145" t="str">
        <f aca="false">IF(A93&lt;&gt;"",IFERROR(maxifs('Trade Log'!T5:T1004,'Trade Log'!G5:G1004,A93),"—"),"")</f>
        <v/>
      </c>
      <c r="H93" s="146" t="str">
        <f aca="false">IF(A93&lt;&gt;"",IFERROR(minifs('Trade Log'!T5:T1004,'Trade Log'!G5:G1004,A93),"—"),"")</f>
        <v/>
      </c>
      <c r="I93" s="143" t="str">
        <f aca="false">IF(A93&lt;&gt;"",IFERROR(AVERAGEIF('Trade Log'!G5:G1004,A93,'Trade Log'!W5:W1004),"—"),"")</f>
        <v/>
      </c>
      <c r="J93" s="143" t="str">
        <f aca="false">IF(A93&lt;&gt;"",IFERROR(maxifs('Trade Log'!U5:U1004,'Trade Log'!G5:G1004,A93),"—"),"")</f>
        <v/>
      </c>
    </row>
    <row r="94" customFormat="false" ht="19.5" hidden="false" customHeight="true" outlineLevel="0" collapsed="false">
      <c r="A94" s="133"/>
      <c r="B94" s="134" t="str">
        <f aca="false">IF(A94&lt;&gt;"",COUNTIF('Trade Log'!G5:G1004,A94),"")</f>
        <v/>
      </c>
      <c r="C94" s="135" t="str">
        <f aca="false">IF(A94&lt;&gt;"",IFERROR(SUMIF('Trade Log'!G5:G1004,A94,'Trade Log'!T5:T1004),"—"),"")</f>
        <v/>
      </c>
      <c r="D94" s="136" t="str">
        <f aca="false">IF(A94&lt;&gt;"",IFERROR(COUNTIFS('Trade Log'!G5:G1004,A94,'Trade Log'!T5:T1004,"&gt;0")/COUNTIF('Trade Log'!G5:G1004,A94),"—"),"")</f>
        <v/>
      </c>
      <c r="E94" s="137" t="str">
        <f aca="false">IF(A94&lt;&gt;"",IFERROR(AVERAGEIF('Trade Log'!G5:G1004,A94,'Trade Log'!T5:T1004),"—"),"")</f>
        <v/>
      </c>
      <c r="F94" s="136" t="str">
        <f aca="false">IF(A94&lt;&gt;"",IFERROR(AVERAGEIF('Trade Log'!G5:G1004,A94,'Trade Log'!U5:U1004),"—"),"")</f>
        <v/>
      </c>
      <c r="G94" s="138" t="str">
        <f aca="false">IF(A94&lt;&gt;"",IFERROR(maxifs('Trade Log'!T5:T1004,'Trade Log'!G5:G1004,A94),"—"),"")</f>
        <v/>
      </c>
      <c r="H94" s="139" t="str">
        <f aca="false">IF(A94&lt;&gt;"",IFERROR(minifs('Trade Log'!T5:T1004,'Trade Log'!G5:G1004,A94),"—"),"")</f>
        <v/>
      </c>
      <c r="I94" s="136" t="str">
        <f aca="false">IF(A94&lt;&gt;"",IFERROR(AVERAGEIF('Trade Log'!G5:G1004,A94,'Trade Log'!W5:W1004),"—"),"")</f>
        <v/>
      </c>
      <c r="J94" s="136" t="str">
        <f aca="false">IF(A94&lt;&gt;"",IFERROR(maxifs('Trade Log'!U5:U1004,'Trade Log'!G5:G1004,A94),"—"),"")</f>
        <v/>
      </c>
    </row>
    <row r="95" customFormat="false" ht="19.5" hidden="false" customHeight="true" outlineLevel="0" collapsed="false">
      <c r="A95" s="140"/>
      <c r="B95" s="141" t="str">
        <f aca="false">IF(A95&lt;&gt;"",COUNTIF('Trade Log'!G5:G1004,A95),"")</f>
        <v/>
      </c>
      <c r="C95" s="142" t="str">
        <f aca="false">IF(A95&lt;&gt;"",IFERROR(SUMIF('Trade Log'!G5:G1004,A95,'Trade Log'!T5:T1004),"—"),"")</f>
        <v/>
      </c>
      <c r="D95" s="143" t="str">
        <f aca="false">IF(A95&lt;&gt;"",IFERROR(COUNTIFS('Trade Log'!G5:G1004,A95,'Trade Log'!T5:T1004,"&gt;0")/COUNTIF('Trade Log'!G5:G1004,A95),"—"),"")</f>
        <v/>
      </c>
      <c r="E95" s="144" t="str">
        <f aca="false">IF(A95&lt;&gt;"",IFERROR(AVERAGEIF('Trade Log'!G5:G1004,A95,'Trade Log'!T5:T1004),"—"),"")</f>
        <v/>
      </c>
      <c r="F95" s="143" t="str">
        <f aca="false">IF(A95&lt;&gt;"",IFERROR(AVERAGEIF('Trade Log'!G5:G1004,A95,'Trade Log'!U5:U1004),"—"),"")</f>
        <v/>
      </c>
      <c r="G95" s="145" t="str">
        <f aca="false">IF(A95&lt;&gt;"",IFERROR(maxifs('Trade Log'!T5:T1004,'Trade Log'!G5:G1004,A95),"—"),"")</f>
        <v/>
      </c>
      <c r="H95" s="146" t="str">
        <f aca="false">IF(A95&lt;&gt;"",IFERROR(minifs('Trade Log'!T5:T1004,'Trade Log'!G5:G1004,A95),"—"),"")</f>
        <v/>
      </c>
      <c r="I95" s="143" t="str">
        <f aca="false">IF(A95&lt;&gt;"",IFERROR(AVERAGEIF('Trade Log'!G5:G1004,A95,'Trade Log'!W5:W1004),"—"),"")</f>
        <v/>
      </c>
      <c r="J95" s="143" t="str">
        <f aca="false">IF(A95&lt;&gt;"",IFERROR(maxifs('Trade Log'!U5:U1004,'Trade Log'!G5:G1004,A95),"—"),"")</f>
        <v/>
      </c>
    </row>
    <row r="96" customFormat="false" ht="19.5" hidden="false" customHeight="true" outlineLevel="0" collapsed="false">
      <c r="A96" s="133"/>
      <c r="B96" s="134" t="str">
        <f aca="false">IF(A96&lt;&gt;"",COUNTIF('Trade Log'!G5:G1004,A96),"")</f>
        <v/>
      </c>
      <c r="C96" s="135" t="str">
        <f aca="false">IF(A96&lt;&gt;"",IFERROR(SUMIF('Trade Log'!G5:G1004,A96,'Trade Log'!T5:T1004),"—"),"")</f>
        <v/>
      </c>
      <c r="D96" s="136" t="str">
        <f aca="false">IF(A96&lt;&gt;"",IFERROR(COUNTIFS('Trade Log'!G5:G1004,A96,'Trade Log'!T5:T1004,"&gt;0")/COUNTIF('Trade Log'!G5:G1004,A96),"—"),"")</f>
        <v/>
      </c>
      <c r="E96" s="137" t="str">
        <f aca="false">IF(A96&lt;&gt;"",IFERROR(AVERAGEIF('Trade Log'!G5:G1004,A96,'Trade Log'!T5:T1004),"—"),"")</f>
        <v/>
      </c>
      <c r="F96" s="136" t="str">
        <f aca="false">IF(A96&lt;&gt;"",IFERROR(AVERAGEIF('Trade Log'!G5:G1004,A96,'Trade Log'!U5:U1004),"—"),"")</f>
        <v/>
      </c>
      <c r="G96" s="138" t="str">
        <f aca="false">IF(A96&lt;&gt;"",IFERROR(maxifs('Trade Log'!T5:T1004,'Trade Log'!G5:G1004,A96),"—"),"")</f>
        <v/>
      </c>
      <c r="H96" s="139" t="str">
        <f aca="false">IF(A96&lt;&gt;"",IFERROR(minifs('Trade Log'!T5:T1004,'Trade Log'!G5:G1004,A96),"—"),"")</f>
        <v/>
      </c>
      <c r="I96" s="136" t="str">
        <f aca="false">IF(A96&lt;&gt;"",IFERROR(AVERAGEIF('Trade Log'!G5:G1004,A96,'Trade Log'!W5:W1004),"—"),"")</f>
        <v/>
      </c>
      <c r="J96" s="136" t="str">
        <f aca="false">IF(A96&lt;&gt;"",IFERROR(maxifs('Trade Log'!U5:U1004,'Trade Log'!G5:G1004,A96),"—"),"")</f>
        <v/>
      </c>
    </row>
    <row r="97" customFormat="false" ht="19.5" hidden="false" customHeight="true" outlineLevel="0" collapsed="false">
      <c r="A97" s="140"/>
      <c r="B97" s="141" t="str">
        <f aca="false">IF(A97&lt;&gt;"",COUNTIF('Trade Log'!G5:G1004,A97),"")</f>
        <v/>
      </c>
      <c r="C97" s="142" t="str">
        <f aca="false">IF(A97&lt;&gt;"",IFERROR(SUMIF('Trade Log'!G5:G1004,A97,'Trade Log'!T5:T1004),"—"),"")</f>
        <v/>
      </c>
      <c r="D97" s="143" t="str">
        <f aca="false">IF(A97&lt;&gt;"",IFERROR(COUNTIFS('Trade Log'!G5:G1004,A97,'Trade Log'!T5:T1004,"&gt;0")/COUNTIF('Trade Log'!G5:G1004,A97),"—"),"")</f>
        <v/>
      </c>
      <c r="E97" s="144" t="str">
        <f aca="false">IF(A97&lt;&gt;"",IFERROR(AVERAGEIF('Trade Log'!G5:G1004,A97,'Trade Log'!T5:T1004),"—"),"")</f>
        <v/>
      </c>
      <c r="F97" s="143" t="str">
        <f aca="false">IF(A97&lt;&gt;"",IFERROR(AVERAGEIF('Trade Log'!G5:G1004,A97,'Trade Log'!U5:U1004),"—"),"")</f>
        <v/>
      </c>
      <c r="G97" s="145" t="str">
        <f aca="false">IF(A97&lt;&gt;"",IFERROR(maxifs('Trade Log'!T5:T1004,'Trade Log'!G5:G1004,A97),"—"),"")</f>
        <v/>
      </c>
      <c r="H97" s="146" t="str">
        <f aca="false">IF(A97&lt;&gt;"",IFERROR(minifs('Trade Log'!T5:T1004,'Trade Log'!G5:G1004,A97),"—"),"")</f>
        <v/>
      </c>
      <c r="I97" s="143" t="str">
        <f aca="false">IF(A97&lt;&gt;"",IFERROR(AVERAGEIF('Trade Log'!G5:G1004,A97,'Trade Log'!W5:W1004),"—"),"")</f>
        <v/>
      </c>
      <c r="J97" s="143" t="str">
        <f aca="false">IF(A97&lt;&gt;"",IFERROR(maxifs('Trade Log'!U5:U1004,'Trade Log'!G5:G1004,A97),"—"),"")</f>
        <v/>
      </c>
    </row>
    <row r="98" customFormat="false" ht="19.5" hidden="false" customHeight="true" outlineLevel="0" collapsed="false">
      <c r="A98" s="133"/>
      <c r="B98" s="134" t="str">
        <f aca="false">IF(A98&lt;&gt;"",COUNTIF('Trade Log'!G5:G1004,A98),"")</f>
        <v/>
      </c>
      <c r="C98" s="135" t="str">
        <f aca="false">IF(A98&lt;&gt;"",IFERROR(SUMIF('Trade Log'!G5:G1004,A98,'Trade Log'!T5:T1004),"—"),"")</f>
        <v/>
      </c>
      <c r="D98" s="136" t="str">
        <f aca="false">IF(A98&lt;&gt;"",IFERROR(COUNTIFS('Trade Log'!G5:G1004,A98,'Trade Log'!T5:T1004,"&gt;0")/COUNTIF('Trade Log'!G5:G1004,A98),"—"),"")</f>
        <v/>
      </c>
      <c r="E98" s="137" t="str">
        <f aca="false">IF(A98&lt;&gt;"",IFERROR(AVERAGEIF('Trade Log'!G5:G1004,A98,'Trade Log'!T5:T1004),"—"),"")</f>
        <v/>
      </c>
      <c r="F98" s="136" t="str">
        <f aca="false">IF(A98&lt;&gt;"",IFERROR(AVERAGEIF('Trade Log'!G5:G1004,A98,'Trade Log'!U5:U1004),"—"),"")</f>
        <v/>
      </c>
      <c r="G98" s="138" t="str">
        <f aca="false">IF(A98&lt;&gt;"",IFERROR(maxifs('Trade Log'!T5:T1004,'Trade Log'!G5:G1004,A98),"—"),"")</f>
        <v/>
      </c>
      <c r="H98" s="139" t="str">
        <f aca="false">IF(A98&lt;&gt;"",IFERROR(minifs('Trade Log'!T5:T1004,'Trade Log'!G5:G1004,A98),"—"),"")</f>
        <v/>
      </c>
      <c r="I98" s="136" t="str">
        <f aca="false">IF(A98&lt;&gt;"",IFERROR(AVERAGEIF('Trade Log'!G5:G1004,A98,'Trade Log'!W5:W1004),"—"),"")</f>
        <v/>
      </c>
      <c r="J98" s="136" t="str">
        <f aca="false">IF(A98&lt;&gt;"",IFERROR(maxifs('Trade Log'!U5:U1004,'Trade Log'!G5:G1004,A98),"—"),"")</f>
        <v/>
      </c>
    </row>
    <row r="99" customFormat="false" ht="19.5" hidden="false" customHeight="true" outlineLevel="0" collapsed="false">
      <c r="A99" s="140"/>
      <c r="B99" s="141" t="str">
        <f aca="false">IF(A99&lt;&gt;"",COUNTIF('Trade Log'!G5:G1004,A99),"")</f>
        <v/>
      </c>
      <c r="C99" s="142" t="str">
        <f aca="false">IF(A99&lt;&gt;"",IFERROR(SUMIF('Trade Log'!G5:G1004,A99,'Trade Log'!T5:T1004),"—"),"")</f>
        <v/>
      </c>
      <c r="D99" s="143" t="str">
        <f aca="false">IF(A99&lt;&gt;"",IFERROR(COUNTIFS('Trade Log'!G5:G1004,A99,'Trade Log'!T5:T1004,"&gt;0")/COUNTIF('Trade Log'!G5:G1004,A99),"—"),"")</f>
        <v/>
      </c>
      <c r="E99" s="144" t="str">
        <f aca="false">IF(A99&lt;&gt;"",IFERROR(AVERAGEIF('Trade Log'!G5:G1004,A99,'Trade Log'!T5:T1004),"—"),"")</f>
        <v/>
      </c>
      <c r="F99" s="143" t="str">
        <f aca="false">IF(A99&lt;&gt;"",IFERROR(AVERAGEIF('Trade Log'!G5:G1004,A99,'Trade Log'!U5:U1004),"—"),"")</f>
        <v/>
      </c>
      <c r="G99" s="145" t="str">
        <f aca="false">IF(A99&lt;&gt;"",IFERROR(maxifs('Trade Log'!T5:T1004,'Trade Log'!G5:G1004,A99),"—"),"")</f>
        <v/>
      </c>
      <c r="H99" s="146" t="str">
        <f aca="false">IF(A99&lt;&gt;"",IFERROR(minifs('Trade Log'!T5:T1004,'Trade Log'!G5:G1004,A99),"—"),"")</f>
        <v/>
      </c>
      <c r="I99" s="143" t="str">
        <f aca="false">IF(A99&lt;&gt;"",IFERROR(AVERAGEIF('Trade Log'!G5:G1004,A99,'Trade Log'!W5:W1004),"—"),"")</f>
        <v/>
      </c>
      <c r="J99" s="143" t="str">
        <f aca="false">IF(A99&lt;&gt;"",IFERROR(maxifs('Trade Log'!U5:U1004,'Trade Log'!G5:G1004,A99),"—"),"")</f>
        <v/>
      </c>
    </row>
    <row r="100" customFormat="false" ht="19.5" hidden="false" customHeight="true" outlineLevel="0" collapsed="false">
      <c r="A100" s="133"/>
      <c r="B100" s="134" t="str">
        <f aca="false">IF(A100&lt;&gt;"",COUNTIF('Trade Log'!G5:G1004,A100),"")</f>
        <v/>
      </c>
      <c r="C100" s="135" t="str">
        <f aca="false">IF(A100&lt;&gt;"",IFERROR(SUMIF('Trade Log'!G5:G1004,A100,'Trade Log'!T5:T1004),"—"),"")</f>
        <v/>
      </c>
      <c r="D100" s="136" t="str">
        <f aca="false">IF(A100&lt;&gt;"",IFERROR(COUNTIFS('Trade Log'!G5:G1004,A100,'Trade Log'!T5:T1004,"&gt;0")/COUNTIF('Trade Log'!G5:G1004,A100),"—"),"")</f>
        <v/>
      </c>
      <c r="E100" s="137" t="str">
        <f aca="false">IF(A100&lt;&gt;"",IFERROR(AVERAGEIF('Trade Log'!G5:G1004,A100,'Trade Log'!T5:T1004),"—"),"")</f>
        <v/>
      </c>
      <c r="F100" s="136" t="str">
        <f aca="false">IF(A100&lt;&gt;"",IFERROR(AVERAGEIF('Trade Log'!G5:G1004,A100,'Trade Log'!U5:U1004),"—"),"")</f>
        <v/>
      </c>
      <c r="G100" s="138" t="str">
        <f aca="false">IF(A100&lt;&gt;"",IFERROR(maxifs('Trade Log'!T5:T1004,'Trade Log'!G5:G1004,A100),"—"),"")</f>
        <v/>
      </c>
      <c r="H100" s="139" t="str">
        <f aca="false">IF(A100&lt;&gt;"",IFERROR(minifs('Trade Log'!T5:T1004,'Trade Log'!G5:G1004,A100),"—"),"")</f>
        <v/>
      </c>
      <c r="I100" s="136" t="str">
        <f aca="false">IF(A100&lt;&gt;"",IFERROR(AVERAGEIF('Trade Log'!G5:G1004,A100,'Trade Log'!W5:W1004),"—"),"")</f>
        <v/>
      </c>
      <c r="J100" s="136" t="str">
        <f aca="false">IF(A100&lt;&gt;"",IFERROR(maxifs('Trade Log'!U5:U1004,'Trade Log'!G5:G1004,A100),"—"),"")</f>
        <v/>
      </c>
    </row>
    <row r="101" customFormat="false" ht="19.5" hidden="false" customHeight="true" outlineLevel="0" collapsed="false">
      <c r="A101" s="140"/>
      <c r="B101" s="141" t="str">
        <f aca="false">IF(A101&lt;&gt;"",COUNTIF('Trade Log'!G5:G1004,A101),"")</f>
        <v/>
      </c>
      <c r="C101" s="142" t="str">
        <f aca="false">IF(A101&lt;&gt;"",IFERROR(SUMIF('Trade Log'!G5:G1004,A101,'Trade Log'!T5:T1004),"—"),"")</f>
        <v/>
      </c>
      <c r="D101" s="143" t="str">
        <f aca="false">IF(A101&lt;&gt;"",IFERROR(COUNTIFS('Trade Log'!G5:G1004,A101,'Trade Log'!T5:T1004,"&gt;0")/COUNTIF('Trade Log'!G5:G1004,A101),"—"),"")</f>
        <v/>
      </c>
      <c r="E101" s="144" t="str">
        <f aca="false">IF(A101&lt;&gt;"",IFERROR(AVERAGEIF('Trade Log'!G5:G1004,A101,'Trade Log'!T5:T1004),"—"),"")</f>
        <v/>
      </c>
      <c r="F101" s="143" t="str">
        <f aca="false">IF(A101&lt;&gt;"",IFERROR(AVERAGEIF('Trade Log'!G5:G1004,A101,'Trade Log'!U5:U1004),"—"),"")</f>
        <v/>
      </c>
      <c r="G101" s="145" t="str">
        <f aca="false">IF(A101&lt;&gt;"",IFERROR(maxifs('Trade Log'!T5:T1004,'Trade Log'!G5:G1004,A101),"—"),"")</f>
        <v/>
      </c>
      <c r="H101" s="146" t="str">
        <f aca="false">IF(A101&lt;&gt;"",IFERROR(minifs('Trade Log'!T5:T1004,'Trade Log'!G5:G1004,A101),"—"),"")</f>
        <v/>
      </c>
      <c r="I101" s="143" t="str">
        <f aca="false">IF(A101&lt;&gt;"",IFERROR(AVERAGEIF('Trade Log'!G5:G1004,A101,'Trade Log'!W5:W1004),"—"),"")</f>
        <v/>
      </c>
      <c r="J101" s="143" t="str">
        <f aca="false">IF(A101&lt;&gt;"",IFERROR(maxifs('Trade Log'!U5:U1004,'Trade Log'!G5:G1004,A101),"—"),"")</f>
        <v/>
      </c>
    </row>
    <row r="102" customFormat="false" ht="19.5" hidden="false" customHeight="true" outlineLevel="0" collapsed="false">
      <c r="A102" s="133"/>
      <c r="B102" s="134" t="str">
        <f aca="false">IF(A102&lt;&gt;"",COUNTIF('Trade Log'!G5:G1004,A102),"")</f>
        <v/>
      </c>
      <c r="C102" s="135" t="str">
        <f aca="false">IF(A102&lt;&gt;"",IFERROR(SUMIF('Trade Log'!G5:G1004,A102,'Trade Log'!T5:T1004),"—"),"")</f>
        <v/>
      </c>
      <c r="D102" s="136" t="str">
        <f aca="false">IF(A102&lt;&gt;"",IFERROR(COUNTIFS('Trade Log'!G5:G1004,A102,'Trade Log'!T5:T1004,"&gt;0")/COUNTIF('Trade Log'!G5:G1004,A102),"—"),"")</f>
        <v/>
      </c>
      <c r="E102" s="137" t="str">
        <f aca="false">IF(A102&lt;&gt;"",IFERROR(AVERAGEIF('Trade Log'!G5:G1004,A102,'Trade Log'!T5:T1004),"—"),"")</f>
        <v/>
      </c>
      <c r="F102" s="136" t="str">
        <f aca="false">IF(A102&lt;&gt;"",IFERROR(AVERAGEIF('Trade Log'!G5:G1004,A102,'Trade Log'!U5:U1004),"—"),"")</f>
        <v/>
      </c>
      <c r="G102" s="138" t="str">
        <f aca="false">IF(A102&lt;&gt;"",IFERROR(maxifs('Trade Log'!T5:T1004,'Trade Log'!G5:G1004,A102),"—"),"")</f>
        <v/>
      </c>
      <c r="H102" s="139" t="str">
        <f aca="false">IF(A102&lt;&gt;"",IFERROR(minifs('Trade Log'!T5:T1004,'Trade Log'!G5:G1004,A102),"—"),"")</f>
        <v/>
      </c>
      <c r="I102" s="136" t="str">
        <f aca="false">IF(A102&lt;&gt;"",IFERROR(AVERAGEIF('Trade Log'!G5:G1004,A102,'Trade Log'!W5:W1004),"—"),"")</f>
        <v/>
      </c>
      <c r="J102" s="136" t="str">
        <f aca="false">IF(A102&lt;&gt;"",IFERROR(maxifs('Trade Log'!U5:U1004,'Trade Log'!G5:G1004,A102),"—"),"")</f>
        <v/>
      </c>
    </row>
    <row r="103" customFormat="false" ht="19.5" hidden="false" customHeight="true" outlineLevel="0" collapsed="false">
      <c r="A103" s="140"/>
      <c r="B103" s="141" t="str">
        <f aca="false">IF(A103&lt;&gt;"",COUNTIF('Trade Log'!G5:G1004,A103),"")</f>
        <v/>
      </c>
      <c r="C103" s="142" t="str">
        <f aca="false">IF(A103&lt;&gt;"",IFERROR(SUMIF('Trade Log'!G5:G1004,A103,'Trade Log'!T5:T1004),"—"),"")</f>
        <v/>
      </c>
      <c r="D103" s="143" t="str">
        <f aca="false">IF(A103&lt;&gt;"",IFERROR(COUNTIFS('Trade Log'!G5:G1004,A103,'Trade Log'!T5:T1004,"&gt;0")/COUNTIF('Trade Log'!G5:G1004,A103),"—"),"")</f>
        <v/>
      </c>
      <c r="E103" s="144" t="str">
        <f aca="false">IF(A103&lt;&gt;"",IFERROR(AVERAGEIF('Trade Log'!G5:G1004,A103,'Trade Log'!T5:T1004),"—"),"")</f>
        <v/>
      </c>
      <c r="F103" s="143" t="str">
        <f aca="false">IF(A103&lt;&gt;"",IFERROR(AVERAGEIF('Trade Log'!G5:G1004,A103,'Trade Log'!U5:U1004),"—"),"")</f>
        <v/>
      </c>
      <c r="G103" s="145" t="str">
        <f aca="false">IF(A103&lt;&gt;"",IFERROR(maxifs('Trade Log'!T5:T1004,'Trade Log'!G5:G1004,A103),"—"),"")</f>
        <v/>
      </c>
      <c r="H103" s="146" t="str">
        <f aca="false">IF(A103&lt;&gt;"",IFERROR(minifs('Trade Log'!T5:T1004,'Trade Log'!G5:G1004,A103),"—"),"")</f>
        <v/>
      </c>
      <c r="I103" s="143" t="str">
        <f aca="false">IF(A103&lt;&gt;"",IFERROR(AVERAGEIF('Trade Log'!G5:G1004,A103,'Trade Log'!W5:W1004),"—"),"")</f>
        <v/>
      </c>
      <c r="J103" s="143" t="str">
        <f aca="false">IF(A103&lt;&gt;"",IFERROR(maxifs('Trade Log'!U5:U1004,'Trade Log'!G5:G1004,A103),"—"),"")</f>
        <v/>
      </c>
    </row>
    <row r="104" customFormat="false" ht="19.5" hidden="false" customHeight="true" outlineLevel="0" collapsed="false">
      <c r="A104" s="133"/>
      <c r="B104" s="134" t="str">
        <f aca="false">IF(A104&lt;&gt;"",COUNTIF('Trade Log'!G5:G1004,A104),"")</f>
        <v/>
      </c>
      <c r="C104" s="135" t="str">
        <f aca="false">IF(A104&lt;&gt;"",IFERROR(SUMIF('Trade Log'!G5:G1004,A104,'Trade Log'!T5:T1004),"—"),"")</f>
        <v/>
      </c>
      <c r="D104" s="136" t="str">
        <f aca="false">IF(A104&lt;&gt;"",IFERROR(COUNTIFS('Trade Log'!G5:G1004,A104,'Trade Log'!T5:T1004,"&gt;0")/COUNTIF('Trade Log'!G5:G1004,A104),"—"),"")</f>
        <v/>
      </c>
      <c r="E104" s="137" t="str">
        <f aca="false">IF(A104&lt;&gt;"",IFERROR(AVERAGEIF('Trade Log'!G5:G1004,A104,'Trade Log'!T5:T1004),"—"),"")</f>
        <v/>
      </c>
      <c r="F104" s="136" t="str">
        <f aca="false">IF(A104&lt;&gt;"",IFERROR(AVERAGEIF('Trade Log'!G5:G1004,A104,'Trade Log'!U5:U1004),"—"),"")</f>
        <v/>
      </c>
      <c r="G104" s="138" t="str">
        <f aca="false">IF(A104&lt;&gt;"",IFERROR(maxifs('Trade Log'!T5:T1004,'Trade Log'!G5:G1004,A104),"—"),"")</f>
        <v/>
      </c>
      <c r="H104" s="139" t="str">
        <f aca="false">IF(A104&lt;&gt;"",IFERROR(minifs('Trade Log'!T5:T1004,'Trade Log'!G5:G1004,A104),"—"),"")</f>
        <v/>
      </c>
      <c r="I104" s="136" t="str">
        <f aca="false">IF(A104&lt;&gt;"",IFERROR(AVERAGEIF('Trade Log'!G5:G1004,A104,'Trade Log'!W5:W1004),"—"),"")</f>
        <v/>
      </c>
      <c r="J104" s="136" t="str">
        <f aca="false">IF(A104&lt;&gt;"",IFERROR(maxifs('Trade Log'!U5:U1004,'Trade Log'!G5:G1004,A104),"—"),"")</f>
        <v/>
      </c>
    </row>
    <row r="105" customFormat="false" ht="19.5" hidden="false" customHeight="true" outlineLevel="0" collapsed="false">
      <c r="A105" s="140"/>
      <c r="B105" s="141" t="str">
        <f aca="false">IF(A105&lt;&gt;"",COUNTIF('Trade Log'!G5:G1004,A105),"")</f>
        <v/>
      </c>
      <c r="C105" s="142" t="str">
        <f aca="false">IF(A105&lt;&gt;"",IFERROR(SUMIF('Trade Log'!G5:G1004,A105,'Trade Log'!T5:T1004),"—"),"")</f>
        <v/>
      </c>
      <c r="D105" s="143" t="str">
        <f aca="false">IF(A105&lt;&gt;"",IFERROR(COUNTIFS('Trade Log'!G5:G1004,A105,'Trade Log'!T5:T1004,"&gt;0")/COUNTIF('Trade Log'!G5:G1004,A105),"—"),"")</f>
        <v/>
      </c>
      <c r="E105" s="144" t="str">
        <f aca="false">IF(A105&lt;&gt;"",IFERROR(AVERAGEIF('Trade Log'!G5:G1004,A105,'Trade Log'!T5:T1004),"—"),"")</f>
        <v/>
      </c>
      <c r="F105" s="143" t="str">
        <f aca="false">IF(A105&lt;&gt;"",IFERROR(AVERAGEIF('Trade Log'!G5:G1004,A105,'Trade Log'!U5:U1004),"—"),"")</f>
        <v/>
      </c>
      <c r="G105" s="145" t="str">
        <f aca="false">IF(A105&lt;&gt;"",IFERROR(maxifs('Trade Log'!T5:T1004,'Trade Log'!G5:G1004,A105),"—"),"")</f>
        <v/>
      </c>
      <c r="H105" s="146" t="str">
        <f aca="false">IF(A105&lt;&gt;"",IFERROR(minifs('Trade Log'!T5:T1004,'Trade Log'!G5:G1004,A105),"—"),"")</f>
        <v/>
      </c>
      <c r="I105" s="143" t="str">
        <f aca="false">IF(A105&lt;&gt;"",IFERROR(AVERAGEIF('Trade Log'!G5:G1004,A105,'Trade Log'!W5:W1004),"—"),"")</f>
        <v/>
      </c>
      <c r="J105" s="143" t="str">
        <f aca="false">IF(A105&lt;&gt;"",IFERROR(maxifs('Trade Log'!U5:U1004,'Trade Log'!G5:G1004,A105),"—"),"")</f>
        <v/>
      </c>
    </row>
    <row r="106" customFormat="false" ht="19.5" hidden="false" customHeight="true" outlineLevel="0" collapsed="false">
      <c r="A106" s="133"/>
      <c r="B106" s="134" t="str">
        <f aca="false">IF(A106&lt;&gt;"",COUNTIF('Trade Log'!G5:G1004,A106),"")</f>
        <v/>
      </c>
      <c r="C106" s="135" t="str">
        <f aca="false">IF(A106&lt;&gt;"",IFERROR(SUMIF('Trade Log'!G5:G1004,A106,'Trade Log'!T5:T1004),"—"),"")</f>
        <v/>
      </c>
      <c r="D106" s="136" t="str">
        <f aca="false">IF(A106&lt;&gt;"",IFERROR(COUNTIFS('Trade Log'!G5:G1004,A106,'Trade Log'!T5:T1004,"&gt;0")/COUNTIF('Trade Log'!G5:G1004,A106),"—"),"")</f>
        <v/>
      </c>
      <c r="E106" s="137" t="str">
        <f aca="false">IF(A106&lt;&gt;"",IFERROR(AVERAGEIF('Trade Log'!G5:G1004,A106,'Trade Log'!T5:T1004),"—"),"")</f>
        <v/>
      </c>
      <c r="F106" s="136" t="str">
        <f aca="false">IF(A106&lt;&gt;"",IFERROR(AVERAGEIF('Trade Log'!G5:G1004,A106,'Trade Log'!U5:U1004),"—"),"")</f>
        <v/>
      </c>
      <c r="G106" s="138" t="str">
        <f aca="false">IF(A106&lt;&gt;"",IFERROR(maxifs('Trade Log'!T5:T1004,'Trade Log'!G5:G1004,A106),"—"),"")</f>
        <v/>
      </c>
      <c r="H106" s="139" t="str">
        <f aca="false">IF(A106&lt;&gt;"",IFERROR(minifs('Trade Log'!T5:T1004,'Trade Log'!G5:G1004,A106),"—"),"")</f>
        <v/>
      </c>
      <c r="I106" s="136" t="str">
        <f aca="false">IF(A106&lt;&gt;"",IFERROR(AVERAGEIF('Trade Log'!G5:G1004,A106,'Trade Log'!W5:W1004),"—"),"")</f>
        <v/>
      </c>
      <c r="J106" s="136" t="str">
        <f aca="false">IF(A106&lt;&gt;"",IFERROR(maxifs('Trade Log'!U5:U1004,'Trade Log'!G5:G1004,A106),"—"),"")</f>
        <v/>
      </c>
    </row>
    <row r="107" customFormat="false" ht="19.5" hidden="false" customHeight="true" outlineLevel="0" collapsed="false">
      <c r="A107" s="140"/>
      <c r="B107" s="141" t="str">
        <f aca="false">IF(A107&lt;&gt;"",COUNTIF('Trade Log'!G5:G1004,A107),"")</f>
        <v/>
      </c>
      <c r="C107" s="142" t="str">
        <f aca="false">IF(A107&lt;&gt;"",IFERROR(SUMIF('Trade Log'!G5:G1004,A107,'Trade Log'!T5:T1004),"—"),"")</f>
        <v/>
      </c>
      <c r="D107" s="143" t="str">
        <f aca="false">IF(A107&lt;&gt;"",IFERROR(COUNTIFS('Trade Log'!G5:G1004,A107,'Trade Log'!T5:T1004,"&gt;0")/COUNTIF('Trade Log'!G5:G1004,A107),"—"),"")</f>
        <v/>
      </c>
      <c r="E107" s="144" t="str">
        <f aca="false">IF(A107&lt;&gt;"",IFERROR(AVERAGEIF('Trade Log'!G5:G1004,A107,'Trade Log'!T5:T1004),"—"),"")</f>
        <v/>
      </c>
      <c r="F107" s="143" t="str">
        <f aca="false">IF(A107&lt;&gt;"",IFERROR(AVERAGEIF('Trade Log'!G5:G1004,A107,'Trade Log'!U5:U1004),"—"),"")</f>
        <v/>
      </c>
      <c r="G107" s="145" t="str">
        <f aca="false">IF(A107&lt;&gt;"",IFERROR(maxifs('Trade Log'!T5:T1004,'Trade Log'!G5:G1004,A107),"—"),"")</f>
        <v/>
      </c>
      <c r="H107" s="146" t="str">
        <f aca="false">IF(A107&lt;&gt;"",IFERROR(minifs('Trade Log'!T5:T1004,'Trade Log'!G5:G1004,A107),"—"),"")</f>
        <v/>
      </c>
      <c r="I107" s="143" t="str">
        <f aca="false">IF(A107&lt;&gt;"",IFERROR(AVERAGEIF('Trade Log'!G5:G1004,A107,'Trade Log'!W5:W1004),"—"),"")</f>
        <v/>
      </c>
      <c r="J107" s="143" t="str">
        <f aca="false">IF(A107&lt;&gt;"",IFERROR(maxifs('Trade Log'!U5:U1004,'Trade Log'!G5:G1004,A107),"—"),"")</f>
        <v/>
      </c>
    </row>
    <row r="108" customFormat="false" ht="19.5" hidden="false" customHeight="true" outlineLevel="0" collapsed="false">
      <c r="A108" s="133"/>
      <c r="B108" s="134" t="str">
        <f aca="false">IF(A108&lt;&gt;"",COUNTIF('Trade Log'!G5:G1004,A108),"")</f>
        <v/>
      </c>
      <c r="C108" s="135" t="str">
        <f aca="false">IF(A108&lt;&gt;"",IFERROR(SUMIF('Trade Log'!G5:G1004,A108,'Trade Log'!T5:T1004),"—"),"")</f>
        <v/>
      </c>
      <c r="D108" s="136" t="str">
        <f aca="false">IF(A108&lt;&gt;"",IFERROR(COUNTIFS('Trade Log'!G5:G1004,A108,'Trade Log'!T5:T1004,"&gt;0")/COUNTIF('Trade Log'!G5:G1004,A108),"—"),"")</f>
        <v/>
      </c>
      <c r="E108" s="137" t="str">
        <f aca="false">IF(A108&lt;&gt;"",IFERROR(AVERAGEIF('Trade Log'!G5:G1004,A108,'Trade Log'!T5:T1004),"—"),"")</f>
        <v/>
      </c>
      <c r="F108" s="136" t="str">
        <f aca="false">IF(A108&lt;&gt;"",IFERROR(AVERAGEIF('Trade Log'!G5:G1004,A108,'Trade Log'!U5:U1004),"—"),"")</f>
        <v/>
      </c>
      <c r="G108" s="138" t="str">
        <f aca="false">IF(A108&lt;&gt;"",IFERROR(maxifs('Trade Log'!T5:T1004,'Trade Log'!G5:G1004,A108),"—"),"")</f>
        <v/>
      </c>
      <c r="H108" s="139" t="str">
        <f aca="false">IF(A108&lt;&gt;"",IFERROR(minifs('Trade Log'!T5:T1004,'Trade Log'!G5:G1004,A108),"—"),"")</f>
        <v/>
      </c>
      <c r="I108" s="136" t="str">
        <f aca="false">IF(A108&lt;&gt;"",IFERROR(AVERAGEIF('Trade Log'!G5:G1004,A108,'Trade Log'!W5:W1004),"—"),"")</f>
        <v/>
      </c>
      <c r="J108" s="136" t="str">
        <f aca="false">IF(A108&lt;&gt;"",IFERROR(maxifs('Trade Log'!U5:U1004,'Trade Log'!G5:G1004,A108),"—"),"")</f>
        <v/>
      </c>
    </row>
    <row r="109" customFormat="false" ht="19.5" hidden="false" customHeight="true" outlineLevel="0" collapsed="false">
      <c r="A109" s="140"/>
      <c r="B109" s="141" t="str">
        <f aca="false">IF(A109&lt;&gt;"",COUNTIF('Trade Log'!G5:G1004,A109),"")</f>
        <v/>
      </c>
      <c r="C109" s="142" t="str">
        <f aca="false">IF(A109&lt;&gt;"",IFERROR(SUMIF('Trade Log'!G5:G1004,A109,'Trade Log'!T5:T1004),"—"),"")</f>
        <v/>
      </c>
      <c r="D109" s="143" t="str">
        <f aca="false">IF(A109&lt;&gt;"",IFERROR(COUNTIFS('Trade Log'!G5:G1004,A109,'Trade Log'!T5:T1004,"&gt;0")/COUNTIF('Trade Log'!G5:G1004,A109),"—"),"")</f>
        <v/>
      </c>
      <c r="E109" s="144" t="str">
        <f aca="false">IF(A109&lt;&gt;"",IFERROR(AVERAGEIF('Trade Log'!G5:G1004,A109,'Trade Log'!T5:T1004),"—"),"")</f>
        <v/>
      </c>
      <c r="F109" s="143" t="str">
        <f aca="false">IF(A109&lt;&gt;"",IFERROR(AVERAGEIF('Trade Log'!G5:G1004,A109,'Trade Log'!U5:U1004),"—"),"")</f>
        <v/>
      </c>
      <c r="G109" s="145" t="str">
        <f aca="false">IF(A109&lt;&gt;"",IFERROR(maxifs('Trade Log'!T5:T1004,'Trade Log'!G5:G1004,A109),"—"),"")</f>
        <v/>
      </c>
      <c r="H109" s="146" t="str">
        <f aca="false">IF(A109&lt;&gt;"",IFERROR(minifs('Trade Log'!T5:T1004,'Trade Log'!G5:G1004,A109),"—"),"")</f>
        <v/>
      </c>
      <c r="I109" s="143" t="str">
        <f aca="false">IF(A109&lt;&gt;"",IFERROR(AVERAGEIF('Trade Log'!G5:G1004,A109,'Trade Log'!W5:W1004),"—"),"")</f>
        <v/>
      </c>
      <c r="J109" s="143" t="str">
        <f aca="false">IF(A109&lt;&gt;"",IFERROR(maxifs('Trade Log'!U5:U1004,'Trade Log'!G5:G1004,A109),"—"),"")</f>
        <v/>
      </c>
    </row>
    <row r="110" customFormat="false" ht="19.5" hidden="false" customHeight="true" outlineLevel="0" collapsed="false">
      <c r="A110" s="133"/>
      <c r="B110" s="134" t="str">
        <f aca="false">IF(A110&lt;&gt;"",COUNTIF('Trade Log'!G5:G1004,A110),"")</f>
        <v/>
      </c>
      <c r="C110" s="135" t="str">
        <f aca="false">IF(A110&lt;&gt;"",IFERROR(SUMIF('Trade Log'!G5:G1004,A110,'Trade Log'!T5:T1004),"—"),"")</f>
        <v/>
      </c>
      <c r="D110" s="136" t="str">
        <f aca="false">IF(A110&lt;&gt;"",IFERROR(COUNTIFS('Trade Log'!G5:G1004,A110,'Trade Log'!T5:T1004,"&gt;0")/COUNTIF('Trade Log'!G5:G1004,A110),"—"),"")</f>
        <v/>
      </c>
      <c r="E110" s="137" t="str">
        <f aca="false">IF(A110&lt;&gt;"",IFERROR(AVERAGEIF('Trade Log'!G5:G1004,A110,'Trade Log'!T5:T1004),"—"),"")</f>
        <v/>
      </c>
      <c r="F110" s="136" t="str">
        <f aca="false">IF(A110&lt;&gt;"",IFERROR(AVERAGEIF('Trade Log'!G5:G1004,A110,'Trade Log'!U5:U1004),"—"),"")</f>
        <v/>
      </c>
      <c r="G110" s="138" t="str">
        <f aca="false">IF(A110&lt;&gt;"",IFERROR(maxifs('Trade Log'!T5:T1004,'Trade Log'!G5:G1004,A110),"—"),"")</f>
        <v/>
      </c>
      <c r="H110" s="139" t="str">
        <f aca="false">IF(A110&lt;&gt;"",IFERROR(minifs('Trade Log'!T5:T1004,'Trade Log'!G5:G1004,A110),"—"),"")</f>
        <v/>
      </c>
      <c r="I110" s="136" t="str">
        <f aca="false">IF(A110&lt;&gt;"",IFERROR(AVERAGEIF('Trade Log'!G5:G1004,A110,'Trade Log'!W5:W1004),"—"),"")</f>
        <v/>
      </c>
      <c r="J110" s="136" t="str">
        <f aca="false">IF(A110&lt;&gt;"",IFERROR(maxifs('Trade Log'!U5:U1004,'Trade Log'!G5:G1004,A110),"—"),"")</f>
        <v/>
      </c>
    </row>
    <row r="111" customFormat="false" ht="19.5" hidden="false" customHeight="true" outlineLevel="0" collapsed="false">
      <c r="A111" s="140"/>
      <c r="B111" s="141" t="str">
        <f aca="false">IF(A111&lt;&gt;"",COUNTIF('Trade Log'!G5:G1004,A111),"")</f>
        <v/>
      </c>
      <c r="C111" s="142" t="str">
        <f aca="false">IF(A111&lt;&gt;"",IFERROR(SUMIF('Trade Log'!G5:G1004,A111,'Trade Log'!T5:T1004),"—"),"")</f>
        <v/>
      </c>
      <c r="D111" s="143" t="str">
        <f aca="false">IF(A111&lt;&gt;"",IFERROR(COUNTIFS('Trade Log'!G5:G1004,A111,'Trade Log'!T5:T1004,"&gt;0")/COUNTIF('Trade Log'!G5:G1004,A111),"—"),"")</f>
        <v/>
      </c>
      <c r="E111" s="144" t="str">
        <f aca="false">IF(A111&lt;&gt;"",IFERROR(AVERAGEIF('Trade Log'!G5:G1004,A111,'Trade Log'!T5:T1004),"—"),"")</f>
        <v/>
      </c>
      <c r="F111" s="143" t="str">
        <f aca="false">IF(A111&lt;&gt;"",IFERROR(AVERAGEIF('Trade Log'!G5:G1004,A111,'Trade Log'!U5:U1004),"—"),"")</f>
        <v/>
      </c>
      <c r="G111" s="145" t="str">
        <f aca="false">IF(A111&lt;&gt;"",IFERROR(maxifs('Trade Log'!T5:T1004,'Trade Log'!G5:G1004,A111),"—"),"")</f>
        <v/>
      </c>
      <c r="H111" s="146" t="str">
        <f aca="false">IF(A111&lt;&gt;"",IFERROR(minifs('Trade Log'!T5:T1004,'Trade Log'!G5:G1004,A111),"—"),"")</f>
        <v/>
      </c>
      <c r="I111" s="143" t="str">
        <f aca="false">IF(A111&lt;&gt;"",IFERROR(AVERAGEIF('Trade Log'!G5:G1004,A111,'Trade Log'!W5:W1004),"—"),"")</f>
        <v/>
      </c>
      <c r="J111" s="143" t="str">
        <f aca="false">IF(A111&lt;&gt;"",IFERROR(maxifs('Trade Log'!U5:U1004,'Trade Log'!G5:G1004,A111),"—"),"")</f>
        <v/>
      </c>
    </row>
    <row r="112" customFormat="false" ht="19.5" hidden="false" customHeight="true" outlineLevel="0" collapsed="false">
      <c r="A112" s="133"/>
      <c r="B112" s="134" t="str">
        <f aca="false">IF(A112&lt;&gt;"",COUNTIF('Trade Log'!G5:G1004,A112),"")</f>
        <v/>
      </c>
      <c r="C112" s="135" t="str">
        <f aca="false">IF(A112&lt;&gt;"",IFERROR(SUMIF('Trade Log'!G5:G1004,A112,'Trade Log'!T5:T1004),"—"),"")</f>
        <v/>
      </c>
      <c r="D112" s="136" t="str">
        <f aca="false">IF(A112&lt;&gt;"",IFERROR(COUNTIFS('Trade Log'!G5:G1004,A112,'Trade Log'!T5:T1004,"&gt;0")/COUNTIF('Trade Log'!G5:G1004,A112),"—"),"")</f>
        <v/>
      </c>
      <c r="E112" s="137" t="str">
        <f aca="false">IF(A112&lt;&gt;"",IFERROR(AVERAGEIF('Trade Log'!G5:G1004,A112,'Trade Log'!T5:T1004),"—"),"")</f>
        <v/>
      </c>
      <c r="F112" s="136" t="str">
        <f aca="false">IF(A112&lt;&gt;"",IFERROR(AVERAGEIF('Trade Log'!G5:G1004,A112,'Trade Log'!U5:U1004),"—"),"")</f>
        <v/>
      </c>
      <c r="G112" s="138" t="str">
        <f aca="false">IF(A112&lt;&gt;"",IFERROR(maxifs('Trade Log'!T5:T1004,'Trade Log'!G5:G1004,A112),"—"),"")</f>
        <v/>
      </c>
      <c r="H112" s="139" t="str">
        <f aca="false">IF(A112&lt;&gt;"",IFERROR(minifs('Trade Log'!T5:T1004,'Trade Log'!G5:G1004,A112),"—"),"")</f>
        <v/>
      </c>
      <c r="I112" s="136" t="str">
        <f aca="false">IF(A112&lt;&gt;"",IFERROR(AVERAGEIF('Trade Log'!G5:G1004,A112,'Trade Log'!W5:W1004),"—"),"")</f>
        <v/>
      </c>
      <c r="J112" s="136" t="str">
        <f aca="false">IF(A112&lt;&gt;"",IFERROR(maxifs('Trade Log'!U5:U1004,'Trade Log'!G5:G1004,A112),"—"),"")</f>
        <v/>
      </c>
    </row>
    <row r="113" customFormat="false" ht="19.5" hidden="false" customHeight="true" outlineLevel="0" collapsed="false">
      <c r="A113" s="140"/>
      <c r="B113" s="141" t="str">
        <f aca="false">IF(A113&lt;&gt;"",COUNTIF('Trade Log'!G5:G1004,A113),"")</f>
        <v/>
      </c>
      <c r="C113" s="142" t="str">
        <f aca="false">IF(A113&lt;&gt;"",IFERROR(SUMIF('Trade Log'!G5:G1004,A113,'Trade Log'!T5:T1004),"—"),"")</f>
        <v/>
      </c>
      <c r="D113" s="143" t="str">
        <f aca="false">IF(A113&lt;&gt;"",IFERROR(COUNTIFS('Trade Log'!G5:G1004,A113,'Trade Log'!T5:T1004,"&gt;0")/COUNTIF('Trade Log'!G5:G1004,A113),"—"),"")</f>
        <v/>
      </c>
      <c r="E113" s="144" t="str">
        <f aca="false">IF(A113&lt;&gt;"",IFERROR(AVERAGEIF('Trade Log'!G5:G1004,A113,'Trade Log'!T5:T1004),"—"),"")</f>
        <v/>
      </c>
      <c r="F113" s="143" t="str">
        <f aca="false">IF(A113&lt;&gt;"",IFERROR(AVERAGEIF('Trade Log'!G5:G1004,A113,'Trade Log'!U5:U1004),"—"),"")</f>
        <v/>
      </c>
      <c r="G113" s="145" t="str">
        <f aca="false">IF(A113&lt;&gt;"",IFERROR(maxifs('Trade Log'!T5:T1004,'Trade Log'!G5:G1004,A113),"—"),"")</f>
        <v/>
      </c>
      <c r="H113" s="146" t="str">
        <f aca="false">IF(A113&lt;&gt;"",IFERROR(minifs('Trade Log'!T5:T1004,'Trade Log'!G5:G1004,A113),"—"),"")</f>
        <v/>
      </c>
      <c r="I113" s="143" t="str">
        <f aca="false">IF(A113&lt;&gt;"",IFERROR(AVERAGEIF('Trade Log'!G5:G1004,A113,'Trade Log'!W5:W1004),"—"),"")</f>
        <v/>
      </c>
      <c r="J113" s="143" t="str">
        <f aca="false">IF(A113&lt;&gt;"",IFERROR(maxifs('Trade Log'!U5:U1004,'Trade Log'!G5:G1004,A113),"—"),"")</f>
        <v/>
      </c>
    </row>
    <row r="114" customFormat="false" ht="19.5" hidden="false" customHeight="true" outlineLevel="0" collapsed="false">
      <c r="A114" s="133"/>
      <c r="B114" s="134" t="str">
        <f aca="false">IF(A114&lt;&gt;"",COUNTIF('Trade Log'!G5:G1004,A114),"")</f>
        <v/>
      </c>
      <c r="C114" s="135" t="str">
        <f aca="false">IF(A114&lt;&gt;"",IFERROR(SUMIF('Trade Log'!G5:G1004,A114,'Trade Log'!T5:T1004),"—"),"")</f>
        <v/>
      </c>
      <c r="D114" s="136" t="str">
        <f aca="false">IF(A114&lt;&gt;"",IFERROR(COUNTIFS('Trade Log'!G5:G1004,A114,'Trade Log'!T5:T1004,"&gt;0")/COUNTIF('Trade Log'!G5:G1004,A114),"—"),"")</f>
        <v/>
      </c>
      <c r="E114" s="137" t="str">
        <f aca="false">IF(A114&lt;&gt;"",IFERROR(AVERAGEIF('Trade Log'!G5:G1004,A114,'Trade Log'!T5:T1004),"—"),"")</f>
        <v/>
      </c>
      <c r="F114" s="136" t="str">
        <f aca="false">IF(A114&lt;&gt;"",IFERROR(AVERAGEIF('Trade Log'!G5:G1004,A114,'Trade Log'!U5:U1004),"—"),"")</f>
        <v/>
      </c>
      <c r="G114" s="138" t="str">
        <f aca="false">IF(A114&lt;&gt;"",IFERROR(maxifs('Trade Log'!T5:T1004,'Trade Log'!G5:G1004,A114),"—"),"")</f>
        <v/>
      </c>
      <c r="H114" s="139" t="str">
        <f aca="false">IF(A114&lt;&gt;"",IFERROR(minifs('Trade Log'!T5:T1004,'Trade Log'!G5:G1004,A114),"—"),"")</f>
        <v/>
      </c>
      <c r="I114" s="136" t="str">
        <f aca="false">IF(A114&lt;&gt;"",IFERROR(AVERAGEIF('Trade Log'!G5:G1004,A114,'Trade Log'!W5:W1004),"—"),"")</f>
        <v/>
      </c>
      <c r="J114" s="136" t="str">
        <f aca="false">IF(A114&lt;&gt;"",IFERROR(maxifs('Trade Log'!U5:U1004,'Trade Log'!G5:G1004,A114),"—"),"")</f>
        <v/>
      </c>
    </row>
    <row r="115" customFormat="false" ht="19.5" hidden="false" customHeight="true" outlineLevel="0" collapsed="false">
      <c r="A115" s="140"/>
      <c r="B115" s="141" t="str">
        <f aca="false">IF(A115&lt;&gt;"",COUNTIF('Trade Log'!G5:G1004,A115),"")</f>
        <v/>
      </c>
      <c r="C115" s="142" t="str">
        <f aca="false">IF(A115&lt;&gt;"",IFERROR(SUMIF('Trade Log'!G5:G1004,A115,'Trade Log'!T5:T1004),"—"),"")</f>
        <v/>
      </c>
      <c r="D115" s="143" t="str">
        <f aca="false">IF(A115&lt;&gt;"",IFERROR(COUNTIFS('Trade Log'!G5:G1004,A115,'Trade Log'!T5:T1004,"&gt;0")/COUNTIF('Trade Log'!G5:G1004,A115),"—"),"")</f>
        <v/>
      </c>
      <c r="E115" s="144" t="str">
        <f aca="false">IF(A115&lt;&gt;"",IFERROR(AVERAGEIF('Trade Log'!G5:G1004,A115,'Trade Log'!T5:T1004),"—"),"")</f>
        <v/>
      </c>
      <c r="F115" s="143" t="str">
        <f aca="false">IF(A115&lt;&gt;"",IFERROR(AVERAGEIF('Trade Log'!G5:G1004,A115,'Trade Log'!U5:U1004),"—"),"")</f>
        <v/>
      </c>
      <c r="G115" s="145" t="str">
        <f aca="false">IF(A115&lt;&gt;"",IFERROR(maxifs('Trade Log'!T5:T1004,'Trade Log'!G5:G1004,A115),"—"),"")</f>
        <v/>
      </c>
      <c r="H115" s="146" t="str">
        <f aca="false">IF(A115&lt;&gt;"",IFERROR(minifs('Trade Log'!T5:T1004,'Trade Log'!G5:G1004,A115),"—"),"")</f>
        <v/>
      </c>
      <c r="I115" s="143" t="str">
        <f aca="false">IF(A115&lt;&gt;"",IFERROR(AVERAGEIF('Trade Log'!G5:G1004,A115,'Trade Log'!W5:W1004),"—"),"")</f>
        <v/>
      </c>
      <c r="J115" s="143" t="str">
        <f aca="false">IF(A115&lt;&gt;"",IFERROR(maxifs('Trade Log'!U5:U1004,'Trade Log'!G5:G1004,A115),"—"),"")</f>
        <v/>
      </c>
    </row>
    <row r="116" customFormat="false" ht="19.5" hidden="false" customHeight="true" outlineLevel="0" collapsed="false">
      <c r="A116" s="133"/>
      <c r="B116" s="134" t="str">
        <f aca="false">IF(A116&lt;&gt;"",COUNTIF('Trade Log'!G5:G1004,A116),"")</f>
        <v/>
      </c>
      <c r="C116" s="135" t="str">
        <f aca="false">IF(A116&lt;&gt;"",IFERROR(SUMIF('Trade Log'!G5:G1004,A116,'Trade Log'!T5:T1004),"—"),"")</f>
        <v/>
      </c>
      <c r="D116" s="136" t="str">
        <f aca="false">IF(A116&lt;&gt;"",IFERROR(COUNTIFS('Trade Log'!G5:G1004,A116,'Trade Log'!T5:T1004,"&gt;0")/COUNTIF('Trade Log'!G5:G1004,A116),"—"),"")</f>
        <v/>
      </c>
      <c r="E116" s="137" t="str">
        <f aca="false">IF(A116&lt;&gt;"",IFERROR(AVERAGEIF('Trade Log'!G5:G1004,A116,'Trade Log'!T5:T1004),"—"),"")</f>
        <v/>
      </c>
      <c r="F116" s="136" t="str">
        <f aca="false">IF(A116&lt;&gt;"",IFERROR(AVERAGEIF('Trade Log'!G5:G1004,A116,'Trade Log'!U5:U1004),"—"),"")</f>
        <v/>
      </c>
      <c r="G116" s="138" t="str">
        <f aca="false">IF(A116&lt;&gt;"",IFERROR(maxifs('Trade Log'!T5:T1004,'Trade Log'!G5:G1004,A116),"—"),"")</f>
        <v/>
      </c>
      <c r="H116" s="139" t="str">
        <f aca="false">IF(A116&lt;&gt;"",IFERROR(minifs('Trade Log'!T5:T1004,'Trade Log'!G5:G1004,A116),"—"),"")</f>
        <v/>
      </c>
      <c r="I116" s="136" t="str">
        <f aca="false">IF(A116&lt;&gt;"",IFERROR(AVERAGEIF('Trade Log'!G5:G1004,A116,'Trade Log'!W5:W1004),"—"),"")</f>
        <v/>
      </c>
      <c r="J116" s="136" t="str">
        <f aca="false">IF(A116&lt;&gt;"",IFERROR(maxifs('Trade Log'!U5:U1004,'Trade Log'!G5:G1004,A116),"—"),"")</f>
        <v/>
      </c>
    </row>
    <row r="117" customFormat="false" ht="19.5" hidden="false" customHeight="true" outlineLevel="0" collapsed="false">
      <c r="A117" s="140"/>
      <c r="B117" s="141" t="str">
        <f aca="false">IF(A117&lt;&gt;"",COUNTIF('Trade Log'!G5:G1004,A117),"")</f>
        <v/>
      </c>
      <c r="C117" s="142" t="str">
        <f aca="false">IF(A117&lt;&gt;"",IFERROR(SUMIF('Trade Log'!G5:G1004,A117,'Trade Log'!T5:T1004),"—"),"")</f>
        <v/>
      </c>
      <c r="D117" s="143" t="str">
        <f aca="false">IF(A117&lt;&gt;"",IFERROR(COUNTIFS('Trade Log'!G5:G1004,A117,'Trade Log'!T5:T1004,"&gt;0")/COUNTIF('Trade Log'!G5:G1004,A117),"—"),"")</f>
        <v/>
      </c>
      <c r="E117" s="144" t="str">
        <f aca="false">IF(A117&lt;&gt;"",IFERROR(AVERAGEIF('Trade Log'!G5:G1004,A117,'Trade Log'!T5:T1004),"—"),"")</f>
        <v/>
      </c>
      <c r="F117" s="143" t="str">
        <f aca="false">IF(A117&lt;&gt;"",IFERROR(AVERAGEIF('Trade Log'!G5:G1004,A117,'Trade Log'!U5:U1004),"—"),"")</f>
        <v/>
      </c>
      <c r="G117" s="145" t="str">
        <f aca="false">IF(A117&lt;&gt;"",IFERROR(maxifs('Trade Log'!T5:T1004,'Trade Log'!G5:G1004,A117),"—"),"")</f>
        <v/>
      </c>
      <c r="H117" s="146" t="str">
        <f aca="false">IF(A117&lt;&gt;"",IFERROR(minifs('Trade Log'!T5:T1004,'Trade Log'!G5:G1004,A117),"—"),"")</f>
        <v/>
      </c>
      <c r="I117" s="143" t="str">
        <f aca="false">IF(A117&lt;&gt;"",IFERROR(AVERAGEIF('Trade Log'!G5:G1004,A117,'Trade Log'!W5:W1004),"—"),"")</f>
        <v/>
      </c>
      <c r="J117" s="143" t="str">
        <f aca="false">IF(A117&lt;&gt;"",IFERROR(maxifs('Trade Log'!U5:U1004,'Trade Log'!G5:G1004,A117),"—"),"")</f>
        <v/>
      </c>
    </row>
    <row r="118" customFormat="false" ht="19.5" hidden="false" customHeight="true" outlineLevel="0" collapsed="false">
      <c r="A118" s="133"/>
      <c r="B118" s="134" t="str">
        <f aca="false">IF(A118&lt;&gt;"",COUNTIF('Trade Log'!G5:G1004,A118),"")</f>
        <v/>
      </c>
      <c r="C118" s="135" t="str">
        <f aca="false">IF(A118&lt;&gt;"",IFERROR(SUMIF('Trade Log'!G5:G1004,A118,'Trade Log'!T5:T1004),"—"),"")</f>
        <v/>
      </c>
      <c r="D118" s="136" t="str">
        <f aca="false">IF(A118&lt;&gt;"",IFERROR(COUNTIFS('Trade Log'!G5:G1004,A118,'Trade Log'!T5:T1004,"&gt;0")/COUNTIF('Trade Log'!G5:G1004,A118),"—"),"")</f>
        <v/>
      </c>
      <c r="E118" s="137" t="str">
        <f aca="false">IF(A118&lt;&gt;"",IFERROR(AVERAGEIF('Trade Log'!G5:G1004,A118,'Trade Log'!T5:T1004),"—"),"")</f>
        <v/>
      </c>
      <c r="F118" s="136" t="str">
        <f aca="false">IF(A118&lt;&gt;"",IFERROR(AVERAGEIF('Trade Log'!G5:G1004,A118,'Trade Log'!U5:U1004),"—"),"")</f>
        <v/>
      </c>
      <c r="G118" s="138" t="str">
        <f aca="false">IF(A118&lt;&gt;"",IFERROR(maxifs('Trade Log'!T5:T1004,'Trade Log'!G5:G1004,A118),"—"),"")</f>
        <v/>
      </c>
      <c r="H118" s="139" t="str">
        <f aca="false">IF(A118&lt;&gt;"",IFERROR(minifs('Trade Log'!T5:T1004,'Trade Log'!G5:G1004,A118),"—"),"")</f>
        <v/>
      </c>
      <c r="I118" s="136" t="str">
        <f aca="false">IF(A118&lt;&gt;"",IFERROR(AVERAGEIF('Trade Log'!G5:G1004,A118,'Trade Log'!W5:W1004),"—"),"")</f>
        <v/>
      </c>
      <c r="J118" s="136" t="str">
        <f aca="false">IF(A118&lt;&gt;"",IFERROR(maxifs('Trade Log'!U5:U1004,'Trade Log'!G5:G1004,A118),"—"),"")</f>
        <v/>
      </c>
    </row>
    <row r="119" customFormat="false" ht="19.5" hidden="false" customHeight="true" outlineLevel="0" collapsed="false">
      <c r="A119" s="140"/>
      <c r="B119" s="141" t="str">
        <f aca="false">IF(A119&lt;&gt;"",COUNTIF('Trade Log'!G5:G1004,A119),"")</f>
        <v/>
      </c>
      <c r="C119" s="142" t="str">
        <f aca="false">IF(A119&lt;&gt;"",IFERROR(SUMIF('Trade Log'!G5:G1004,A119,'Trade Log'!T5:T1004),"—"),"")</f>
        <v/>
      </c>
      <c r="D119" s="143" t="str">
        <f aca="false">IF(A119&lt;&gt;"",IFERROR(COUNTIFS('Trade Log'!G5:G1004,A119,'Trade Log'!T5:T1004,"&gt;0")/COUNTIF('Trade Log'!G5:G1004,A119),"—"),"")</f>
        <v/>
      </c>
      <c r="E119" s="144" t="str">
        <f aca="false">IF(A119&lt;&gt;"",IFERROR(AVERAGEIF('Trade Log'!G5:G1004,A119,'Trade Log'!T5:T1004),"—"),"")</f>
        <v/>
      </c>
      <c r="F119" s="143" t="str">
        <f aca="false">IF(A119&lt;&gt;"",IFERROR(AVERAGEIF('Trade Log'!G5:G1004,A119,'Trade Log'!U5:U1004),"—"),"")</f>
        <v/>
      </c>
      <c r="G119" s="145" t="str">
        <f aca="false">IF(A119&lt;&gt;"",IFERROR(maxifs('Trade Log'!T5:T1004,'Trade Log'!G5:G1004,A119),"—"),"")</f>
        <v/>
      </c>
      <c r="H119" s="146" t="str">
        <f aca="false">IF(A119&lt;&gt;"",IFERROR(minifs('Trade Log'!T5:T1004,'Trade Log'!G5:G1004,A119),"—"),"")</f>
        <v/>
      </c>
      <c r="I119" s="143" t="str">
        <f aca="false">IF(A119&lt;&gt;"",IFERROR(AVERAGEIF('Trade Log'!G5:G1004,A119,'Trade Log'!W5:W1004),"—"),"")</f>
        <v/>
      </c>
      <c r="J119" s="143" t="str">
        <f aca="false">IF(A119&lt;&gt;"",IFERROR(maxifs('Trade Log'!U5:U1004,'Trade Log'!G5:G1004,A119),"—"),"")</f>
        <v/>
      </c>
    </row>
    <row r="120" customFormat="false" ht="19.5" hidden="false" customHeight="true" outlineLevel="0" collapsed="false">
      <c r="A120" s="133"/>
      <c r="B120" s="134" t="str">
        <f aca="false">IF(A120&lt;&gt;"",COUNTIF('Trade Log'!G5:G1004,A120),"")</f>
        <v/>
      </c>
      <c r="C120" s="135" t="str">
        <f aca="false">IF(A120&lt;&gt;"",IFERROR(SUMIF('Trade Log'!G5:G1004,A120,'Trade Log'!T5:T1004),"—"),"")</f>
        <v/>
      </c>
      <c r="D120" s="136" t="str">
        <f aca="false">IF(A120&lt;&gt;"",IFERROR(COUNTIFS('Trade Log'!G5:G1004,A120,'Trade Log'!T5:T1004,"&gt;0")/COUNTIF('Trade Log'!G5:G1004,A120),"—"),"")</f>
        <v/>
      </c>
      <c r="E120" s="137" t="str">
        <f aca="false">IF(A120&lt;&gt;"",IFERROR(AVERAGEIF('Trade Log'!G5:G1004,A120,'Trade Log'!T5:T1004),"—"),"")</f>
        <v/>
      </c>
      <c r="F120" s="136" t="str">
        <f aca="false">IF(A120&lt;&gt;"",IFERROR(AVERAGEIF('Trade Log'!G5:G1004,A120,'Trade Log'!U5:U1004),"—"),"")</f>
        <v/>
      </c>
      <c r="G120" s="138" t="str">
        <f aca="false">IF(A120&lt;&gt;"",IFERROR(maxifs('Trade Log'!T5:T1004,'Trade Log'!G5:G1004,A120),"—"),"")</f>
        <v/>
      </c>
      <c r="H120" s="139" t="str">
        <f aca="false">IF(A120&lt;&gt;"",IFERROR(minifs('Trade Log'!T5:T1004,'Trade Log'!G5:G1004,A120),"—"),"")</f>
        <v/>
      </c>
      <c r="I120" s="136" t="str">
        <f aca="false">IF(A120&lt;&gt;"",IFERROR(AVERAGEIF('Trade Log'!G5:G1004,A120,'Trade Log'!W5:W1004),"—"),"")</f>
        <v/>
      </c>
      <c r="J120" s="136" t="str">
        <f aca="false">IF(A120&lt;&gt;"",IFERROR(maxifs('Trade Log'!U5:U1004,'Trade Log'!G5:G1004,A120),"—"),"")</f>
        <v/>
      </c>
    </row>
    <row r="121" customFormat="false" ht="19.5" hidden="false" customHeight="true" outlineLevel="0" collapsed="false">
      <c r="A121" s="140"/>
      <c r="B121" s="141" t="str">
        <f aca="false">IF(A121&lt;&gt;"",COUNTIF('Trade Log'!G5:G1004,A121),"")</f>
        <v/>
      </c>
      <c r="C121" s="142" t="str">
        <f aca="false">IF(A121&lt;&gt;"",IFERROR(SUMIF('Trade Log'!G5:G1004,A121,'Trade Log'!T5:T1004),"—"),"")</f>
        <v/>
      </c>
      <c r="D121" s="143" t="str">
        <f aca="false">IF(A121&lt;&gt;"",IFERROR(COUNTIFS('Trade Log'!G5:G1004,A121,'Trade Log'!T5:T1004,"&gt;0")/COUNTIF('Trade Log'!G5:G1004,A121),"—"),"")</f>
        <v/>
      </c>
      <c r="E121" s="144" t="str">
        <f aca="false">IF(A121&lt;&gt;"",IFERROR(AVERAGEIF('Trade Log'!G5:G1004,A121,'Trade Log'!T5:T1004),"—"),"")</f>
        <v/>
      </c>
      <c r="F121" s="143" t="str">
        <f aca="false">IF(A121&lt;&gt;"",IFERROR(AVERAGEIF('Trade Log'!G5:G1004,A121,'Trade Log'!U5:U1004),"—"),"")</f>
        <v/>
      </c>
      <c r="G121" s="145" t="str">
        <f aca="false">IF(A121&lt;&gt;"",IFERROR(maxifs('Trade Log'!T5:T1004,'Trade Log'!G5:G1004,A121),"—"),"")</f>
        <v/>
      </c>
      <c r="H121" s="146" t="str">
        <f aca="false">IF(A121&lt;&gt;"",IFERROR(minifs('Trade Log'!T5:T1004,'Trade Log'!G5:G1004,A121),"—"),"")</f>
        <v/>
      </c>
      <c r="I121" s="143" t="str">
        <f aca="false">IF(A121&lt;&gt;"",IFERROR(AVERAGEIF('Trade Log'!G5:G1004,A121,'Trade Log'!W5:W1004),"—"),"")</f>
        <v/>
      </c>
      <c r="J121" s="143" t="str">
        <f aca="false">IF(A121&lt;&gt;"",IFERROR(maxifs('Trade Log'!U5:U1004,'Trade Log'!G5:G1004,A121),"—"),"")</f>
        <v/>
      </c>
    </row>
    <row r="122" customFormat="false" ht="19.5" hidden="false" customHeight="true" outlineLevel="0" collapsed="false">
      <c r="A122" s="133"/>
      <c r="B122" s="134" t="str">
        <f aca="false">IF(A122&lt;&gt;"",COUNTIF('Trade Log'!G5:G1004,A122),"")</f>
        <v/>
      </c>
      <c r="C122" s="135" t="str">
        <f aca="false">IF(A122&lt;&gt;"",IFERROR(SUMIF('Trade Log'!G5:G1004,A122,'Trade Log'!T5:T1004),"—"),"")</f>
        <v/>
      </c>
      <c r="D122" s="136" t="str">
        <f aca="false">IF(A122&lt;&gt;"",IFERROR(COUNTIFS('Trade Log'!G5:G1004,A122,'Trade Log'!T5:T1004,"&gt;0")/COUNTIF('Trade Log'!G5:G1004,A122),"—"),"")</f>
        <v/>
      </c>
      <c r="E122" s="137" t="str">
        <f aca="false">IF(A122&lt;&gt;"",IFERROR(AVERAGEIF('Trade Log'!G5:G1004,A122,'Trade Log'!T5:T1004),"—"),"")</f>
        <v/>
      </c>
      <c r="F122" s="136" t="str">
        <f aca="false">IF(A122&lt;&gt;"",IFERROR(AVERAGEIF('Trade Log'!G5:G1004,A122,'Trade Log'!U5:U1004),"—"),"")</f>
        <v/>
      </c>
      <c r="G122" s="138" t="str">
        <f aca="false">IF(A122&lt;&gt;"",IFERROR(maxifs('Trade Log'!T5:T1004,'Trade Log'!G5:G1004,A122),"—"),"")</f>
        <v/>
      </c>
      <c r="H122" s="139" t="str">
        <f aca="false">IF(A122&lt;&gt;"",IFERROR(minifs('Trade Log'!T5:T1004,'Trade Log'!G5:G1004,A122),"—"),"")</f>
        <v/>
      </c>
      <c r="I122" s="136" t="str">
        <f aca="false">IF(A122&lt;&gt;"",IFERROR(AVERAGEIF('Trade Log'!G5:G1004,A122,'Trade Log'!W5:W1004),"—"),"")</f>
        <v/>
      </c>
      <c r="J122" s="136" t="str">
        <f aca="false">IF(A122&lt;&gt;"",IFERROR(maxifs('Trade Log'!U5:U1004,'Trade Log'!G5:G1004,A122),"—"),"")</f>
        <v/>
      </c>
    </row>
    <row r="123" customFormat="false" ht="19.5" hidden="false" customHeight="true" outlineLevel="0" collapsed="false">
      <c r="A123" s="140"/>
      <c r="B123" s="141" t="str">
        <f aca="false">IF(A123&lt;&gt;"",COUNTIF('Trade Log'!G5:G1004,A123),"")</f>
        <v/>
      </c>
      <c r="C123" s="142" t="str">
        <f aca="false">IF(A123&lt;&gt;"",IFERROR(SUMIF('Trade Log'!G5:G1004,A123,'Trade Log'!T5:T1004),"—"),"")</f>
        <v/>
      </c>
      <c r="D123" s="143" t="str">
        <f aca="false">IF(A123&lt;&gt;"",IFERROR(COUNTIFS('Trade Log'!G5:G1004,A123,'Trade Log'!T5:T1004,"&gt;0")/COUNTIF('Trade Log'!G5:G1004,A123),"—"),"")</f>
        <v/>
      </c>
      <c r="E123" s="144" t="str">
        <f aca="false">IF(A123&lt;&gt;"",IFERROR(AVERAGEIF('Trade Log'!G5:G1004,A123,'Trade Log'!T5:T1004),"—"),"")</f>
        <v/>
      </c>
      <c r="F123" s="143" t="str">
        <f aca="false">IF(A123&lt;&gt;"",IFERROR(AVERAGEIF('Trade Log'!G5:G1004,A123,'Trade Log'!U5:U1004),"—"),"")</f>
        <v/>
      </c>
      <c r="G123" s="145" t="str">
        <f aca="false">IF(A123&lt;&gt;"",IFERROR(maxifs('Trade Log'!T5:T1004,'Trade Log'!G5:G1004,A123),"—"),"")</f>
        <v/>
      </c>
      <c r="H123" s="146" t="str">
        <f aca="false">IF(A123&lt;&gt;"",IFERROR(minifs('Trade Log'!T5:T1004,'Trade Log'!G5:G1004,A123),"—"),"")</f>
        <v/>
      </c>
      <c r="I123" s="143" t="str">
        <f aca="false">IF(A123&lt;&gt;"",IFERROR(AVERAGEIF('Trade Log'!G5:G1004,A123,'Trade Log'!W5:W1004),"—"),"")</f>
        <v/>
      </c>
      <c r="J123" s="143" t="str">
        <f aca="false">IF(A123&lt;&gt;"",IFERROR(maxifs('Trade Log'!U5:U1004,'Trade Log'!G5:G1004,A123),"—"),"")</f>
        <v/>
      </c>
    </row>
    <row r="124" customFormat="false" ht="15" hidden="false" customHeight="true" outlineLevel="0" collapsed="false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</row>
    <row r="125" customFormat="false" ht="15" hidden="false" customHeight="true" outlineLevel="0" collapsed="false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</row>
    <row r="126" customFormat="false" ht="15" hidden="false" customHeight="true" outlineLevel="0" collapsed="false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</row>
    <row r="127" customFormat="false" ht="15" hidden="false" customHeight="true" outlineLevel="0" collapsed="false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</row>
    <row r="128" customFormat="false" ht="15" hidden="false" customHeight="true" outlineLevel="0" collapsed="false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</row>
    <row r="129" customFormat="false" ht="15" hidden="false" customHeight="true" outlineLevel="0" collapsed="false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</row>
    <row r="130" customFormat="false" ht="15" hidden="false" customHeight="true" outlineLevel="0" collapsed="false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</row>
    <row r="131" customFormat="false" ht="15" hidden="false" customHeight="true" outlineLevel="0" collapsed="false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</row>
    <row r="132" customFormat="false" ht="15" hidden="false" customHeight="true" outlineLevel="0" collapsed="false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</row>
    <row r="133" customFormat="false" ht="15" hidden="false" customHeight="true" outlineLevel="0" collapsed="false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</row>
    <row r="134" customFormat="false" ht="15" hidden="false" customHeight="true" outlineLevel="0" collapsed="false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</row>
    <row r="135" customFormat="false" ht="15" hidden="false" customHeight="true" outlineLevel="0" collapsed="false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</row>
    <row r="136" customFormat="false" ht="15" hidden="false" customHeight="true" outlineLevel="0" collapsed="false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</row>
    <row r="137" customFormat="false" ht="15" hidden="false" customHeight="true" outlineLevel="0" collapsed="false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</row>
    <row r="138" customFormat="false" ht="15" hidden="false" customHeight="true" outlineLevel="0" collapsed="false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</row>
    <row r="139" customFormat="false" ht="15" hidden="false" customHeight="true" outlineLevel="0" collapsed="false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</row>
    <row r="140" customFormat="false" ht="15" hidden="false" customHeight="true" outlineLevel="0" collapsed="false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</row>
    <row r="141" customFormat="false" ht="15" hidden="false" customHeight="true" outlineLevel="0" collapsed="false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</row>
    <row r="142" customFormat="false" ht="15" hidden="false" customHeight="true" outlineLevel="0" collapsed="false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</row>
    <row r="143" customFormat="false" ht="15" hidden="false" customHeight="true" outlineLevel="0" collapsed="false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</row>
    <row r="144" customFormat="false" ht="15" hidden="false" customHeight="true" outlineLevel="0" collapsed="false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</row>
    <row r="145" customFormat="false" ht="15" hidden="false" customHeight="true" outlineLevel="0" collapsed="false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</row>
    <row r="146" customFormat="false" ht="15" hidden="false" customHeight="true" outlineLevel="0" collapsed="false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</row>
  </sheetData>
  <mergeCells count="3">
    <mergeCell ref="A1:J1"/>
    <mergeCell ref="A2:J2"/>
    <mergeCell ref="A22:J22"/>
  </mergeCells>
  <conditionalFormatting sqref="C1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H11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C12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H12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C13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H13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C14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H14">
    <cfRule type="cellIs" priority="16" operator="greaterThan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C15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H15">
    <cfRule type="cellIs" priority="20" operator="greaterThan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C16">
    <cfRule type="cellIs" priority="22" operator="greaterThan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H16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C17">
    <cfRule type="cellIs" priority="26" operator="greaterThan" aboveAverage="0" equalAverage="0" bottom="0" percent="0" rank="0" text="" dxfId="0">
      <formula>0</formula>
    </cfRule>
    <cfRule type="cellIs" priority="27" operator="lessThan" aboveAverage="0" equalAverage="0" bottom="0" percent="0" rank="0" text="" dxfId="1">
      <formula>0</formula>
    </cfRule>
  </conditionalFormatting>
  <conditionalFormatting sqref="H17">
    <cfRule type="cellIs" priority="28" operator="greaterThan" aboveAverage="0" equalAverage="0" bottom="0" percent="0" rank="0" text="" dxfId="0">
      <formula>0</formula>
    </cfRule>
    <cfRule type="cellIs" priority="29" operator="lessThan" aboveAverage="0" equalAverage="0" bottom="0" percent="0" rank="0" text="" dxfId="1">
      <formula>0</formula>
    </cfRule>
  </conditionalFormatting>
  <conditionalFormatting sqref="C18">
    <cfRule type="cellIs" priority="30" operator="greaterThan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conditionalFormatting sqref="H18">
    <cfRule type="cellIs" priority="32" operator="greaterThan" aboveAverage="0" equalAverage="0" bottom="0" percent="0" rank="0" text="" dxfId="0">
      <formula>0</formula>
    </cfRule>
    <cfRule type="cellIs" priority="33" operator="lessThan" aboveAverage="0" equalAverage="0" bottom="0" percent="0" rank="0" text="" dxfId="1">
      <formula>0</formula>
    </cfRule>
  </conditionalFormatting>
  <conditionalFormatting sqref="C19">
    <cfRule type="cellIs" priority="34" operator="greaterThan" aboveAverage="0" equalAverage="0" bottom="0" percent="0" rank="0" text="" dxfId="0">
      <formula>0</formula>
    </cfRule>
    <cfRule type="cellIs" priority="35" operator="lessThan" aboveAverage="0" equalAverage="0" bottom="0" percent="0" rank="0" text="" dxfId="1">
      <formula>0</formula>
    </cfRule>
  </conditionalFormatting>
  <conditionalFormatting sqref="H19">
    <cfRule type="cellIs" priority="36" operator="greaterThan" aboveAverage="0" equalAverage="0" bottom="0" percent="0" rank="0" text="" dxfId="0">
      <formula>0</formula>
    </cfRule>
    <cfRule type="cellIs" priority="37" operator="lessThan" aboveAverage="0" equalAverage="0" bottom="0" percent="0" rank="0" text="" dxfId="1">
      <formula>0</formula>
    </cfRule>
  </conditionalFormatting>
  <conditionalFormatting sqref="C24">
    <cfRule type="cellIs" priority="38" operator="greaterThan" aboveAverage="0" equalAverage="0" bottom="0" percent="0" rank="0" text="" dxfId="0">
      <formula>0</formula>
    </cfRule>
    <cfRule type="cellIs" priority="39" operator="lessThan" aboveAverage="0" equalAverage="0" bottom="0" percent="0" rank="0" text="" dxfId="1">
      <formula>0</formula>
    </cfRule>
    <cfRule type="cellIs" priority="40" operator="greaterThan" aboveAverage="0" equalAverage="0" bottom="0" percent="0" rank="0" text="" dxfId="0">
      <formula>0</formula>
    </cfRule>
    <cfRule type="cellIs" priority="41" operator="lessThan" aboveAverage="0" equalAverage="0" bottom="0" percent="0" rank="0" text="" dxfId="1">
      <formula>0</formula>
    </cfRule>
  </conditionalFormatting>
  <conditionalFormatting sqref="C25">
    <cfRule type="cellIs" priority="42" operator="greaterThan" aboveAverage="0" equalAverage="0" bottom="0" percent="0" rank="0" text="" dxfId="0">
      <formula>0</formula>
    </cfRule>
    <cfRule type="cellIs" priority="43" operator="lessThan" aboveAverage="0" equalAverage="0" bottom="0" percent="0" rank="0" text="" dxfId="1">
      <formula>0</formula>
    </cfRule>
    <cfRule type="cellIs" priority="44" operator="greaterThan" aboveAverage="0" equalAverage="0" bottom="0" percent="0" rank="0" text="" dxfId="0">
      <formula>0</formula>
    </cfRule>
    <cfRule type="cellIs" priority="45" operator="lessThan" aboveAverage="0" equalAverage="0" bottom="0" percent="0" rank="0" text="" dxfId="1">
      <formula>0</formula>
    </cfRule>
  </conditionalFormatting>
  <conditionalFormatting sqref="C26">
    <cfRule type="cellIs" priority="46" operator="greaterThan" aboveAverage="0" equalAverage="0" bottom="0" percent="0" rank="0" text="" dxfId="0">
      <formula>0</formula>
    </cfRule>
    <cfRule type="cellIs" priority="47" operator="lessThan" aboveAverage="0" equalAverage="0" bottom="0" percent="0" rank="0" text="" dxfId="1">
      <formula>0</formula>
    </cfRule>
    <cfRule type="cellIs" priority="48" operator="greaterThan" aboveAverage="0" equalAverage="0" bottom="0" percent="0" rank="0" text="" dxfId="0">
      <formula>0</formula>
    </cfRule>
    <cfRule type="cellIs" priority="49" operator="lessThan" aboveAverage="0" equalAverage="0" bottom="0" percent="0" rank="0" text="" dxfId="1">
      <formula>0</formula>
    </cfRule>
  </conditionalFormatting>
  <conditionalFormatting sqref="C27">
    <cfRule type="cellIs" priority="50" operator="greaterThan" aboveAverage="0" equalAverage="0" bottom="0" percent="0" rank="0" text="" dxfId="0">
      <formula>0</formula>
    </cfRule>
    <cfRule type="cellIs" priority="51" operator="lessThan" aboveAverage="0" equalAverage="0" bottom="0" percent="0" rank="0" text="" dxfId="1">
      <formula>0</formula>
    </cfRule>
    <cfRule type="cellIs" priority="52" operator="greaterThan" aboveAverage="0" equalAverage="0" bottom="0" percent="0" rank="0" text="" dxfId="0">
      <formula>0</formula>
    </cfRule>
    <cfRule type="cellIs" priority="53" operator="lessThan" aboveAverage="0" equalAverage="0" bottom="0" percent="0" rank="0" text="" dxfId="1">
      <formula>0</formula>
    </cfRule>
  </conditionalFormatting>
  <conditionalFormatting sqref="C28">
    <cfRule type="cellIs" priority="54" operator="greaterThan" aboveAverage="0" equalAverage="0" bottom="0" percent="0" rank="0" text="" dxfId="0">
      <formula>0</formula>
    </cfRule>
    <cfRule type="cellIs" priority="55" operator="lessThan" aboveAverage="0" equalAverage="0" bottom="0" percent="0" rank="0" text="" dxfId="1">
      <formula>0</formula>
    </cfRule>
    <cfRule type="cellIs" priority="56" operator="greaterThan" aboveAverage="0" equalAverage="0" bottom="0" percent="0" rank="0" text="" dxfId="0">
      <formula>0</formula>
    </cfRule>
    <cfRule type="cellIs" priority="57" operator="lessThan" aboveAverage="0" equalAverage="0" bottom="0" percent="0" rank="0" text="" dxfId="1">
      <formula>0</formula>
    </cfRule>
  </conditionalFormatting>
  <conditionalFormatting sqref="C29">
    <cfRule type="cellIs" priority="58" operator="greaterThan" aboveAverage="0" equalAverage="0" bottom="0" percent="0" rank="0" text="" dxfId="0">
      <formula>0</formula>
    </cfRule>
    <cfRule type="cellIs" priority="59" operator="lessThan" aboveAverage="0" equalAverage="0" bottom="0" percent="0" rank="0" text="" dxfId="1">
      <formula>0</formula>
    </cfRule>
    <cfRule type="cellIs" priority="60" operator="greaterThan" aboveAverage="0" equalAverage="0" bottom="0" percent="0" rank="0" text="" dxfId="0">
      <formula>0</formula>
    </cfRule>
    <cfRule type="cellIs" priority="61" operator="lessThan" aboveAverage="0" equalAverage="0" bottom="0" percent="0" rank="0" text="" dxfId="1">
      <formula>0</formula>
    </cfRule>
  </conditionalFormatting>
  <conditionalFormatting sqref="C30">
    <cfRule type="cellIs" priority="62" operator="greaterThan" aboveAverage="0" equalAverage="0" bottom="0" percent="0" rank="0" text="" dxfId="0">
      <formula>0</formula>
    </cfRule>
    <cfRule type="cellIs" priority="63" operator="lessThan" aboveAverage="0" equalAverage="0" bottom="0" percent="0" rank="0" text="" dxfId="1">
      <formula>0</formula>
    </cfRule>
    <cfRule type="cellIs" priority="64" operator="greaterThan" aboveAverage="0" equalAverage="0" bottom="0" percent="0" rank="0" text="" dxfId="0">
      <formula>0</formula>
    </cfRule>
    <cfRule type="cellIs" priority="65" operator="lessThan" aboveAverage="0" equalAverage="0" bottom="0" percent="0" rank="0" text="" dxfId="1">
      <formula>0</formula>
    </cfRule>
  </conditionalFormatting>
  <conditionalFormatting sqref="C31">
    <cfRule type="cellIs" priority="66" operator="greaterThan" aboveAverage="0" equalAverage="0" bottom="0" percent="0" rank="0" text="" dxfId="0">
      <formula>0</formula>
    </cfRule>
    <cfRule type="cellIs" priority="67" operator="lessThan" aboveAverage="0" equalAverage="0" bottom="0" percent="0" rank="0" text="" dxfId="1">
      <formula>0</formula>
    </cfRule>
    <cfRule type="cellIs" priority="68" operator="greaterThan" aboveAverage="0" equalAverage="0" bottom="0" percent="0" rank="0" text="" dxfId="0">
      <formula>0</formula>
    </cfRule>
    <cfRule type="cellIs" priority="69" operator="lessThan" aboveAverage="0" equalAverage="0" bottom="0" percent="0" rank="0" text="" dxfId="1">
      <formula>0</formula>
    </cfRule>
  </conditionalFormatting>
  <conditionalFormatting sqref="C32">
    <cfRule type="cellIs" priority="70" operator="greaterThan" aboveAverage="0" equalAverage="0" bottom="0" percent="0" rank="0" text="" dxfId="0">
      <formula>0</formula>
    </cfRule>
    <cfRule type="cellIs" priority="71" operator="lessThan" aboveAverage="0" equalAverage="0" bottom="0" percent="0" rank="0" text="" dxfId="1">
      <formula>0</formula>
    </cfRule>
    <cfRule type="cellIs" priority="72" operator="greaterThan" aboveAverage="0" equalAverage="0" bottom="0" percent="0" rank="0" text="" dxfId="0">
      <formula>0</formula>
    </cfRule>
    <cfRule type="cellIs" priority="73" operator="lessThan" aboveAverage="0" equalAverage="0" bottom="0" percent="0" rank="0" text="" dxfId="1">
      <formula>0</formula>
    </cfRule>
  </conditionalFormatting>
  <conditionalFormatting sqref="C33">
    <cfRule type="cellIs" priority="74" operator="greaterThan" aboveAverage="0" equalAverage="0" bottom="0" percent="0" rank="0" text="" dxfId="0">
      <formula>0</formula>
    </cfRule>
    <cfRule type="cellIs" priority="75" operator="lessThan" aboveAverage="0" equalAverage="0" bottom="0" percent="0" rank="0" text="" dxfId="1">
      <formula>0</formula>
    </cfRule>
    <cfRule type="cellIs" priority="76" operator="greaterThan" aboveAverage="0" equalAverage="0" bottom="0" percent="0" rank="0" text="" dxfId="0">
      <formula>0</formula>
    </cfRule>
    <cfRule type="cellIs" priority="77" operator="lessThan" aboveAverage="0" equalAverage="0" bottom="0" percent="0" rank="0" text="" dxfId="1">
      <formula>0</formula>
    </cfRule>
  </conditionalFormatting>
  <conditionalFormatting sqref="C34">
    <cfRule type="cellIs" priority="78" operator="greaterThan" aboveAverage="0" equalAverage="0" bottom="0" percent="0" rank="0" text="" dxfId="0">
      <formula>0</formula>
    </cfRule>
    <cfRule type="cellIs" priority="79" operator="lessThan" aboveAverage="0" equalAverage="0" bottom="0" percent="0" rank="0" text="" dxfId="1">
      <formula>0</formula>
    </cfRule>
    <cfRule type="cellIs" priority="80" operator="greaterThan" aboveAverage="0" equalAverage="0" bottom="0" percent="0" rank="0" text="" dxfId="0">
      <formula>0</formula>
    </cfRule>
    <cfRule type="cellIs" priority="81" operator="lessThan" aboveAverage="0" equalAverage="0" bottom="0" percent="0" rank="0" text="" dxfId="1">
      <formula>0</formula>
    </cfRule>
  </conditionalFormatting>
  <conditionalFormatting sqref="C35">
    <cfRule type="cellIs" priority="82" operator="greaterThan" aboveAverage="0" equalAverage="0" bottom="0" percent="0" rank="0" text="" dxfId="0">
      <formula>0</formula>
    </cfRule>
    <cfRule type="cellIs" priority="83" operator="lessThan" aboveAverage="0" equalAverage="0" bottom="0" percent="0" rank="0" text="" dxfId="1">
      <formula>0</formula>
    </cfRule>
    <cfRule type="cellIs" priority="84" operator="greaterThan" aboveAverage="0" equalAverage="0" bottom="0" percent="0" rank="0" text="" dxfId="0">
      <formula>0</formula>
    </cfRule>
    <cfRule type="cellIs" priority="85" operator="lessThan" aboveAverage="0" equalAverage="0" bottom="0" percent="0" rank="0" text="" dxfId="1">
      <formula>0</formula>
    </cfRule>
  </conditionalFormatting>
  <conditionalFormatting sqref="C36">
    <cfRule type="cellIs" priority="86" operator="greaterThan" aboveAverage="0" equalAverage="0" bottom="0" percent="0" rank="0" text="" dxfId="0">
      <formula>0</formula>
    </cfRule>
    <cfRule type="cellIs" priority="87" operator="lessThan" aboveAverage="0" equalAverage="0" bottom="0" percent="0" rank="0" text="" dxfId="1">
      <formula>0</formula>
    </cfRule>
    <cfRule type="cellIs" priority="88" operator="greaterThan" aboveAverage="0" equalAverage="0" bottom="0" percent="0" rank="0" text="" dxfId="0">
      <formula>0</formula>
    </cfRule>
    <cfRule type="cellIs" priority="89" operator="lessThan" aboveAverage="0" equalAverage="0" bottom="0" percent="0" rank="0" text="" dxfId="1">
      <formula>0</formula>
    </cfRule>
  </conditionalFormatting>
  <conditionalFormatting sqref="C37">
    <cfRule type="cellIs" priority="90" operator="greaterThan" aboveAverage="0" equalAverage="0" bottom="0" percent="0" rank="0" text="" dxfId="0">
      <formula>0</formula>
    </cfRule>
    <cfRule type="cellIs" priority="91" operator="lessThan" aboveAverage="0" equalAverage="0" bottom="0" percent="0" rank="0" text="" dxfId="1">
      <formula>0</formula>
    </cfRule>
    <cfRule type="cellIs" priority="92" operator="greaterThan" aboveAverage="0" equalAverage="0" bottom="0" percent="0" rank="0" text="" dxfId="0">
      <formula>0</formula>
    </cfRule>
    <cfRule type="cellIs" priority="93" operator="lessThan" aboveAverage="0" equalAverage="0" bottom="0" percent="0" rank="0" text="" dxfId="1">
      <formula>0</formula>
    </cfRule>
  </conditionalFormatting>
  <conditionalFormatting sqref="C38">
    <cfRule type="cellIs" priority="94" operator="greaterThan" aboveAverage="0" equalAverage="0" bottom="0" percent="0" rank="0" text="" dxfId="0">
      <formula>0</formula>
    </cfRule>
    <cfRule type="cellIs" priority="95" operator="lessThan" aboveAverage="0" equalAverage="0" bottom="0" percent="0" rank="0" text="" dxfId="1">
      <formula>0</formula>
    </cfRule>
    <cfRule type="cellIs" priority="96" operator="greaterThan" aboveAverage="0" equalAverage="0" bottom="0" percent="0" rank="0" text="" dxfId="0">
      <formula>0</formula>
    </cfRule>
    <cfRule type="cellIs" priority="97" operator="lessThan" aboveAverage="0" equalAverage="0" bottom="0" percent="0" rank="0" text="" dxfId="1">
      <formula>0</formula>
    </cfRule>
  </conditionalFormatting>
  <conditionalFormatting sqref="C39">
    <cfRule type="cellIs" priority="98" operator="greaterThan" aboveAverage="0" equalAverage="0" bottom="0" percent="0" rank="0" text="" dxfId="0">
      <formula>0</formula>
    </cfRule>
    <cfRule type="cellIs" priority="99" operator="lessThan" aboveAverage="0" equalAverage="0" bottom="0" percent="0" rank="0" text="" dxfId="1">
      <formula>0</formula>
    </cfRule>
    <cfRule type="cellIs" priority="100" operator="greaterThan" aboveAverage="0" equalAverage="0" bottom="0" percent="0" rank="0" text="" dxfId="0">
      <formula>0</formula>
    </cfRule>
    <cfRule type="cellIs" priority="101" operator="lessThan" aboveAverage="0" equalAverage="0" bottom="0" percent="0" rank="0" text="" dxfId="1">
      <formula>0</formula>
    </cfRule>
  </conditionalFormatting>
  <conditionalFormatting sqref="C40">
    <cfRule type="cellIs" priority="102" operator="greaterThan" aboveAverage="0" equalAverage="0" bottom="0" percent="0" rank="0" text="" dxfId="0">
      <formula>0</formula>
    </cfRule>
    <cfRule type="cellIs" priority="103" operator="lessThan" aboveAverage="0" equalAverage="0" bottom="0" percent="0" rank="0" text="" dxfId="1">
      <formula>0</formula>
    </cfRule>
    <cfRule type="cellIs" priority="104" operator="greaterThan" aboveAverage="0" equalAverage="0" bottom="0" percent="0" rank="0" text="" dxfId="0">
      <formula>0</formula>
    </cfRule>
    <cfRule type="cellIs" priority="105" operator="lessThan" aboveAverage="0" equalAverage="0" bottom="0" percent="0" rank="0" text="" dxfId="1">
      <formula>0</formula>
    </cfRule>
  </conditionalFormatting>
  <conditionalFormatting sqref="C41">
    <cfRule type="cellIs" priority="106" operator="greaterThan" aboveAverage="0" equalAverage="0" bottom="0" percent="0" rank="0" text="" dxfId="0">
      <formula>0</formula>
    </cfRule>
    <cfRule type="cellIs" priority="107" operator="lessThan" aboveAverage="0" equalAverage="0" bottom="0" percent="0" rank="0" text="" dxfId="1">
      <formula>0</formula>
    </cfRule>
    <cfRule type="cellIs" priority="108" operator="greaterThan" aboveAverage="0" equalAverage="0" bottom="0" percent="0" rank="0" text="" dxfId="0">
      <formula>0</formula>
    </cfRule>
    <cfRule type="cellIs" priority="109" operator="lessThan" aboveAverage="0" equalAverage="0" bottom="0" percent="0" rank="0" text="" dxfId="1">
      <formula>0</formula>
    </cfRule>
  </conditionalFormatting>
  <conditionalFormatting sqref="C42">
    <cfRule type="cellIs" priority="110" operator="greaterThan" aboveAverage="0" equalAverage="0" bottom="0" percent="0" rank="0" text="" dxfId="0">
      <formula>0</formula>
    </cfRule>
    <cfRule type="cellIs" priority="111" operator="lessThan" aboveAverage="0" equalAverage="0" bottom="0" percent="0" rank="0" text="" dxfId="1">
      <formula>0</formula>
    </cfRule>
    <cfRule type="cellIs" priority="112" operator="greaterThan" aboveAverage="0" equalAverage="0" bottom="0" percent="0" rank="0" text="" dxfId="0">
      <formula>0</formula>
    </cfRule>
    <cfRule type="cellIs" priority="113" operator="lessThan" aboveAverage="0" equalAverage="0" bottom="0" percent="0" rank="0" text="" dxfId="1">
      <formula>0</formula>
    </cfRule>
  </conditionalFormatting>
  <conditionalFormatting sqref="C43">
    <cfRule type="cellIs" priority="114" operator="greaterThan" aboveAverage="0" equalAverage="0" bottom="0" percent="0" rank="0" text="" dxfId="0">
      <formula>0</formula>
    </cfRule>
    <cfRule type="cellIs" priority="115" operator="lessThan" aboveAverage="0" equalAverage="0" bottom="0" percent="0" rank="0" text="" dxfId="1">
      <formula>0</formula>
    </cfRule>
    <cfRule type="cellIs" priority="116" operator="greaterThan" aboveAverage="0" equalAverage="0" bottom="0" percent="0" rank="0" text="" dxfId="0">
      <formula>0</formula>
    </cfRule>
    <cfRule type="cellIs" priority="117" operator="lessThan" aboveAverage="0" equalAverage="0" bottom="0" percent="0" rank="0" text="" dxfId="1">
      <formula>0</formula>
    </cfRule>
  </conditionalFormatting>
  <conditionalFormatting sqref="C44">
    <cfRule type="cellIs" priority="118" operator="greaterThan" aboveAverage="0" equalAverage="0" bottom="0" percent="0" rank="0" text="" dxfId="0">
      <formula>0</formula>
    </cfRule>
    <cfRule type="cellIs" priority="119" operator="lessThan" aboveAverage="0" equalAverage="0" bottom="0" percent="0" rank="0" text="" dxfId="1">
      <formula>0</formula>
    </cfRule>
  </conditionalFormatting>
  <conditionalFormatting sqref="C45">
    <cfRule type="cellIs" priority="120" operator="greaterThan" aboveAverage="0" equalAverage="0" bottom="0" percent="0" rank="0" text="" dxfId="0">
      <formula>0</formula>
    </cfRule>
    <cfRule type="cellIs" priority="121" operator="lessThan" aboveAverage="0" equalAverage="0" bottom="0" percent="0" rank="0" text="" dxfId="1">
      <formula>0</formula>
    </cfRule>
  </conditionalFormatting>
  <conditionalFormatting sqref="C46">
    <cfRule type="cellIs" priority="122" operator="greaterThan" aboveAverage="0" equalAverage="0" bottom="0" percent="0" rank="0" text="" dxfId="0">
      <formula>0</formula>
    </cfRule>
    <cfRule type="cellIs" priority="123" operator="lessThan" aboveAverage="0" equalAverage="0" bottom="0" percent="0" rank="0" text="" dxfId="1">
      <formula>0</formula>
    </cfRule>
  </conditionalFormatting>
  <conditionalFormatting sqref="C47">
    <cfRule type="cellIs" priority="124" operator="greaterThan" aboveAverage="0" equalAverage="0" bottom="0" percent="0" rank="0" text="" dxfId="0">
      <formula>0</formula>
    </cfRule>
    <cfRule type="cellIs" priority="125" operator="lessThan" aboveAverage="0" equalAverage="0" bottom="0" percent="0" rank="0" text="" dxfId="1">
      <formula>0</formula>
    </cfRule>
  </conditionalFormatting>
  <conditionalFormatting sqref="C48">
    <cfRule type="cellIs" priority="126" operator="greaterThan" aboveAverage="0" equalAverage="0" bottom="0" percent="0" rank="0" text="" dxfId="0">
      <formula>0</formula>
    </cfRule>
    <cfRule type="cellIs" priority="127" operator="lessThan" aboveAverage="0" equalAverage="0" bottom="0" percent="0" rank="0" text="" dxfId="1">
      <formula>0</formula>
    </cfRule>
  </conditionalFormatting>
  <conditionalFormatting sqref="C49">
    <cfRule type="cellIs" priority="128" operator="greaterThan" aboveAverage="0" equalAverage="0" bottom="0" percent="0" rank="0" text="" dxfId="0">
      <formula>0</formula>
    </cfRule>
    <cfRule type="cellIs" priority="129" operator="lessThan" aboveAverage="0" equalAverage="0" bottom="0" percent="0" rank="0" text="" dxfId="1">
      <formula>0</formula>
    </cfRule>
  </conditionalFormatting>
  <conditionalFormatting sqref="C50">
    <cfRule type="cellIs" priority="130" operator="greaterThan" aboveAverage="0" equalAverage="0" bottom="0" percent="0" rank="0" text="" dxfId="0">
      <formula>0</formula>
    </cfRule>
    <cfRule type="cellIs" priority="131" operator="lessThan" aboveAverage="0" equalAverage="0" bottom="0" percent="0" rank="0" text="" dxfId="1">
      <formula>0</formula>
    </cfRule>
  </conditionalFormatting>
  <conditionalFormatting sqref="C51">
    <cfRule type="cellIs" priority="132" operator="greaterThan" aboveAverage="0" equalAverage="0" bottom="0" percent="0" rank="0" text="" dxfId="0">
      <formula>0</formula>
    </cfRule>
    <cfRule type="cellIs" priority="133" operator="lessThan" aboveAverage="0" equalAverage="0" bottom="0" percent="0" rank="0" text="" dxfId="1">
      <formula>0</formula>
    </cfRule>
  </conditionalFormatting>
  <conditionalFormatting sqref="C52">
    <cfRule type="cellIs" priority="134" operator="greaterThan" aboveAverage="0" equalAverage="0" bottom="0" percent="0" rank="0" text="" dxfId="0">
      <formula>0</formula>
    </cfRule>
    <cfRule type="cellIs" priority="135" operator="lessThan" aboveAverage="0" equalAverage="0" bottom="0" percent="0" rank="0" text="" dxfId="1">
      <formula>0</formula>
    </cfRule>
  </conditionalFormatting>
  <conditionalFormatting sqref="C53">
    <cfRule type="cellIs" priority="136" operator="greaterThan" aboveAverage="0" equalAverage="0" bottom="0" percent="0" rank="0" text="" dxfId="0">
      <formula>0</formula>
    </cfRule>
    <cfRule type="cellIs" priority="137" operator="lessThan" aboveAverage="0" equalAverage="0" bottom="0" percent="0" rank="0" text="" dxfId="1">
      <formula>0</formula>
    </cfRule>
  </conditionalFormatting>
  <conditionalFormatting sqref="C54">
    <cfRule type="cellIs" priority="138" operator="greaterThan" aboveAverage="0" equalAverage="0" bottom="0" percent="0" rank="0" text="" dxfId="0">
      <formula>0</formula>
    </cfRule>
    <cfRule type="cellIs" priority="139" operator="lessThan" aboveAverage="0" equalAverage="0" bottom="0" percent="0" rank="0" text="" dxfId="1">
      <formula>0</formula>
    </cfRule>
  </conditionalFormatting>
  <conditionalFormatting sqref="C55">
    <cfRule type="cellIs" priority="140" operator="greaterThan" aboveAverage="0" equalAverage="0" bottom="0" percent="0" rank="0" text="" dxfId="0">
      <formula>0</formula>
    </cfRule>
    <cfRule type="cellIs" priority="141" operator="lessThan" aboveAverage="0" equalAverage="0" bottom="0" percent="0" rank="0" text="" dxfId="1">
      <formula>0</formula>
    </cfRule>
  </conditionalFormatting>
  <conditionalFormatting sqref="C56">
    <cfRule type="cellIs" priority="142" operator="greaterThan" aboveAverage="0" equalAverage="0" bottom="0" percent="0" rank="0" text="" dxfId="0">
      <formula>0</formula>
    </cfRule>
    <cfRule type="cellIs" priority="143" operator="lessThan" aboveAverage="0" equalAverage="0" bottom="0" percent="0" rank="0" text="" dxfId="1">
      <formula>0</formula>
    </cfRule>
  </conditionalFormatting>
  <conditionalFormatting sqref="C57">
    <cfRule type="cellIs" priority="144" operator="greaterThan" aboveAverage="0" equalAverage="0" bottom="0" percent="0" rank="0" text="" dxfId="0">
      <formula>0</formula>
    </cfRule>
    <cfRule type="cellIs" priority="145" operator="lessThan" aboveAverage="0" equalAverage="0" bottom="0" percent="0" rank="0" text="" dxfId="1">
      <formula>0</formula>
    </cfRule>
  </conditionalFormatting>
  <conditionalFormatting sqref="C58">
    <cfRule type="cellIs" priority="146" operator="greaterThan" aboveAverage="0" equalAverage="0" bottom="0" percent="0" rank="0" text="" dxfId="0">
      <formula>0</formula>
    </cfRule>
    <cfRule type="cellIs" priority="147" operator="lessThan" aboveAverage="0" equalAverage="0" bottom="0" percent="0" rank="0" text="" dxfId="1">
      <formula>0</formula>
    </cfRule>
  </conditionalFormatting>
  <conditionalFormatting sqref="C59">
    <cfRule type="cellIs" priority="148" operator="greaterThan" aboveAverage="0" equalAverage="0" bottom="0" percent="0" rank="0" text="" dxfId="0">
      <formula>0</formula>
    </cfRule>
    <cfRule type="cellIs" priority="149" operator="lessThan" aboveAverage="0" equalAverage="0" bottom="0" percent="0" rank="0" text="" dxfId="1">
      <formula>0</formula>
    </cfRule>
  </conditionalFormatting>
  <conditionalFormatting sqref="C60">
    <cfRule type="cellIs" priority="150" operator="greaterThan" aboveAverage="0" equalAverage="0" bottom="0" percent="0" rank="0" text="" dxfId="0">
      <formula>0</formula>
    </cfRule>
    <cfRule type="cellIs" priority="151" operator="lessThan" aboveAverage="0" equalAverage="0" bottom="0" percent="0" rank="0" text="" dxfId="1">
      <formula>0</formula>
    </cfRule>
  </conditionalFormatting>
  <conditionalFormatting sqref="C61">
    <cfRule type="cellIs" priority="152" operator="greaterThan" aboveAverage="0" equalAverage="0" bottom="0" percent="0" rank="0" text="" dxfId="0">
      <formula>0</formula>
    </cfRule>
    <cfRule type="cellIs" priority="153" operator="lessThan" aboveAverage="0" equalAverage="0" bottom="0" percent="0" rank="0" text="" dxfId="1">
      <formula>0</formula>
    </cfRule>
  </conditionalFormatting>
  <conditionalFormatting sqref="C62">
    <cfRule type="cellIs" priority="154" operator="greaterThan" aboveAverage="0" equalAverage="0" bottom="0" percent="0" rank="0" text="" dxfId="0">
      <formula>0</formula>
    </cfRule>
    <cfRule type="cellIs" priority="155" operator="lessThan" aboveAverage="0" equalAverage="0" bottom="0" percent="0" rank="0" text="" dxfId="1">
      <formula>0</formula>
    </cfRule>
  </conditionalFormatting>
  <conditionalFormatting sqref="C63">
    <cfRule type="cellIs" priority="156" operator="greaterThan" aboveAverage="0" equalAverage="0" bottom="0" percent="0" rank="0" text="" dxfId="0">
      <formula>0</formula>
    </cfRule>
    <cfRule type="cellIs" priority="157" operator="lessThan" aboveAverage="0" equalAverage="0" bottom="0" percent="0" rank="0" text="" dxfId="1">
      <formula>0</formula>
    </cfRule>
  </conditionalFormatting>
  <conditionalFormatting sqref="C64">
    <cfRule type="cellIs" priority="158" operator="greaterThan" aboveAverage="0" equalAverage="0" bottom="0" percent="0" rank="0" text="" dxfId="0">
      <formula>0</formula>
    </cfRule>
    <cfRule type="cellIs" priority="159" operator="lessThan" aboveAverage="0" equalAverage="0" bottom="0" percent="0" rank="0" text="" dxfId="1">
      <formula>0</formula>
    </cfRule>
  </conditionalFormatting>
  <conditionalFormatting sqref="C65">
    <cfRule type="cellIs" priority="160" operator="greaterThan" aboveAverage="0" equalAverage="0" bottom="0" percent="0" rank="0" text="" dxfId="0">
      <formula>0</formula>
    </cfRule>
    <cfRule type="cellIs" priority="161" operator="lessThan" aboveAverage="0" equalAverage="0" bottom="0" percent="0" rank="0" text="" dxfId="1">
      <formula>0</formula>
    </cfRule>
  </conditionalFormatting>
  <conditionalFormatting sqref="C66">
    <cfRule type="cellIs" priority="162" operator="greaterThan" aboveAverage="0" equalAverage="0" bottom="0" percent="0" rank="0" text="" dxfId="0">
      <formula>0</formula>
    </cfRule>
    <cfRule type="cellIs" priority="163" operator="lessThan" aboveAverage="0" equalAverage="0" bottom="0" percent="0" rank="0" text="" dxfId="1">
      <formula>0</formula>
    </cfRule>
  </conditionalFormatting>
  <conditionalFormatting sqref="C67">
    <cfRule type="cellIs" priority="164" operator="greaterThan" aboveAverage="0" equalAverage="0" bottom="0" percent="0" rank="0" text="" dxfId="0">
      <formula>0</formula>
    </cfRule>
    <cfRule type="cellIs" priority="165" operator="lessThan" aboveAverage="0" equalAverage="0" bottom="0" percent="0" rank="0" text="" dxfId="1">
      <formula>0</formula>
    </cfRule>
  </conditionalFormatting>
  <conditionalFormatting sqref="C68">
    <cfRule type="cellIs" priority="166" operator="greaterThan" aboveAverage="0" equalAverage="0" bottom="0" percent="0" rank="0" text="" dxfId="0">
      <formula>0</formula>
    </cfRule>
    <cfRule type="cellIs" priority="167" operator="lessThan" aboveAverage="0" equalAverage="0" bottom="0" percent="0" rank="0" text="" dxfId="1">
      <formula>0</formula>
    </cfRule>
  </conditionalFormatting>
  <conditionalFormatting sqref="C69">
    <cfRule type="cellIs" priority="168" operator="greaterThan" aboveAverage="0" equalAverage="0" bottom="0" percent="0" rank="0" text="" dxfId="0">
      <formula>0</formula>
    </cfRule>
    <cfRule type="cellIs" priority="169" operator="lessThan" aboveAverage="0" equalAverage="0" bottom="0" percent="0" rank="0" text="" dxfId="1">
      <formula>0</formula>
    </cfRule>
  </conditionalFormatting>
  <conditionalFormatting sqref="C70">
    <cfRule type="cellIs" priority="170" operator="greaterThan" aboveAverage="0" equalAverage="0" bottom="0" percent="0" rank="0" text="" dxfId="0">
      <formula>0</formula>
    </cfRule>
    <cfRule type="cellIs" priority="171" operator="lessThan" aboveAverage="0" equalAverage="0" bottom="0" percent="0" rank="0" text="" dxfId="1">
      <formula>0</formula>
    </cfRule>
  </conditionalFormatting>
  <conditionalFormatting sqref="C71">
    <cfRule type="cellIs" priority="172" operator="greaterThan" aboveAverage="0" equalAverage="0" bottom="0" percent="0" rank="0" text="" dxfId="0">
      <formula>0</formula>
    </cfRule>
    <cfRule type="cellIs" priority="173" operator="lessThan" aboveAverage="0" equalAverage="0" bottom="0" percent="0" rank="0" text="" dxfId="1">
      <formula>0</formula>
    </cfRule>
  </conditionalFormatting>
  <conditionalFormatting sqref="C72">
    <cfRule type="cellIs" priority="174" operator="greaterThan" aboveAverage="0" equalAverage="0" bottom="0" percent="0" rank="0" text="" dxfId="0">
      <formula>0</formula>
    </cfRule>
    <cfRule type="cellIs" priority="175" operator="lessThan" aboveAverage="0" equalAverage="0" bottom="0" percent="0" rank="0" text="" dxfId="1">
      <formula>0</formula>
    </cfRule>
  </conditionalFormatting>
  <conditionalFormatting sqref="C73">
    <cfRule type="cellIs" priority="176" operator="greaterThan" aboveAverage="0" equalAverage="0" bottom="0" percent="0" rank="0" text="" dxfId="0">
      <formula>0</formula>
    </cfRule>
    <cfRule type="cellIs" priority="177" operator="lessThan" aboveAverage="0" equalAverage="0" bottom="0" percent="0" rank="0" text="" dxfId="1">
      <formula>0</formula>
    </cfRule>
  </conditionalFormatting>
  <conditionalFormatting sqref="C74">
    <cfRule type="cellIs" priority="178" operator="greaterThan" aboveAverage="0" equalAverage="0" bottom="0" percent="0" rank="0" text="" dxfId="0">
      <formula>0</formula>
    </cfRule>
    <cfRule type="cellIs" priority="179" operator="lessThan" aboveAverage="0" equalAverage="0" bottom="0" percent="0" rank="0" text="" dxfId="1">
      <formula>0</formula>
    </cfRule>
  </conditionalFormatting>
  <conditionalFormatting sqref="C75">
    <cfRule type="cellIs" priority="180" operator="greaterThan" aboveAverage="0" equalAverage="0" bottom="0" percent="0" rank="0" text="" dxfId="0">
      <formula>0</formula>
    </cfRule>
    <cfRule type="cellIs" priority="181" operator="lessThan" aboveAverage="0" equalAverage="0" bottom="0" percent="0" rank="0" text="" dxfId="1">
      <formula>0</formula>
    </cfRule>
  </conditionalFormatting>
  <conditionalFormatting sqref="C76">
    <cfRule type="cellIs" priority="182" operator="greaterThan" aboveAverage="0" equalAverage="0" bottom="0" percent="0" rank="0" text="" dxfId="0">
      <formula>0</formula>
    </cfRule>
    <cfRule type="cellIs" priority="183" operator="lessThan" aboveAverage="0" equalAverage="0" bottom="0" percent="0" rank="0" text="" dxfId="1">
      <formula>0</formula>
    </cfRule>
  </conditionalFormatting>
  <conditionalFormatting sqref="C77">
    <cfRule type="cellIs" priority="184" operator="greaterThan" aboveAverage="0" equalAverage="0" bottom="0" percent="0" rank="0" text="" dxfId="0">
      <formula>0</formula>
    </cfRule>
    <cfRule type="cellIs" priority="185" operator="lessThan" aboveAverage="0" equalAverage="0" bottom="0" percent="0" rank="0" text="" dxfId="1">
      <formula>0</formula>
    </cfRule>
  </conditionalFormatting>
  <conditionalFormatting sqref="C78">
    <cfRule type="cellIs" priority="186" operator="greaterThan" aboveAverage="0" equalAverage="0" bottom="0" percent="0" rank="0" text="" dxfId="0">
      <formula>0</formula>
    </cfRule>
    <cfRule type="cellIs" priority="187" operator="lessThan" aboveAverage="0" equalAverage="0" bottom="0" percent="0" rank="0" text="" dxfId="1">
      <formula>0</formula>
    </cfRule>
  </conditionalFormatting>
  <conditionalFormatting sqref="C79">
    <cfRule type="cellIs" priority="188" operator="greaterThan" aboveAverage="0" equalAverage="0" bottom="0" percent="0" rank="0" text="" dxfId="0">
      <formula>0</formula>
    </cfRule>
    <cfRule type="cellIs" priority="189" operator="lessThan" aboveAverage="0" equalAverage="0" bottom="0" percent="0" rank="0" text="" dxfId="1">
      <formula>0</formula>
    </cfRule>
  </conditionalFormatting>
  <conditionalFormatting sqref="C80">
    <cfRule type="cellIs" priority="190" operator="greaterThan" aboveAverage="0" equalAverage="0" bottom="0" percent="0" rank="0" text="" dxfId="0">
      <formula>0</formula>
    </cfRule>
    <cfRule type="cellIs" priority="191" operator="lessThan" aboveAverage="0" equalAverage="0" bottom="0" percent="0" rank="0" text="" dxfId="1">
      <formula>0</formula>
    </cfRule>
  </conditionalFormatting>
  <conditionalFormatting sqref="C81">
    <cfRule type="cellIs" priority="192" operator="greaterThan" aboveAverage="0" equalAverage="0" bottom="0" percent="0" rank="0" text="" dxfId="0">
      <formula>0</formula>
    </cfRule>
    <cfRule type="cellIs" priority="193" operator="lessThan" aboveAverage="0" equalAverage="0" bottom="0" percent="0" rank="0" text="" dxfId="1">
      <formula>0</formula>
    </cfRule>
  </conditionalFormatting>
  <conditionalFormatting sqref="C82">
    <cfRule type="cellIs" priority="194" operator="greaterThan" aboveAverage="0" equalAverage="0" bottom="0" percent="0" rank="0" text="" dxfId="0">
      <formula>0</formula>
    </cfRule>
    <cfRule type="cellIs" priority="195" operator="lessThan" aboveAverage="0" equalAverage="0" bottom="0" percent="0" rank="0" text="" dxfId="1">
      <formula>0</formula>
    </cfRule>
  </conditionalFormatting>
  <conditionalFormatting sqref="C83">
    <cfRule type="cellIs" priority="196" operator="greaterThan" aboveAverage="0" equalAverage="0" bottom="0" percent="0" rank="0" text="" dxfId="0">
      <formula>0</formula>
    </cfRule>
    <cfRule type="cellIs" priority="197" operator="lessThan" aboveAverage="0" equalAverage="0" bottom="0" percent="0" rank="0" text="" dxfId="1">
      <formula>0</formula>
    </cfRule>
  </conditionalFormatting>
  <conditionalFormatting sqref="C84">
    <cfRule type="cellIs" priority="198" operator="greaterThan" aboveAverage="0" equalAverage="0" bottom="0" percent="0" rank="0" text="" dxfId="0">
      <formula>0</formula>
    </cfRule>
    <cfRule type="cellIs" priority="199" operator="lessThan" aboveAverage="0" equalAverage="0" bottom="0" percent="0" rank="0" text="" dxfId="1">
      <formula>0</formula>
    </cfRule>
  </conditionalFormatting>
  <conditionalFormatting sqref="C85">
    <cfRule type="cellIs" priority="200" operator="greaterThan" aboveAverage="0" equalAverage="0" bottom="0" percent="0" rank="0" text="" dxfId="0">
      <formula>0</formula>
    </cfRule>
    <cfRule type="cellIs" priority="201" operator="lessThan" aboveAverage="0" equalAverage="0" bottom="0" percent="0" rank="0" text="" dxfId="1">
      <formula>0</formula>
    </cfRule>
  </conditionalFormatting>
  <conditionalFormatting sqref="C86">
    <cfRule type="cellIs" priority="202" operator="greaterThan" aboveAverage="0" equalAverage="0" bottom="0" percent="0" rank="0" text="" dxfId="0">
      <formula>0</formula>
    </cfRule>
    <cfRule type="cellIs" priority="203" operator="lessThan" aboveAverage="0" equalAverage="0" bottom="0" percent="0" rank="0" text="" dxfId="1">
      <formula>0</formula>
    </cfRule>
  </conditionalFormatting>
  <conditionalFormatting sqref="C87">
    <cfRule type="cellIs" priority="204" operator="greaterThan" aboveAverage="0" equalAverage="0" bottom="0" percent="0" rank="0" text="" dxfId="0">
      <formula>0</formula>
    </cfRule>
    <cfRule type="cellIs" priority="205" operator="lessThan" aboveAverage="0" equalAverage="0" bottom="0" percent="0" rank="0" text="" dxfId="1">
      <formula>0</formula>
    </cfRule>
  </conditionalFormatting>
  <conditionalFormatting sqref="C88">
    <cfRule type="cellIs" priority="206" operator="greaterThan" aboveAverage="0" equalAverage="0" bottom="0" percent="0" rank="0" text="" dxfId="0">
      <formula>0</formula>
    </cfRule>
    <cfRule type="cellIs" priority="207" operator="lessThan" aboveAverage="0" equalAverage="0" bottom="0" percent="0" rank="0" text="" dxfId="1">
      <formula>0</formula>
    </cfRule>
  </conditionalFormatting>
  <conditionalFormatting sqref="C89">
    <cfRule type="cellIs" priority="208" operator="greaterThan" aboveAverage="0" equalAverage="0" bottom="0" percent="0" rank="0" text="" dxfId="0">
      <formula>0</formula>
    </cfRule>
    <cfRule type="cellIs" priority="209" operator="lessThan" aboveAverage="0" equalAverage="0" bottom="0" percent="0" rank="0" text="" dxfId="1">
      <formula>0</formula>
    </cfRule>
  </conditionalFormatting>
  <conditionalFormatting sqref="C90">
    <cfRule type="cellIs" priority="210" operator="greaterThan" aboveAverage="0" equalAverage="0" bottom="0" percent="0" rank="0" text="" dxfId="0">
      <formula>0</formula>
    </cfRule>
    <cfRule type="cellIs" priority="211" operator="lessThan" aboveAverage="0" equalAverage="0" bottom="0" percent="0" rank="0" text="" dxfId="1">
      <formula>0</formula>
    </cfRule>
  </conditionalFormatting>
  <conditionalFormatting sqref="C91">
    <cfRule type="cellIs" priority="212" operator="greaterThan" aboveAverage="0" equalAverage="0" bottom="0" percent="0" rank="0" text="" dxfId="0">
      <formula>0</formula>
    </cfRule>
    <cfRule type="cellIs" priority="213" operator="lessThan" aboveAverage="0" equalAverage="0" bottom="0" percent="0" rank="0" text="" dxfId="1">
      <formula>0</formula>
    </cfRule>
  </conditionalFormatting>
  <conditionalFormatting sqref="C92">
    <cfRule type="cellIs" priority="214" operator="greaterThan" aboveAverage="0" equalAverage="0" bottom="0" percent="0" rank="0" text="" dxfId="0">
      <formula>0</formula>
    </cfRule>
    <cfRule type="cellIs" priority="215" operator="lessThan" aboveAverage="0" equalAverage="0" bottom="0" percent="0" rank="0" text="" dxfId="1">
      <formula>0</formula>
    </cfRule>
  </conditionalFormatting>
  <conditionalFormatting sqref="C93">
    <cfRule type="cellIs" priority="216" operator="greaterThan" aboveAverage="0" equalAverage="0" bottom="0" percent="0" rank="0" text="" dxfId="0">
      <formula>0</formula>
    </cfRule>
    <cfRule type="cellIs" priority="217" operator="lessThan" aboveAverage="0" equalAverage="0" bottom="0" percent="0" rank="0" text="" dxfId="1">
      <formula>0</formula>
    </cfRule>
  </conditionalFormatting>
  <conditionalFormatting sqref="C94">
    <cfRule type="cellIs" priority="218" operator="greaterThan" aboveAverage="0" equalAverage="0" bottom="0" percent="0" rank="0" text="" dxfId="0">
      <formula>0</formula>
    </cfRule>
    <cfRule type="cellIs" priority="219" operator="lessThan" aboveAverage="0" equalAverage="0" bottom="0" percent="0" rank="0" text="" dxfId="1">
      <formula>0</formula>
    </cfRule>
  </conditionalFormatting>
  <conditionalFormatting sqref="C95">
    <cfRule type="cellIs" priority="220" operator="greaterThan" aboveAverage="0" equalAverage="0" bottom="0" percent="0" rank="0" text="" dxfId="0">
      <formula>0</formula>
    </cfRule>
    <cfRule type="cellIs" priority="221" operator="lessThan" aboveAverage="0" equalAverage="0" bottom="0" percent="0" rank="0" text="" dxfId="1">
      <formula>0</formula>
    </cfRule>
  </conditionalFormatting>
  <conditionalFormatting sqref="C96">
    <cfRule type="cellIs" priority="222" operator="greaterThan" aboveAverage="0" equalAverage="0" bottom="0" percent="0" rank="0" text="" dxfId="0">
      <formula>0</formula>
    </cfRule>
    <cfRule type="cellIs" priority="223" operator="lessThan" aboveAverage="0" equalAverage="0" bottom="0" percent="0" rank="0" text="" dxfId="1">
      <formula>0</formula>
    </cfRule>
  </conditionalFormatting>
  <conditionalFormatting sqref="C97">
    <cfRule type="cellIs" priority="224" operator="greaterThan" aboveAverage="0" equalAverage="0" bottom="0" percent="0" rank="0" text="" dxfId="0">
      <formula>0</formula>
    </cfRule>
    <cfRule type="cellIs" priority="225" operator="lessThan" aboveAverage="0" equalAverage="0" bottom="0" percent="0" rank="0" text="" dxfId="1">
      <formula>0</formula>
    </cfRule>
  </conditionalFormatting>
  <conditionalFormatting sqref="C98">
    <cfRule type="cellIs" priority="226" operator="greaterThan" aboveAverage="0" equalAverage="0" bottom="0" percent="0" rank="0" text="" dxfId="0">
      <formula>0</formula>
    </cfRule>
    <cfRule type="cellIs" priority="227" operator="lessThan" aboveAverage="0" equalAverage="0" bottom="0" percent="0" rank="0" text="" dxfId="1">
      <formula>0</formula>
    </cfRule>
  </conditionalFormatting>
  <conditionalFormatting sqref="C99">
    <cfRule type="cellIs" priority="228" operator="greaterThan" aboveAverage="0" equalAverage="0" bottom="0" percent="0" rank="0" text="" dxfId="0">
      <formula>0</formula>
    </cfRule>
    <cfRule type="cellIs" priority="229" operator="lessThan" aboveAverage="0" equalAverage="0" bottom="0" percent="0" rank="0" text="" dxfId="1">
      <formula>0</formula>
    </cfRule>
  </conditionalFormatting>
  <conditionalFormatting sqref="C100">
    <cfRule type="cellIs" priority="230" operator="greaterThan" aboveAverage="0" equalAverage="0" bottom="0" percent="0" rank="0" text="" dxfId="0">
      <formula>0</formula>
    </cfRule>
    <cfRule type="cellIs" priority="231" operator="lessThan" aboveAverage="0" equalAverage="0" bottom="0" percent="0" rank="0" text="" dxfId="1">
      <formula>0</formula>
    </cfRule>
  </conditionalFormatting>
  <conditionalFormatting sqref="C101">
    <cfRule type="cellIs" priority="232" operator="greaterThan" aboveAverage="0" equalAverage="0" bottom="0" percent="0" rank="0" text="" dxfId="0">
      <formula>0</formula>
    </cfRule>
    <cfRule type="cellIs" priority="233" operator="lessThan" aboveAverage="0" equalAverage="0" bottom="0" percent="0" rank="0" text="" dxfId="1">
      <formula>0</formula>
    </cfRule>
  </conditionalFormatting>
  <conditionalFormatting sqref="C102">
    <cfRule type="cellIs" priority="234" operator="greaterThan" aboveAverage="0" equalAverage="0" bottom="0" percent="0" rank="0" text="" dxfId="0">
      <formula>0</formula>
    </cfRule>
    <cfRule type="cellIs" priority="235" operator="lessThan" aboveAverage="0" equalAverage="0" bottom="0" percent="0" rank="0" text="" dxfId="1">
      <formula>0</formula>
    </cfRule>
  </conditionalFormatting>
  <conditionalFormatting sqref="C103">
    <cfRule type="cellIs" priority="236" operator="greaterThan" aboveAverage="0" equalAverage="0" bottom="0" percent="0" rank="0" text="" dxfId="0">
      <formula>0</formula>
    </cfRule>
    <cfRule type="cellIs" priority="237" operator="lessThan" aboveAverage="0" equalAverage="0" bottom="0" percent="0" rank="0" text="" dxfId="1">
      <formula>0</formula>
    </cfRule>
  </conditionalFormatting>
  <conditionalFormatting sqref="C104">
    <cfRule type="cellIs" priority="238" operator="greaterThan" aboveAverage="0" equalAverage="0" bottom="0" percent="0" rank="0" text="" dxfId="0">
      <formula>0</formula>
    </cfRule>
    <cfRule type="cellIs" priority="239" operator="lessThan" aboveAverage="0" equalAverage="0" bottom="0" percent="0" rank="0" text="" dxfId="1">
      <formula>0</formula>
    </cfRule>
  </conditionalFormatting>
  <conditionalFormatting sqref="C105">
    <cfRule type="cellIs" priority="240" operator="greaterThan" aboveAverage="0" equalAverage="0" bottom="0" percent="0" rank="0" text="" dxfId="0">
      <formula>0</formula>
    </cfRule>
    <cfRule type="cellIs" priority="241" operator="lessThan" aboveAverage="0" equalAverage="0" bottom="0" percent="0" rank="0" text="" dxfId="1">
      <formula>0</formula>
    </cfRule>
  </conditionalFormatting>
  <conditionalFormatting sqref="C106">
    <cfRule type="cellIs" priority="242" operator="greaterThan" aboveAverage="0" equalAverage="0" bottom="0" percent="0" rank="0" text="" dxfId="0">
      <formula>0</formula>
    </cfRule>
    <cfRule type="cellIs" priority="243" operator="lessThan" aboveAverage="0" equalAverage="0" bottom="0" percent="0" rank="0" text="" dxfId="1">
      <formula>0</formula>
    </cfRule>
  </conditionalFormatting>
  <conditionalFormatting sqref="C107">
    <cfRule type="cellIs" priority="244" operator="greaterThan" aboveAverage="0" equalAverage="0" bottom="0" percent="0" rank="0" text="" dxfId="0">
      <formula>0</formula>
    </cfRule>
    <cfRule type="cellIs" priority="245" operator="lessThan" aboveAverage="0" equalAverage="0" bottom="0" percent="0" rank="0" text="" dxfId="1">
      <formula>0</formula>
    </cfRule>
  </conditionalFormatting>
  <conditionalFormatting sqref="C108">
    <cfRule type="cellIs" priority="246" operator="greaterThan" aboveAverage="0" equalAverage="0" bottom="0" percent="0" rank="0" text="" dxfId="0">
      <formula>0</formula>
    </cfRule>
    <cfRule type="cellIs" priority="247" operator="lessThan" aboveAverage="0" equalAverage="0" bottom="0" percent="0" rank="0" text="" dxfId="1">
      <formula>0</formula>
    </cfRule>
  </conditionalFormatting>
  <conditionalFormatting sqref="C109">
    <cfRule type="cellIs" priority="248" operator="greaterThan" aboveAverage="0" equalAverage="0" bottom="0" percent="0" rank="0" text="" dxfId="0">
      <formula>0</formula>
    </cfRule>
    <cfRule type="cellIs" priority="249" operator="lessThan" aboveAverage="0" equalAverage="0" bottom="0" percent="0" rank="0" text="" dxfId="1">
      <formula>0</formula>
    </cfRule>
  </conditionalFormatting>
  <conditionalFormatting sqref="C110">
    <cfRule type="cellIs" priority="250" operator="greaterThan" aboveAverage="0" equalAverage="0" bottom="0" percent="0" rank="0" text="" dxfId="0">
      <formula>0</formula>
    </cfRule>
    <cfRule type="cellIs" priority="251" operator="lessThan" aboveAverage="0" equalAverage="0" bottom="0" percent="0" rank="0" text="" dxfId="1">
      <formula>0</formula>
    </cfRule>
  </conditionalFormatting>
  <conditionalFormatting sqref="C111">
    <cfRule type="cellIs" priority="252" operator="greaterThan" aboveAverage="0" equalAverage="0" bottom="0" percent="0" rank="0" text="" dxfId="0">
      <formula>0</formula>
    </cfRule>
    <cfRule type="cellIs" priority="253" operator="lessThan" aboveAverage="0" equalAverage="0" bottom="0" percent="0" rank="0" text="" dxfId="1">
      <formula>0</formula>
    </cfRule>
  </conditionalFormatting>
  <conditionalFormatting sqref="C112">
    <cfRule type="cellIs" priority="254" operator="greaterThan" aboveAverage="0" equalAverage="0" bottom="0" percent="0" rank="0" text="" dxfId="0">
      <formula>0</formula>
    </cfRule>
    <cfRule type="cellIs" priority="255" operator="lessThan" aboveAverage="0" equalAverage="0" bottom="0" percent="0" rank="0" text="" dxfId="1">
      <formula>0</formula>
    </cfRule>
  </conditionalFormatting>
  <conditionalFormatting sqref="C113">
    <cfRule type="cellIs" priority="256" operator="greaterThan" aboveAverage="0" equalAverage="0" bottom="0" percent="0" rank="0" text="" dxfId="0">
      <formula>0</formula>
    </cfRule>
    <cfRule type="cellIs" priority="257" operator="lessThan" aboveAverage="0" equalAverage="0" bottom="0" percent="0" rank="0" text="" dxfId="1">
      <formula>0</formula>
    </cfRule>
  </conditionalFormatting>
  <conditionalFormatting sqref="C114">
    <cfRule type="cellIs" priority="258" operator="greaterThan" aboveAverage="0" equalAverage="0" bottom="0" percent="0" rank="0" text="" dxfId="0">
      <formula>0</formula>
    </cfRule>
    <cfRule type="cellIs" priority="259" operator="lessThan" aboveAverage="0" equalAverage="0" bottom="0" percent="0" rank="0" text="" dxfId="1">
      <formula>0</formula>
    </cfRule>
  </conditionalFormatting>
  <conditionalFormatting sqref="C115">
    <cfRule type="cellIs" priority="260" operator="greaterThan" aboveAverage="0" equalAverage="0" bottom="0" percent="0" rank="0" text="" dxfId="0">
      <formula>0</formula>
    </cfRule>
    <cfRule type="cellIs" priority="261" operator="lessThan" aboveAverage="0" equalAverage="0" bottom="0" percent="0" rank="0" text="" dxfId="1">
      <formula>0</formula>
    </cfRule>
  </conditionalFormatting>
  <conditionalFormatting sqref="C116">
    <cfRule type="cellIs" priority="262" operator="greaterThan" aboveAverage="0" equalAverage="0" bottom="0" percent="0" rank="0" text="" dxfId="0">
      <formula>0</formula>
    </cfRule>
    <cfRule type="cellIs" priority="263" operator="lessThan" aboveAverage="0" equalAverage="0" bottom="0" percent="0" rank="0" text="" dxfId="1">
      <formula>0</formula>
    </cfRule>
  </conditionalFormatting>
  <conditionalFormatting sqref="C117">
    <cfRule type="cellIs" priority="264" operator="greaterThan" aboveAverage="0" equalAverage="0" bottom="0" percent="0" rank="0" text="" dxfId="0">
      <formula>0</formula>
    </cfRule>
    <cfRule type="cellIs" priority="265" operator="lessThan" aboveAverage="0" equalAverage="0" bottom="0" percent="0" rank="0" text="" dxfId="1">
      <formula>0</formula>
    </cfRule>
  </conditionalFormatting>
  <conditionalFormatting sqref="C118">
    <cfRule type="cellIs" priority="266" operator="greaterThan" aboveAverage="0" equalAverage="0" bottom="0" percent="0" rank="0" text="" dxfId="0">
      <formula>0</formula>
    </cfRule>
    <cfRule type="cellIs" priority="267" operator="lessThan" aboveAverage="0" equalAverage="0" bottom="0" percent="0" rank="0" text="" dxfId="1">
      <formula>0</formula>
    </cfRule>
  </conditionalFormatting>
  <conditionalFormatting sqref="C119">
    <cfRule type="cellIs" priority="268" operator="greaterThan" aboveAverage="0" equalAverage="0" bottom="0" percent="0" rank="0" text="" dxfId="0">
      <formula>0</formula>
    </cfRule>
    <cfRule type="cellIs" priority="269" operator="lessThan" aboveAverage="0" equalAverage="0" bottom="0" percent="0" rank="0" text="" dxfId="1">
      <formula>0</formula>
    </cfRule>
  </conditionalFormatting>
  <conditionalFormatting sqref="C120">
    <cfRule type="cellIs" priority="270" operator="greaterThan" aboveAverage="0" equalAverage="0" bottom="0" percent="0" rank="0" text="" dxfId="0">
      <formula>0</formula>
    </cfRule>
    <cfRule type="cellIs" priority="271" operator="lessThan" aboveAverage="0" equalAverage="0" bottom="0" percent="0" rank="0" text="" dxfId="1">
      <formula>0</formula>
    </cfRule>
  </conditionalFormatting>
  <conditionalFormatting sqref="C121">
    <cfRule type="cellIs" priority="272" operator="greaterThan" aboveAverage="0" equalAverage="0" bottom="0" percent="0" rank="0" text="" dxfId="0">
      <formula>0</formula>
    </cfRule>
    <cfRule type="cellIs" priority="273" operator="lessThan" aboveAverage="0" equalAverage="0" bottom="0" percent="0" rank="0" text="" dxfId="1">
      <formula>0</formula>
    </cfRule>
  </conditionalFormatting>
  <conditionalFormatting sqref="C122">
    <cfRule type="cellIs" priority="274" operator="greaterThan" aboveAverage="0" equalAverage="0" bottom="0" percent="0" rank="0" text="" dxfId="0">
      <formula>0</formula>
    </cfRule>
    <cfRule type="cellIs" priority="275" operator="lessThan" aboveAverage="0" equalAverage="0" bottom="0" percent="0" rank="0" text="" dxfId="1">
      <formula>0</formula>
    </cfRule>
  </conditionalFormatting>
  <conditionalFormatting sqref="C123">
    <cfRule type="cellIs" priority="276" operator="greaterThan" aboveAverage="0" equalAverage="0" bottom="0" percent="0" rank="0" text="" dxfId="0">
      <formula>0</formula>
    </cfRule>
    <cfRule type="cellIs" priority="27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8"/>
    <col collapsed="false" customWidth="true" hidden="false" outlineLevel="0" max="8" min="8" style="1" width="2"/>
    <col collapsed="false" customWidth="true" hidden="false" outlineLevel="0" max="9" min="9" style="1" width="22"/>
    <col collapsed="false" customWidth="true" hidden="false" outlineLevel="0" max="10" min="10" style="1" width="16"/>
  </cols>
  <sheetData>
    <row r="1" customFormat="false" ht="36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I1" s="148" t="s">
        <v>94</v>
      </c>
      <c r="J1" s="148"/>
    </row>
    <row r="2" customFormat="false" ht="31.5" hidden="false" customHeight="true" outlineLevel="0" collapsed="false">
      <c r="A2" s="149" t="s">
        <v>95</v>
      </c>
      <c r="B2" s="149"/>
      <c r="C2" s="150" t="s">
        <v>96</v>
      </c>
      <c r="D2" s="151" t="s">
        <v>97</v>
      </c>
      <c r="E2" s="150" t="n">
        <v>2026</v>
      </c>
      <c r="F2" s="152" t="str">
        <f aca="false">IFERROR(TEXT(DATE($E$2,MATCH($C$2,{"January","February","March","April","May","June","July","August","September","October","November","December"},0),1),"MMMM YYYY"),"—")</f>
        <v>May 2026</v>
      </c>
      <c r="G2" s="152"/>
    </row>
    <row r="3" customFormat="false" ht="18" hidden="false" customHeight="true" outlineLevel="0" collapsed="false">
      <c r="A3" s="153" t="s">
        <v>98</v>
      </c>
      <c r="B3" s="154" t="s">
        <v>99</v>
      </c>
      <c r="C3" s="154" t="s">
        <v>100</v>
      </c>
      <c r="D3" s="154" t="s">
        <v>101</v>
      </c>
      <c r="E3" s="154" t="s">
        <v>102</v>
      </c>
      <c r="F3" s="154" t="s">
        <v>103</v>
      </c>
      <c r="G3" s="153" t="s">
        <v>104</v>
      </c>
      <c r="I3" s="155" t="s">
        <v>105</v>
      </c>
      <c r="J3" s="155"/>
    </row>
    <row r="4" customFormat="false" ht="27.75" hidden="false" customHeight="true" outlineLevel="0" collapsed="false">
      <c r="A4" s="156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+0)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+0),"")</f>
        <v/>
      </c>
      <c r="B4" s="157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+1),"")</f>
        <v/>
      </c>
      <c r="C4" s="157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+2),"")</f>
        <v/>
      </c>
      <c r="D4" s="157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+3),"")</f>
        <v/>
      </c>
      <c r="E4" s="157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+4),"")</f>
        <v/>
      </c>
      <c r="F4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+5)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+5),"")</f>
        <v>1</v>
      </c>
      <c r="G4" s="156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+6)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+6),"")</f>
        <v>2</v>
      </c>
      <c r="I4" s="158" t="str">
        <f aca="false">IFERROR(SUMPRODUCT(('Trade Log'!$T$5:$T$1004)*(MONTH('Trade Log'!$E$5:$E$1004)=MATCH($C$2,{"January","February","March","April","May","June","July","August","September","October","November","December"},0))*(YEAR('Trade Log'!$E$5:$E$1004)=$E$2)),"—")</f>
        <v>—</v>
      </c>
      <c r="J4" s="158"/>
    </row>
    <row r="5" customFormat="false" ht="18" hidden="false" customHeight="true" outlineLevel="0" collapsed="false">
      <c r="A5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+0)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+0)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+0)),""),"")</f>
        <v/>
      </c>
      <c r="B5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+1)),""),"")</f>
        <v/>
      </c>
      <c r="C5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+2)),""),"")</f>
        <v/>
      </c>
      <c r="D5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+3)),""),"")</f>
        <v/>
      </c>
      <c r="E5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+4)),""),"")</f>
        <v/>
      </c>
      <c r="F5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+5)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+5)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+5)),""),"")</f>
        <v/>
      </c>
      <c r="G5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+6)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+6)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+6)),""),"")</f>
        <v/>
      </c>
      <c r="I5" s="155" t="s">
        <v>106</v>
      </c>
      <c r="J5" s="155"/>
    </row>
    <row r="6" customFormat="false" ht="27.75" hidden="false" customHeight="true" outlineLevel="0" collapsed="false">
      <c r="A6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+0)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+0)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+0)&amp;" trade(s)"),""),"")</f>
        <v/>
      </c>
      <c r="B6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+1)&amp;" trade(s)"),""),"")</f>
        <v/>
      </c>
      <c r="C6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+2)&amp;" trade(s)"),""),"")</f>
        <v/>
      </c>
      <c r="D6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+3)&amp;" trade(s)"),""),"")</f>
        <v/>
      </c>
      <c r="E6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+4)&amp;" trade(s)"),""),"")</f>
        <v/>
      </c>
      <c r="F6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+5)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+5)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+5)&amp;" trade(s)"),""),"")</f>
        <v/>
      </c>
      <c r="G6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+6)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+6)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+6)&amp;" trade(s)"),""),"")</f>
        <v/>
      </c>
      <c r="I6" s="163" t="n">
        <f aca="false">IFERROR(SUMPRODUCT(('Trade Log'!$T$5:$T$1004&gt;0)*(MONTH('Trade Log'!$E$5:$E$1004)=MATCH($C$2,{"January","February","March","April","May","June","July","August","September","October","November","December"},0))*(YEAR('Trade Log'!$E$5:$E$1004)=$E$2)),"—")</f>
        <v>0</v>
      </c>
      <c r="J6" s="163"/>
    </row>
    <row r="7" customFormat="false" ht="18" hidden="false" customHeight="true" outlineLevel="0" collapsed="false">
      <c r="A7" s="156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+7)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+7),"")</f>
        <v>3</v>
      </c>
      <c r="B7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+8)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+8),"")</f>
        <v>4</v>
      </c>
      <c r="C7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+9)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+9),"")</f>
        <v>5</v>
      </c>
      <c r="D7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+10)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+10),"")</f>
        <v>6</v>
      </c>
      <c r="E7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+11)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+11),"")</f>
        <v>7</v>
      </c>
      <c r="F7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+12)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+12),"")</f>
        <v>8</v>
      </c>
      <c r="G7" s="156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+13)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+13),"")</f>
        <v>9</v>
      </c>
      <c r="I7" s="164" t="s">
        <v>107</v>
      </c>
      <c r="J7" s="164"/>
    </row>
    <row r="8" customFormat="false" ht="27.75" hidden="false" customHeight="true" outlineLevel="0" collapsed="false">
      <c r="A8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+7)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+7)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+7)),""),"")</f>
        <v/>
      </c>
      <c r="B8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+8)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+8)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+8)),""),"")</f>
        <v/>
      </c>
      <c r="C8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+9)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+9)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+9)),""),"")</f>
        <v/>
      </c>
      <c r="D8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+10)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+10)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+10)),""),"")</f>
        <v/>
      </c>
      <c r="E8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+11)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+11)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+11)),""),"")</f>
        <v/>
      </c>
      <c r="F8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+12)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+12)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+12)),""),"")</f>
        <v/>
      </c>
      <c r="G8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+13)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+13)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+13)),""),"")</f>
        <v/>
      </c>
      <c r="I8" s="165" t="n">
        <f aca="false">IFERROR(SUMPRODUCT(('Trade Log'!$T$5:$T$1004&lt;0)*(MONTH('Trade Log'!$E$5:$E$1004)=MATCH($C$2,{"January","February","March","April","May","June","July","August","September","October","November","December"},0))*(YEAR('Trade Log'!$E$5:$E$1004)=$E$2)),"—")</f>
        <v>0</v>
      </c>
      <c r="J8" s="165"/>
    </row>
    <row r="9" customFormat="false" ht="18" hidden="false" customHeight="true" outlineLevel="0" collapsed="false">
      <c r="A9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+7)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+7)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+7)&amp;" trade(s)"),""),"")</f>
        <v/>
      </c>
      <c r="B9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+8)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+8)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+8)&amp;" trade(s)"),""),"")</f>
        <v/>
      </c>
      <c r="C9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+9)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+9)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+9)&amp;" trade(s)"),""),"")</f>
        <v/>
      </c>
      <c r="D9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+10)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+10)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+10)&amp;" trade(s)"),""),"")</f>
        <v/>
      </c>
      <c r="E9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+11)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+11)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+11)&amp;" trade(s)"),""),"")</f>
        <v/>
      </c>
      <c r="F9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+12)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+12)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+12)&amp;" trade(s)"),""),"")</f>
        <v/>
      </c>
      <c r="G9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+13)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+13)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+13)&amp;" trade(s)"),""),"")</f>
        <v/>
      </c>
      <c r="I9" s="166" t="s">
        <v>108</v>
      </c>
      <c r="J9" s="166"/>
    </row>
    <row r="10" customFormat="false" ht="27.75" hidden="false" customHeight="true" outlineLevel="0" collapsed="false">
      <c r="A10" s="156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+14)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+14),"")</f>
        <v>10</v>
      </c>
      <c r="B10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+15)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+15),"")</f>
        <v>11</v>
      </c>
      <c r="C10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+16)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+16),"")</f>
        <v>12</v>
      </c>
      <c r="D10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+17)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+17),"")</f>
        <v>13</v>
      </c>
      <c r="E10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+18)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+18),"")</f>
        <v>14</v>
      </c>
      <c r="F10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+19)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+19),"")</f>
        <v>15</v>
      </c>
      <c r="G10" s="156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+20)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+20),"")</f>
        <v>16</v>
      </c>
      <c r="I10" s="167" t="n">
        <f aca="false">IFERROR(SUMPRODUCT(('Trade Log'!$T$5:$T$1004&lt;&gt;0)*(MONTH('Trade Log'!$E$5:$E$1004)=MATCH($C$2,{"January","February","March","April","May","June","July","August","September","October","November","December"},0))*(YEAR('Trade Log'!$E$5:$E$1004)=$E$2)),"—")</f>
        <v>0</v>
      </c>
      <c r="J10" s="167"/>
    </row>
    <row r="11" customFormat="false" ht="18" hidden="false" customHeight="true" outlineLevel="0" collapsed="false">
      <c r="A11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+14)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+14)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+14)),""),"")</f>
        <v/>
      </c>
      <c r="B11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+15)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+15)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+15)),""),"")</f>
        <v/>
      </c>
      <c r="C11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+16)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+16)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+16)),""),"")</f>
        <v/>
      </c>
      <c r="D11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+17)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+17)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+17)),""),"")</f>
        <v/>
      </c>
      <c r="E11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+18)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+18)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+18)),""),"")</f>
        <v/>
      </c>
      <c r="F11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+19)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+19)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+19)),""),"")</f>
        <v/>
      </c>
      <c r="G11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+20)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+20)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+20)),""),"")</f>
        <v/>
      </c>
      <c r="I11" s="155" t="s">
        <v>109</v>
      </c>
      <c r="J11" s="155"/>
    </row>
    <row r="12" customFormat="false" ht="27.75" hidden="false" customHeight="true" outlineLevel="0" collapsed="false">
      <c r="A12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+14)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+14)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+14)&amp;" trade(s)"),""),"")</f>
        <v/>
      </c>
      <c r="B12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+15)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+15)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+15)&amp;" trade(s)"),""),"")</f>
        <v/>
      </c>
      <c r="C12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+16)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+16)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+16)&amp;" trade(s)"),""),"")</f>
        <v/>
      </c>
      <c r="D12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+17)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+17)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+17)&amp;" trade(s)"),""),"")</f>
        <v/>
      </c>
      <c r="E12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+18)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+18)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+18)&amp;" trade(s)"),""),"")</f>
        <v/>
      </c>
      <c r="F12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+19)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+19)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+19)&amp;" trade(s)"),""),"")</f>
        <v/>
      </c>
      <c r="G12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+20)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+20)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+20)&amp;" trade(s)"),""),"")</f>
        <v/>
      </c>
      <c r="I12" s="168" t="str">
        <f aca="false">IFERROR(SUMPRODUCT(('Trade Log'!$T$5:$T$1004&gt;0)*(MONTH('Trade Log'!$E$5:$E$1004)=MATCH($C$2,{"January","February","March","April","May","June","July","August","September","October","November","December"},0))*(YEAR('Trade Log'!$E$5:$E$1004)=$E$2))/SUMPRODUCT(('Trade Log'!$T$5:$T$1004&lt;&gt;0)*(MONTH('Trade Log'!$E$5:$E$1004)=MATCH($C$2,{"January","February","March","April","May","June","July","August","September","October","November","December"},0))*(YEAR('Trade Log'!$E$5:$E$1004)=$E$2)),"—")</f>
        <v>—</v>
      </c>
      <c r="J12" s="168"/>
    </row>
    <row r="13" customFormat="false" ht="18" hidden="false" customHeight="true" outlineLevel="0" collapsed="false">
      <c r="A13" s="156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+21)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+21),"")</f>
        <v>17</v>
      </c>
      <c r="B13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+22)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+22),"")</f>
        <v>18</v>
      </c>
      <c r="C13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+23)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+23),"")</f>
        <v>19</v>
      </c>
      <c r="D13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+24)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+24),"")</f>
        <v>20</v>
      </c>
      <c r="E13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+25)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+25),"")</f>
        <v>21</v>
      </c>
      <c r="F13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+26)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+26),"")</f>
        <v>22</v>
      </c>
      <c r="G13" s="156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+27)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+27),"")</f>
        <v>23</v>
      </c>
      <c r="I13" s="155" t="s">
        <v>110</v>
      </c>
      <c r="J13" s="155"/>
    </row>
    <row r="14" customFormat="false" ht="27.75" hidden="false" customHeight="true" outlineLevel="0" collapsed="false">
      <c r="A14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+21)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+21)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+21)),""),"")</f>
        <v/>
      </c>
      <c r="B14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+22)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+22)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+22)),""),"")</f>
        <v/>
      </c>
      <c r="C14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+23)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+23)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+23)),""),"")</f>
        <v/>
      </c>
      <c r="D14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+24)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+24)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+24)),""),"")</f>
        <v/>
      </c>
      <c r="E14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+25)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+25)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+25)),""),"")</f>
        <v/>
      </c>
      <c r="F14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+26)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+26)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+26)),""),"")</f>
        <v/>
      </c>
      <c r="G14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+27)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+27)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+27)),""),"")</f>
        <v/>
      </c>
      <c r="I14" s="169" t="str">
        <f aca="false">IFERROR(maxifs('Trade Log'!$T$5:$T$1004,'Trade Log'!$E$5:$E$1004,"&gt;="&amp;DATE($E$2,MATCH($C$2,{"January","February","March","April","May","June","July","August","September","October","November","December"},0),1),'Trade Log'!$E$5:$E$1004,"&lt;="&amp;EOMONTH(DATE($E$2,MATCH($C$2,{"January","February","March","April","May","June","July","August","September","October","November","December"},0),1),0)),"—")</f>
        <v>—</v>
      </c>
      <c r="J14" s="169"/>
    </row>
    <row r="15" customFormat="false" ht="18" hidden="false" customHeight="true" outlineLevel="0" collapsed="false">
      <c r="A15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+21)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+21)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+21)&amp;" trade(s)"),""),"")</f>
        <v/>
      </c>
      <c r="B15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+22)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+22)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+22)&amp;" trade(s)"),""),"")</f>
        <v/>
      </c>
      <c r="C15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+23)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+23)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+23)&amp;" trade(s)"),""),"")</f>
        <v/>
      </c>
      <c r="D15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+24)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+24)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+24)&amp;" trade(s)"),""),"")</f>
        <v/>
      </c>
      <c r="E15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+25)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+25)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+25)&amp;" trade(s)"),""),"")</f>
        <v/>
      </c>
      <c r="F15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+26)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+26)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+26)&amp;" trade(s)"),""),"")</f>
        <v/>
      </c>
      <c r="G15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+27)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+27)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+27)&amp;" trade(s)"),""),"")</f>
        <v/>
      </c>
      <c r="I15" s="164" t="s">
        <v>111</v>
      </c>
      <c r="J15" s="164"/>
    </row>
    <row r="16" customFormat="false" ht="27.75" hidden="false" customHeight="true" outlineLevel="0" collapsed="false">
      <c r="A16" s="156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+28)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+28),"")</f>
        <v>24</v>
      </c>
      <c r="B16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+29)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+29),"")</f>
        <v>25</v>
      </c>
      <c r="C16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+30)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+30),"")</f>
        <v>26</v>
      </c>
      <c r="D16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+31)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+31),"")</f>
        <v>27</v>
      </c>
      <c r="E16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+32)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+32),"")</f>
        <v>28</v>
      </c>
      <c r="F16" s="157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+33)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+33),"")</f>
        <v>29</v>
      </c>
      <c r="G16" s="156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+34)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+34),"")</f>
        <v>30</v>
      </c>
      <c r="I16" s="170" t="str">
        <f aca="false">IFERROR(minifs('Trade Log'!$T$5:$T$1004,'Trade Log'!$E$5:$E$1004,"&gt;="&amp;DATE($E$2,MATCH($C$2,{"January","February","March","April","May","June","July","August","September","October","November","December"},0),1),'Trade Log'!$E$5:$E$1004,"&lt;="&amp;EOMONTH(DATE($E$2,MATCH($C$2,{"January","February","March","April","May","June","July","August","September","October","November","December"},0),1),0)),"—")</f>
        <v>—</v>
      </c>
      <c r="J16" s="170"/>
    </row>
    <row r="17" customFormat="false" ht="18" hidden="false" customHeight="true" outlineLevel="0" collapsed="false">
      <c r="A17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+28)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+28)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+28)),""),"")</f>
        <v/>
      </c>
      <c r="B17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+29)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+29)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+29)),""),"")</f>
        <v/>
      </c>
      <c r="C17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+30)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+30)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+30)),""),"")</f>
        <v/>
      </c>
      <c r="D17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+31)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+31)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+31)),""),"")</f>
        <v/>
      </c>
      <c r="E17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+32)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+32)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+32)),""),"")</f>
        <v/>
      </c>
      <c r="F17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+33)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+33)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+33)),""),"")</f>
        <v/>
      </c>
      <c r="G17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+34)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+34)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+34)),""),"")</f>
        <v/>
      </c>
      <c r="I17" s="166" t="s">
        <v>112</v>
      </c>
      <c r="J17" s="166"/>
    </row>
    <row r="18" customFormat="false" ht="27.75" hidden="false" customHeight="true" outlineLevel="0" collapsed="false">
      <c r="A18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+28)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+28)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+28)&amp;" trade(s)"),""),"")</f>
        <v/>
      </c>
      <c r="B18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+29)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+29)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+29)&amp;" trade(s)"),""),"")</f>
        <v/>
      </c>
      <c r="C18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+30)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+30)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+30)&amp;" trade(s)"),""),"")</f>
        <v/>
      </c>
      <c r="D18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+31)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+31)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+31)&amp;" trade(s)"),""),"")</f>
        <v/>
      </c>
      <c r="E18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+32)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+32)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+32)&amp;" trade(s)"),""),"")</f>
        <v/>
      </c>
      <c r="F18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+33)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+33)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+33)&amp;" trade(s)"),""),"")</f>
        <v/>
      </c>
      <c r="G18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+34)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+34)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+34)&amp;" trade(s)"),""),"")</f>
        <v/>
      </c>
      <c r="I18" s="171" t="str">
        <f aca="false">IFERROR(SUMPRODUCT(('Trade Log'!$T$5:$T$1004)*(MONTH('Trade Log'!$E$5:$E$1004)=MATCH($C$2,{"January","February","March","April","May","June","July","August","September","October","November","December"},0))*(YEAR('Trade Log'!$E$5:$E$1004)=$E$2))/SUMPRODUCT(('Trade Log'!$T$5:$T$1004&lt;&gt;0)*(MONTH('Trade Log'!$E$5:$E$1004)=MATCH($C$2,{"January","February","March","April","May","June","July","August","September","October","November","December"},0))*(YEAR('Trade Log'!$E$5:$E$1004)=$E$2)),"—")</f>
        <v>—</v>
      </c>
      <c r="J18" s="171"/>
    </row>
    <row r="19" customFormat="false" ht="18" hidden="false" customHeight="true" outlineLevel="0" collapsed="false">
      <c r="A19" s="156" t="n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+35)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+35),"")</f>
        <v>31</v>
      </c>
      <c r="B19" s="157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+36)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+36),"")</f>
        <v/>
      </c>
      <c r="C19" s="157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+37)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+37),"")</f>
        <v/>
      </c>
      <c r="D19" s="157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+38)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+38),"")</f>
        <v/>
      </c>
      <c r="E19" s="157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+39)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+39),"")</f>
        <v/>
      </c>
      <c r="F19" s="157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+40)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+40),"")</f>
        <v/>
      </c>
      <c r="G19" s="156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+41)=MATCH($C$2,{"January","February","March","April","May","June","July","August","September","October","November","December"},0),DAY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+41),"")</f>
        <v/>
      </c>
    </row>
    <row r="20" customFormat="false" ht="30" hidden="false" customHeight="true" outlineLevel="0" collapsed="false">
      <c r="A20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+35)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+35)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+35)),""),"")</f>
        <v/>
      </c>
      <c r="B20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+36)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+36)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+36)),""),"")</f>
        <v/>
      </c>
      <c r="C20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+37)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+37)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+37)),""),"")</f>
        <v/>
      </c>
      <c r="D20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+38)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+38)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+38)),""),"")</f>
        <v/>
      </c>
      <c r="E20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+39)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+39)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+39)),""),"")</f>
        <v/>
      </c>
      <c r="F20" s="160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+40)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+40)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+40)),""),"")</f>
        <v/>
      </c>
      <c r="G20" s="159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+41)=MATCH($C$2,{"January","February","March","April","May","June","July","August","September","October","November","December"},0),IFERROR(IF(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+41)=0,"",SUMIFS('Trade Log'!$T$5:$T$1004,'Trade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+41)),""),"")</f>
        <v/>
      </c>
    </row>
    <row r="21" customFormat="false" ht="15" hidden="false" customHeight="true" outlineLevel="0" collapsed="false">
      <c r="A21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+35)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+35)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+35)&amp;" trade(s)"),""),"")</f>
        <v/>
      </c>
      <c r="B21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+36)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+36)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+36)&amp;" trade(s)"),""),"")</f>
        <v/>
      </c>
      <c r="C21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+37)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+37)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+37)&amp;" trade(s)"),""),"")</f>
        <v/>
      </c>
      <c r="D21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+38)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+38)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+38)&amp;" trade(s)"),""),"")</f>
        <v/>
      </c>
      <c r="E21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+39)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+39)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+39)&amp;" trade(s)"),""),"")</f>
        <v/>
      </c>
      <c r="F21" s="162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+40)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+40)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+40)&amp;" trade(s)"),""),"")</f>
        <v/>
      </c>
      <c r="G21" s="161" t="str">
        <f aca="false">IF(MONTH(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+41)=MATCH($C$2,{"January","February","March","April","May","June","July","August","September","October","November","December"},0),IFERROR(IF(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+41)=0,"",COUNTIFS('Trade Log'!$E$5:$E$1004,DATE($E$2,MATCH($C$2,{"January","February","March","April","May","June","July","August","September","October","November","December"},0),1)-WEEKDAY(DATE($E$2,MATCH($C$2,{"January","February","March","April","May","June","July","August","September","October","November","December"},0),1),1)+1+41)&amp;" trade(s)"),""),"")</f>
        <v/>
      </c>
    </row>
    <row r="23" customFormat="false" ht="18" hidden="false" customHeight="true" outlineLevel="0" collapsed="false">
      <c r="A23" s="61" t="s">
        <v>113</v>
      </c>
      <c r="B23" s="61"/>
      <c r="C23" s="61"/>
      <c r="D23" s="61"/>
      <c r="E23" s="61"/>
      <c r="F23" s="61"/>
      <c r="G23" s="61"/>
    </row>
  </sheetData>
  <mergeCells count="21">
    <mergeCell ref="A1:G1"/>
    <mergeCell ref="I1:J1"/>
    <mergeCell ref="A2:B2"/>
    <mergeCell ref="F2:G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A23:G23"/>
  </mergeCells>
  <conditionalFormatting sqref="A5">
    <cfRule type="cellIs" priority="2" operator="greaterThan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</conditionalFormatting>
  <conditionalFormatting sqref="B5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conditionalFormatting sqref="C5">
    <cfRule type="cellIs" priority="6" operator="greaterThan" aboveAverage="0" equalAverage="0" bottom="0" percent="0" rank="0" text="" dxfId="2">
      <formula>0</formula>
    </cfRule>
    <cfRule type="cellIs" priority="7" operator="lessThan" aboveAverage="0" equalAverage="0" bottom="0" percent="0" rank="0" text="" dxfId="3">
      <formula>0</formula>
    </cfRule>
  </conditionalFormatting>
  <conditionalFormatting sqref="D5">
    <cfRule type="cellIs" priority="8" operator="greaterThan" aboveAverage="0" equalAverage="0" bottom="0" percent="0" rank="0" text="" dxfId="2">
      <formula>0</formula>
    </cfRule>
    <cfRule type="cellIs" priority="9" operator="lessThan" aboveAverage="0" equalAverage="0" bottom="0" percent="0" rank="0" text="" dxfId="3">
      <formula>0</formula>
    </cfRule>
  </conditionalFormatting>
  <conditionalFormatting sqref="E5">
    <cfRule type="cellIs" priority="10" operator="greaterThan" aboveAverage="0" equalAverage="0" bottom="0" percent="0" rank="0" text="" dxfId="2">
      <formula>0</formula>
    </cfRule>
    <cfRule type="cellIs" priority="11" operator="lessThan" aboveAverage="0" equalAverage="0" bottom="0" percent="0" rank="0" text="" dxfId="3">
      <formula>0</formula>
    </cfRule>
  </conditionalFormatting>
  <conditionalFormatting sqref="F5">
    <cfRule type="cellIs" priority="12" operator="greaterThan" aboveAverage="0" equalAverage="0" bottom="0" percent="0" rank="0" text="" dxfId="2">
      <formula>0</formula>
    </cfRule>
    <cfRule type="cellIs" priority="13" operator="lessThan" aboveAverage="0" equalAverage="0" bottom="0" percent="0" rank="0" text="" dxfId="3">
      <formula>0</formula>
    </cfRule>
  </conditionalFormatting>
  <conditionalFormatting sqref="G5">
    <cfRule type="cellIs" priority="14" operator="greaterThan" aboveAverage="0" equalAverage="0" bottom="0" percent="0" rank="0" text="" dxfId="2">
      <formula>0</formula>
    </cfRule>
    <cfRule type="cellIs" priority="15" operator="lessThan" aboveAverage="0" equalAverage="0" bottom="0" percent="0" rank="0" text="" dxfId="3">
      <formula>0</formula>
    </cfRule>
  </conditionalFormatting>
  <conditionalFormatting sqref="A8">
    <cfRule type="cellIs" priority="16" operator="greaterThan" aboveAverage="0" equalAverage="0" bottom="0" percent="0" rank="0" text="" dxfId="2">
      <formula>0</formula>
    </cfRule>
    <cfRule type="cellIs" priority="17" operator="lessThan" aboveAverage="0" equalAverage="0" bottom="0" percent="0" rank="0" text="" dxfId="3">
      <formula>0</formula>
    </cfRule>
  </conditionalFormatting>
  <conditionalFormatting sqref="B8">
    <cfRule type="cellIs" priority="18" operator="greaterThan" aboveAverage="0" equalAverage="0" bottom="0" percent="0" rank="0" text="" dxfId="2">
      <formula>0</formula>
    </cfRule>
    <cfRule type="cellIs" priority="19" operator="lessThan" aboveAverage="0" equalAverage="0" bottom="0" percent="0" rank="0" text="" dxfId="3">
      <formula>0</formula>
    </cfRule>
  </conditionalFormatting>
  <conditionalFormatting sqref="C8">
    <cfRule type="cellIs" priority="20" operator="greaterThan" aboveAverage="0" equalAverage="0" bottom="0" percent="0" rank="0" text="" dxfId="2">
      <formula>0</formula>
    </cfRule>
    <cfRule type="cellIs" priority="21" operator="lessThan" aboveAverage="0" equalAverage="0" bottom="0" percent="0" rank="0" text="" dxfId="3">
      <formula>0</formula>
    </cfRule>
  </conditionalFormatting>
  <conditionalFormatting sqref="D8">
    <cfRule type="cellIs" priority="22" operator="greaterThan" aboveAverage="0" equalAverage="0" bottom="0" percent="0" rank="0" text="" dxfId="2">
      <formula>0</formula>
    </cfRule>
    <cfRule type="cellIs" priority="23" operator="lessThan" aboveAverage="0" equalAverage="0" bottom="0" percent="0" rank="0" text="" dxfId="3">
      <formula>0</formula>
    </cfRule>
  </conditionalFormatting>
  <conditionalFormatting sqref="E8">
    <cfRule type="cellIs" priority="24" operator="greaterThan" aboveAverage="0" equalAverage="0" bottom="0" percent="0" rank="0" text="" dxfId="2">
      <formula>0</formula>
    </cfRule>
    <cfRule type="cellIs" priority="25" operator="lessThan" aboveAverage="0" equalAverage="0" bottom="0" percent="0" rank="0" text="" dxfId="3">
      <formula>0</formula>
    </cfRule>
  </conditionalFormatting>
  <conditionalFormatting sqref="F8">
    <cfRule type="cellIs" priority="26" operator="greaterThan" aboveAverage="0" equalAverage="0" bottom="0" percent="0" rank="0" text="" dxfId="2">
      <formula>0</formula>
    </cfRule>
    <cfRule type="cellIs" priority="27" operator="lessThan" aboveAverage="0" equalAverage="0" bottom="0" percent="0" rank="0" text="" dxfId="3">
      <formula>0</formula>
    </cfRule>
  </conditionalFormatting>
  <conditionalFormatting sqref="G8">
    <cfRule type="cellIs" priority="28" operator="greaterThan" aboveAverage="0" equalAverage="0" bottom="0" percent="0" rank="0" text="" dxfId="2">
      <formula>0</formula>
    </cfRule>
    <cfRule type="cellIs" priority="29" operator="lessThan" aboveAverage="0" equalAverage="0" bottom="0" percent="0" rank="0" text="" dxfId="3">
      <formula>0</formula>
    </cfRule>
  </conditionalFormatting>
  <conditionalFormatting sqref="A11">
    <cfRule type="cellIs" priority="30" operator="greaterThan" aboveAverage="0" equalAverage="0" bottom="0" percent="0" rank="0" text="" dxfId="2">
      <formula>0</formula>
    </cfRule>
    <cfRule type="cellIs" priority="31" operator="lessThan" aboveAverage="0" equalAverage="0" bottom="0" percent="0" rank="0" text="" dxfId="3">
      <formula>0</formula>
    </cfRule>
  </conditionalFormatting>
  <conditionalFormatting sqref="B11">
    <cfRule type="cellIs" priority="32" operator="greaterThan" aboveAverage="0" equalAverage="0" bottom="0" percent="0" rank="0" text="" dxfId="2">
      <formula>0</formula>
    </cfRule>
    <cfRule type="cellIs" priority="33" operator="lessThan" aboveAverage="0" equalAverage="0" bottom="0" percent="0" rank="0" text="" dxfId="3">
      <formula>0</formula>
    </cfRule>
  </conditionalFormatting>
  <conditionalFormatting sqref="C11">
    <cfRule type="cellIs" priority="34" operator="greaterThan" aboveAverage="0" equalAverage="0" bottom="0" percent="0" rank="0" text="" dxfId="2">
      <formula>0</formula>
    </cfRule>
    <cfRule type="cellIs" priority="35" operator="lessThan" aboveAverage="0" equalAverage="0" bottom="0" percent="0" rank="0" text="" dxfId="3">
      <formula>0</formula>
    </cfRule>
  </conditionalFormatting>
  <conditionalFormatting sqref="D11">
    <cfRule type="cellIs" priority="36" operator="greaterThan" aboveAverage="0" equalAverage="0" bottom="0" percent="0" rank="0" text="" dxfId="2">
      <formula>0</formula>
    </cfRule>
    <cfRule type="cellIs" priority="37" operator="lessThan" aboveAverage="0" equalAverage="0" bottom="0" percent="0" rank="0" text="" dxfId="3">
      <formula>0</formula>
    </cfRule>
  </conditionalFormatting>
  <conditionalFormatting sqref="E11">
    <cfRule type="cellIs" priority="38" operator="greaterThan" aboveAverage="0" equalAverage="0" bottom="0" percent="0" rank="0" text="" dxfId="2">
      <formula>0</formula>
    </cfRule>
    <cfRule type="cellIs" priority="39" operator="lessThan" aboveAverage="0" equalAverage="0" bottom="0" percent="0" rank="0" text="" dxfId="3">
      <formula>0</formula>
    </cfRule>
  </conditionalFormatting>
  <conditionalFormatting sqref="F11">
    <cfRule type="cellIs" priority="40" operator="greaterThan" aboveAverage="0" equalAverage="0" bottom="0" percent="0" rank="0" text="" dxfId="2">
      <formula>0</formula>
    </cfRule>
    <cfRule type="cellIs" priority="41" operator="lessThan" aboveAverage="0" equalAverage="0" bottom="0" percent="0" rank="0" text="" dxfId="3">
      <formula>0</formula>
    </cfRule>
  </conditionalFormatting>
  <conditionalFormatting sqref="G11">
    <cfRule type="cellIs" priority="42" operator="greaterThan" aboveAverage="0" equalAverage="0" bottom="0" percent="0" rank="0" text="" dxfId="2">
      <formula>0</formula>
    </cfRule>
    <cfRule type="cellIs" priority="43" operator="lessThan" aboveAverage="0" equalAverage="0" bottom="0" percent="0" rank="0" text="" dxfId="3">
      <formula>0</formula>
    </cfRule>
  </conditionalFormatting>
  <conditionalFormatting sqref="A14">
    <cfRule type="cellIs" priority="44" operator="greaterThan" aboveAverage="0" equalAverage="0" bottom="0" percent="0" rank="0" text="" dxfId="2">
      <formula>0</formula>
    </cfRule>
    <cfRule type="cellIs" priority="45" operator="lessThan" aboveAverage="0" equalAverage="0" bottom="0" percent="0" rank="0" text="" dxfId="3">
      <formula>0</formula>
    </cfRule>
  </conditionalFormatting>
  <conditionalFormatting sqref="B14">
    <cfRule type="cellIs" priority="46" operator="greaterThan" aboveAverage="0" equalAverage="0" bottom="0" percent="0" rank="0" text="" dxfId="2">
      <formula>0</formula>
    </cfRule>
    <cfRule type="cellIs" priority="47" operator="lessThan" aboveAverage="0" equalAverage="0" bottom="0" percent="0" rank="0" text="" dxfId="3">
      <formula>0</formula>
    </cfRule>
  </conditionalFormatting>
  <conditionalFormatting sqref="C14">
    <cfRule type="cellIs" priority="48" operator="greaterThan" aboveAverage="0" equalAverage="0" bottom="0" percent="0" rank="0" text="" dxfId="2">
      <formula>0</formula>
    </cfRule>
    <cfRule type="cellIs" priority="49" operator="lessThan" aboveAverage="0" equalAverage="0" bottom="0" percent="0" rank="0" text="" dxfId="3">
      <formula>0</formula>
    </cfRule>
  </conditionalFormatting>
  <conditionalFormatting sqref="D14">
    <cfRule type="cellIs" priority="50" operator="greaterThan" aboveAverage="0" equalAverage="0" bottom="0" percent="0" rank="0" text="" dxfId="2">
      <formula>0</formula>
    </cfRule>
    <cfRule type="cellIs" priority="51" operator="lessThan" aboveAverage="0" equalAverage="0" bottom="0" percent="0" rank="0" text="" dxfId="3">
      <formula>0</formula>
    </cfRule>
  </conditionalFormatting>
  <conditionalFormatting sqref="E14">
    <cfRule type="cellIs" priority="52" operator="greaterThan" aboveAverage="0" equalAverage="0" bottom="0" percent="0" rank="0" text="" dxfId="2">
      <formula>0</formula>
    </cfRule>
    <cfRule type="cellIs" priority="53" operator="lessThan" aboveAverage="0" equalAverage="0" bottom="0" percent="0" rank="0" text="" dxfId="3">
      <formula>0</formula>
    </cfRule>
  </conditionalFormatting>
  <conditionalFormatting sqref="F14">
    <cfRule type="cellIs" priority="54" operator="greaterThan" aboveAverage="0" equalAverage="0" bottom="0" percent="0" rank="0" text="" dxfId="2">
      <formula>0</formula>
    </cfRule>
    <cfRule type="cellIs" priority="55" operator="lessThan" aboveAverage="0" equalAverage="0" bottom="0" percent="0" rank="0" text="" dxfId="3">
      <formula>0</formula>
    </cfRule>
  </conditionalFormatting>
  <conditionalFormatting sqref="G14">
    <cfRule type="cellIs" priority="56" operator="greaterThan" aboveAverage="0" equalAverage="0" bottom="0" percent="0" rank="0" text="" dxfId="2">
      <formula>0</formula>
    </cfRule>
    <cfRule type="cellIs" priority="57" operator="lessThan" aboveAverage="0" equalAverage="0" bottom="0" percent="0" rank="0" text="" dxfId="3">
      <formula>0</formula>
    </cfRule>
  </conditionalFormatting>
  <conditionalFormatting sqref="A17">
    <cfRule type="cellIs" priority="58" operator="greaterThan" aboveAverage="0" equalAverage="0" bottom="0" percent="0" rank="0" text="" dxfId="2">
      <formula>0</formula>
    </cfRule>
    <cfRule type="cellIs" priority="59" operator="lessThan" aboveAverage="0" equalAverage="0" bottom="0" percent="0" rank="0" text="" dxfId="3">
      <formula>0</formula>
    </cfRule>
  </conditionalFormatting>
  <conditionalFormatting sqref="B17">
    <cfRule type="cellIs" priority="60" operator="greaterThan" aboveAverage="0" equalAverage="0" bottom="0" percent="0" rank="0" text="" dxfId="2">
      <formula>0</formula>
    </cfRule>
    <cfRule type="cellIs" priority="61" operator="lessThan" aboveAverage="0" equalAverage="0" bottom="0" percent="0" rank="0" text="" dxfId="3">
      <formula>0</formula>
    </cfRule>
  </conditionalFormatting>
  <conditionalFormatting sqref="C17">
    <cfRule type="cellIs" priority="62" operator="greaterThan" aboveAverage="0" equalAverage="0" bottom="0" percent="0" rank="0" text="" dxfId="2">
      <formula>0</formula>
    </cfRule>
    <cfRule type="cellIs" priority="63" operator="lessThan" aboveAverage="0" equalAverage="0" bottom="0" percent="0" rank="0" text="" dxfId="3">
      <formula>0</formula>
    </cfRule>
  </conditionalFormatting>
  <conditionalFormatting sqref="D17">
    <cfRule type="cellIs" priority="64" operator="greaterThan" aboveAverage="0" equalAverage="0" bottom="0" percent="0" rank="0" text="" dxfId="2">
      <formula>0</formula>
    </cfRule>
    <cfRule type="cellIs" priority="65" operator="lessThan" aboveAverage="0" equalAverage="0" bottom="0" percent="0" rank="0" text="" dxfId="3">
      <formula>0</formula>
    </cfRule>
  </conditionalFormatting>
  <conditionalFormatting sqref="E17">
    <cfRule type="cellIs" priority="66" operator="greaterThan" aboveAverage="0" equalAverage="0" bottom="0" percent="0" rank="0" text="" dxfId="2">
      <formula>0</formula>
    </cfRule>
    <cfRule type="cellIs" priority="67" operator="lessThan" aboveAverage="0" equalAverage="0" bottom="0" percent="0" rank="0" text="" dxfId="3">
      <formula>0</formula>
    </cfRule>
  </conditionalFormatting>
  <conditionalFormatting sqref="F17">
    <cfRule type="cellIs" priority="68" operator="greaterThan" aboveAverage="0" equalAverage="0" bottom="0" percent="0" rank="0" text="" dxfId="2">
      <formula>0</formula>
    </cfRule>
    <cfRule type="cellIs" priority="69" operator="lessThan" aboveAverage="0" equalAverage="0" bottom="0" percent="0" rank="0" text="" dxfId="3">
      <formula>0</formula>
    </cfRule>
  </conditionalFormatting>
  <conditionalFormatting sqref="G17">
    <cfRule type="cellIs" priority="70" operator="greaterThan" aboveAverage="0" equalAverage="0" bottom="0" percent="0" rank="0" text="" dxfId="2">
      <formula>0</formula>
    </cfRule>
    <cfRule type="cellIs" priority="71" operator="lessThan" aboveAverage="0" equalAverage="0" bottom="0" percent="0" rank="0" text="" dxfId="3">
      <formula>0</formula>
    </cfRule>
  </conditionalFormatting>
  <conditionalFormatting sqref="A20">
    <cfRule type="cellIs" priority="72" operator="greaterThan" aboveAverage="0" equalAverage="0" bottom="0" percent="0" rank="0" text="" dxfId="2">
      <formula>0</formula>
    </cfRule>
    <cfRule type="cellIs" priority="73" operator="lessThan" aboveAverage="0" equalAverage="0" bottom="0" percent="0" rank="0" text="" dxfId="3">
      <formula>0</formula>
    </cfRule>
  </conditionalFormatting>
  <conditionalFormatting sqref="B20">
    <cfRule type="cellIs" priority="74" operator="greaterThan" aboveAverage="0" equalAverage="0" bottom="0" percent="0" rank="0" text="" dxfId="2">
      <formula>0</formula>
    </cfRule>
    <cfRule type="cellIs" priority="75" operator="lessThan" aboveAverage="0" equalAverage="0" bottom="0" percent="0" rank="0" text="" dxfId="3">
      <formula>0</formula>
    </cfRule>
  </conditionalFormatting>
  <conditionalFormatting sqref="C20">
    <cfRule type="cellIs" priority="76" operator="greaterThan" aboveAverage="0" equalAverage="0" bottom="0" percent="0" rank="0" text="" dxfId="2">
      <formula>0</formula>
    </cfRule>
    <cfRule type="cellIs" priority="77" operator="lessThan" aboveAverage="0" equalAverage="0" bottom="0" percent="0" rank="0" text="" dxfId="3">
      <formula>0</formula>
    </cfRule>
  </conditionalFormatting>
  <conditionalFormatting sqref="D20">
    <cfRule type="cellIs" priority="78" operator="greaterThan" aboveAverage="0" equalAverage="0" bottom="0" percent="0" rank="0" text="" dxfId="2">
      <formula>0</formula>
    </cfRule>
    <cfRule type="cellIs" priority="79" operator="lessThan" aboveAverage="0" equalAverage="0" bottom="0" percent="0" rank="0" text="" dxfId="3">
      <formula>0</formula>
    </cfRule>
  </conditionalFormatting>
  <conditionalFormatting sqref="E20">
    <cfRule type="cellIs" priority="80" operator="greaterThan" aboveAverage="0" equalAverage="0" bottom="0" percent="0" rank="0" text="" dxfId="2">
      <formula>0</formula>
    </cfRule>
    <cfRule type="cellIs" priority="81" operator="lessThan" aboveAverage="0" equalAverage="0" bottom="0" percent="0" rank="0" text="" dxfId="3">
      <formula>0</formula>
    </cfRule>
  </conditionalFormatting>
  <conditionalFormatting sqref="F20">
    <cfRule type="cellIs" priority="82" operator="greaterThan" aboveAverage="0" equalAverage="0" bottom="0" percent="0" rank="0" text="" dxfId="2">
      <formula>0</formula>
    </cfRule>
    <cfRule type="cellIs" priority="83" operator="lessThan" aboveAverage="0" equalAverage="0" bottom="0" percent="0" rank="0" text="" dxfId="3">
      <formula>0</formula>
    </cfRule>
  </conditionalFormatting>
  <conditionalFormatting sqref="G20">
    <cfRule type="cellIs" priority="84" operator="greaterThan" aboveAverage="0" equalAverage="0" bottom="0" percent="0" rank="0" text="" dxfId="2">
      <formula>0</formula>
    </cfRule>
    <cfRule type="cellIs" priority="85" operator="lessThan" aboveAverage="0" equalAverage="0" bottom="0" percent="0" rank="0" text="" dxfId="3">
      <formula>0</formula>
    </cfRule>
  </conditionalFormatting>
  <dataValidations count="2">
    <dataValidation allowBlank="false" errorStyle="stop" operator="between" prompt="Select a month" promptTitle="Month" showDropDown="false" showErrorMessage="false" showInputMessage="false" sqref="C2" type="list">
      <formula1>"January,February,March,April,May,June,July,August,September,October,November,December"</formula1>
      <formula2>0</formula2>
    </dataValidation>
    <dataValidation allowBlank="false" errorStyle="stop" operator="between" prompt="Select a year" promptTitle="Year" showDropDown="false" showErrorMessage="false" showInputMessage="false" sqref="E2" type="list">
      <formula1>"2020,2021,2022,2023,2024,2025,2026,2027,2028,2029,2030,2031,2032,2033,2034,2035"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2026-05-09T14:17:37Z</dcterms:created>
  <dc:creator>openpyxl</dc:creator>
  <dc:description/>
  <dc:language>en-US</dc:language>
  <cp:lastModifiedBy/>
  <dcterms:modified xsi:type="dcterms:W3CDTF">2026-05-10T02:36:14Z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